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<sst xmlns="http://schemas.openxmlformats.org/spreadsheetml/2006/main" count="146" uniqueCount="63">
  <si>
    <t>Squad</t>
  </si>
  <si>
    <t># Pl</t>
  </si>
  <si>
    <t>Age</t>
  </si>
  <si>
    <t>MP</t>
  </si>
  <si>
    <t>Min</t>
  </si>
  <si>
    <t>Mn/MP</t>
  </si>
  <si>
    <t>Min%</t>
  </si>
  <si>
    <t>90s</t>
  </si>
  <si>
    <t>Starts</t>
  </si>
  <si>
    <t>Mn/Start</t>
  </si>
  <si>
    <t>Compl</t>
  </si>
  <si>
    <t>Subs</t>
  </si>
  <si>
    <t>Mn/Sub</t>
  </si>
  <si>
    <t>unSub</t>
  </si>
  <si>
    <t>PPM</t>
  </si>
  <si>
    <t>onG</t>
  </si>
  <si>
    <t>onGA</t>
  </si>
  <si>
    <r>
      <rPr>
        <rFont val="Verdana, sans-serif"/>
        <color rgb="FF1155CC"/>
        <u/>
      </rPr>
      <t>AIK Stockholm</t>
    </r>
  </si>
  <si>
    <t>27.4</t>
  </si>
  <si>
    <t>30.0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</si>
  <si>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</si>
  <si>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Brommapojkarna</t>
    </r>
  </si>
  <si>
    <t>25.2</t>
  </si>
  <si>
    <r>
      <rPr>
        <rFont val="Verdana, sans-serif"/>
        <color rgb="FF1155CC"/>
        <u/>
      </rPr>
      <t>Djurgården</t>
    </r>
  </si>
  <si>
    <t>27.1</t>
  </si>
  <si>
    <r>
      <rPr>
        <rFont val="Verdana, sans-serif"/>
        <color rgb="FF1155CC"/>
        <u/>
      </rPr>
      <t>Elfsborg</t>
    </r>
  </si>
  <si>
    <t>25.8</t>
  </si>
  <si>
    <r>
      <rPr>
        <rFont val="Verdana, sans-serif"/>
        <color rgb="FF1155CC"/>
        <u/>
      </rPr>
      <t>GAIS</t>
    </r>
  </si>
  <si>
    <t>25.5</t>
  </si>
  <si>
    <r>
      <rPr>
        <rFont val="Verdana, sans-serif"/>
        <color rgb="FF1155CC"/>
        <u/>
      </rPr>
      <t>Göteborg</t>
    </r>
  </si>
  <si>
    <t>26.3</t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</si>
  <si>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</si>
  <si>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</si>
  <si>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t>24.4</t>
  </si>
  <si>
    <r>
      <rPr>
        <rFont val="Verdana, sans-serif"/>
        <color rgb="FF1155CC"/>
        <u/>
      </rPr>
      <t>Kalmar</t>
    </r>
  </si>
  <si>
    <t>28.0</t>
  </si>
  <si>
    <r>
      <rPr>
        <rFont val="Verdana, sans-serif"/>
        <color rgb="FF1155CC"/>
        <u/>
      </rPr>
      <t>Malmö</t>
    </r>
  </si>
  <si>
    <t>27.6</t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</si>
  <si>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</si>
  <si>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Norrköping</t>
    </r>
  </si>
  <si>
    <t>25.9</t>
  </si>
  <si>
    <r>
      <rPr>
        <rFont val="Verdana, sans-serif"/>
        <color rgb="FF1155CC"/>
        <u/>
      </rPr>
      <t>Sirius</t>
    </r>
  </si>
  <si>
    <t>23.5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</si>
  <si>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</si>
  <si>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Västerås</t>
    </r>
  </si>
  <si>
    <t>24.9</t>
  </si>
  <si>
    <r>
      <rPr>
        <rFont val="Verdana, sans-serif"/>
        <color rgb="FF1155CC"/>
        <u/>
      </rPr>
      <t>AIK Stockholm</t>
    </r>
  </si>
  <si>
    <t>11.0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</si>
  <si>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</si>
  <si>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</si>
  <si>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</si>
  <si>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</si>
  <si>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</si>
  <si>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</si>
  <si>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</si>
  <si>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</si>
  <si>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</si>
  <si>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</si>
  <si>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</si>
  <si>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</si>
  <si>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</si>
  <si>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</si>
  <si>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Västerås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</si>
</sst>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.mm"/>
    <numFmt numFmtId="165" formatCode="[hh].mm.ss"/>
  </numFmts>
  <fonts count="7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color rgb="FF008800"/>
      <name val="Verdana"/>
    </font>
    <font>
      <color rgb="FFCC0000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2" fillId="2" fontId="1" numFmtId="0" xfId="0" applyAlignment="1" applyBorder="1" applyFont="1">
      <alignment horizontal="center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5" fillId="3" fontId="3" numFmtId="0" xfId="0" applyAlignment="1" applyBorder="1" applyFont="1">
      <alignment horizontal="center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6" fillId="3" fontId="3" numFmtId="164" xfId="0" applyAlignment="1" applyBorder="1" applyFont="1" applyNumberFormat="1">
      <alignment horizontal="right" readingOrder="0" shrinkToFit="0" wrapText="0"/>
    </xf>
    <xf borderId="5" fillId="3" fontId="4" numFmtId="0" xfId="0" applyAlignment="1" applyBorder="1" applyFont="1">
      <alignment horizontal="right" shrinkToFit="0" wrapText="0"/>
    </xf>
    <xf borderId="5" fillId="3" fontId="5" numFmtId="0" xfId="0" applyAlignment="1" applyBorder="1" applyFont="1">
      <alignment horizontal="right" readingOrder="0" shrinkToFit="0" wrapText="0"/>
    </xf>
    <xf borderId="5" fillId="3" fontId="5" numFmtId="165" xfId="0" applyAlignment="1" applyBorder="1" applyFont="1" applyNumberFormat="1">
      <alignment horizontal="right" readingOrder="0" shrinkToFit="0" wrapText="0"/>
    </xf>
    <xf borderId="1" fillId="0" fontId="6" numFmtId="0" xfId="0" applyAlignment="1" applyBorder="1" applyFont="1">
      <alignment horizontal="left" readingOrder="0" shrinkToFit="0" wrapText="0"/>
    </xf>
    <xf borderId="2" fillId="4" fontId="3" numFmtId="0" xfId="0" applyAlignment="1" applyBorder="1" applyFill="1" applyFont="1">
      <alignment horizontal="right" readingOrder="0" shrinkToFit="0" wrapText="0"/>
    </xf>
    <xf borderId="2" fillId="4" fontId="3" numFmtId="0" xfId="0" applyAlignment="1" applyBorder="1" applyFont="1">
      <alignment horizontal="center" readingOrder="0" shrinkToFit="0" wrapText="0"/>
    </xf>
    <xf borderId="3" fillId="4" fontId="3" numFmtId="0" xfId="0" applyAlignment="1" applyBorder="1" applyFont="1">
      <alignment horizontal="right" readingOrder="0" shrinkToFit="0" wrapText="0"/>
    </xf>
    <xf borderId="3" fillId="4" fontId="3" numFmtId="164" xfId="0" applyAlignment="1" applyBorder="1" applyFont="1" applyNumberFormat="1">
      <alignment horizontal="right" readingOrder="0" shrinkToFit="0" wrapText="0"/>
    </xf>
    <xf borderId="2" fillId="4" fontId="5" numFmtId="0" xfId="0" applyAlignment="1" applyBorder="1" applyFont="1">
      <alignment horizontal="right" readingOrder="0" shrinkToFit="0" wrapText="0"/>
    </xf>
    <xf borderId="2" fillId="4" fontId="5" numFmtId="165" xfId="0" applyAlignment="1" applyBorder="1" applyFont="1" applyNumberFormat="1">
      <alignment horizontal="right" readingOrder="0" shrinkToFit="0" wrapText="0"/>
    </xf>
    <xf borderId="6" fillId="5" fontId="3" numFmtId="0" xfId="0" applyAlignment="1" applyBorder="1" applyFill="1" applyFont="1">
      <alignment horizontal="right" readingOrder="0" shrinkToFit="0" wrapText="0"/>
    </xf>
    <xf borderId="5" fillId="5" fontId="3" numFmtId="164" xfId="0" applyAlignment="1" applyBorder="1" applyFont="1" applyNumberFormat="1">
      <alignment horizontal="right" readingOrder="0" shrinkToFit="0" wrapText="0"/>
    </xf>
    <xf borderId="6" fillId="5" fontId="3" numFmtId="164" xfId="0" applyAlignment="1" applyBorder="1" applyFont="1" applyNumberFormat="1">
      <alignment horizontal="right" readingOrder="0" shrinkToFit="0" wrapText="0"/>
    </xf>
    <xf borderId="5" fillId="5" fontId="4" numFmtId="164" xfId="0" applyAlignment="1" applyBorder="1" applyFont="1" applyNumberFormat="1">
      <alignment horizontal="right" readingOrder="0" shrinkToFit="0" wrapText="0"/>
    </xf>
    <xf borderId="5" fillId="5" fontId="5" numFmtId="165" xfId="0" applyAlignment="1" applyBorder="1" applyFont="1" applyNumberFormat="1">
      <alignment horizontal="right" readingOrder="0" shrinkToFit="0" wrapText="0"/>
    </xf>
    <xf borderId="2" fillId="3" fontId="3" numFmtId="0" xfId="0" applyAlignment="1" applyBorder="1" applyFont="1">
      <alignment horizontal="right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3" fillId="5" fontId="3" numFmtId="0" xfId="0" applyAlignment="1" applyBorder="1" applyFont="1">
      <alignment horizontal="right" readingOrder="0" shrinkToFit="0" wrapText="0"/>
    </xf>
    <xf borderId="2" fillId="5" fontId="3" numFmtId="164" xfId="0" applyAlignment="1" applyBorder="1" applyFont="1" applyNumberFormat="1">
      <alignment horizontal="right" readingOrder="0" shrinkToFit="0" wrapText="0"/>
    </xf>
    <xf borderId="3" fillId="5" fontId="3" numFmtId="164" xfId="0" applyAlignment="1" applyBorder="1" applyFont="1" applyNumberFormat="1">
      <alignment horizontal="right" readingOrder="0" shrinkToFit="0" wrapText="0"/>
    </xf>
    <xf borderId="3" fillId="3" fontId="3" numFmtId="164" xfId="0" applyAlignment="1" applyBorder="1" applyFont="1" applyNumberFormat="1">
      <alignment horizontal="right" readingOrder="0" shrinkToFit="0" wrapText="0"/>
    </xf>
    <xf borderId="2" fillId="5" fontId="5" numFmtId="165" xfId="0" applyAlignment="1" applyBorder="1" applyFont="1" applyNumberFormat="1">
      <alignment horizontal="right" readingOrder="0" shrinkToFit="0" wrapText="0"/>
    </xf>
    <xf borderId="2" fillId="3" fontId="5" numFmtId="165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4/Malmo-Stats" TargetMode="External"/><Relationship Id="rId10" Type="http://schemas.openxmlformats.org/officeDocument/2006/relationships/hyperlink" Target="https://fbref.com/en/squads/9f13771c/2024/Kalmar-Stats" TargetMode="External"/><Relationship Id="rId13" Type="http://schemas.openxmlformats.org/officeDocument/2006/relationships/hyperlink" Target="https://fbref.com/en/squads/1d0836d6/2024/Norrkoping-Stats" TargetMode="External"/><Relationship Id="rId12" Type="http://schemas.openxmlformats.org/officeDocument/2006/relationships/hyperlink" Target="https://fbref.com/en/squads/b1a7a7b9/2024/Mjallby-Stats" TargetMode="External"/><Relationship Id="rId1" Type="http://schemas.openxmlformats.org/officeDocument/2006/relationships/hyperlink" Target="https://fbref.com/en/squads/b0333581/2024/AIK-Stockholm-Stats" TargetMode="External"/><Relationship Id="rId2" Type="http://schemas.openxmlformats.org/officeDocument/2006/relationships/hyperlink" Target="https://fbref.com/en/squads/8774e267/2024/BK-Hacken-Stats" TargetMode="External"/><Relationship Id="rId3" Type="http://schemas.openxmlformats.org/officeDocument/2006/relationships/hyperlink" Target="https://fbref.com/en/squads/bb9e11b2/2024/Brommapojkarna-Stats" TargetMode="External"/><Relationship Id="rId4" Type="http://schemas.openxmlformats.org/officeDocument/2006/relationships/hyperlink" Target="https://fbref.com/en/squads/9423c05a/2024/Djurgarden-Stats" TargetMode="External"/><Relationship Id="rId9" Type="http://schemas.openxmlformats.org/officeDocument/2006/relationships/hyperlink" Target="https://fbref.com/en/squads/92bfd7f0/2024/Hammarby-Stats" TargetMode="External"/><Relationship Id="rId15" Type="http://schemas.openxmlformats.org/officeDocument/2006/relationships/hyperlink" Target="https://fbref.com/en/squads/d048ed60/2024/Varnamo-Stats" TargetMode="External"/><Relationship Id="rId14" Type="http://schemas.openxmlformats.org/officeDocument/2006/relationships/hyperlink" Target="https://fbref.com/en/squads/e9d60d0c/2024/Sirius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a8481ab9/2024/Vasteras-Stats" TargetMode="External"/><Relationship Id="rId5" Type="http://schemas.openxmlformats.org/officeDocument/2006/relationships/hyperlink" Target="https://fbref.com/en/squads/50e85bfc/2024/Elfsborg-Stats" TargetMode="External"/><Relationship Id="rId6" Type="http://schemas.openxmlformats.org/officeDocument/2006/relationships/hyperlink" Target="https://fbref.com/en/squads/7c2d1adb/2024/GAIS-Stats" TargetMode="External"/><Relationship Id="rId7" Type="http://schemas.openxmlformats.org/officeDocument/2006/relationships/hyperlink" Target="https://fbref.com/en/squads/ef1ab26a/2024/Goteborg-Stats" TargetMode="External"/><Relationship Id="rId8" Type="http://schemas.openxmlformats.org/officeDocument/2006/relationships/hyperlink" Target="https://fbref.com/en/squads/17366e53/2024/Halmstad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4/Malmo-Stats" TargetMode="External"/><Relationship Id="rId10" Type="http://schemas.openxmlformats.org/officeDocument/2006/relationships/hyperlink" Target="https://fbref.com/en/squads/9f13771c/2024/Kalmar-Stats" TargetMode="External"/><Relationship Id="rId13" Type="http://schemas.openxmlformats.org/officeDocument/2006/relationships/hyperlink" Target="https://fbref.com/en/squads/1d0836d6/2024/Norrkoping-Stats" TargetMode="External"/><Relationship Id="rId12" Type="http://schemas.openxmlformats.org/officeDocument/2006/relationships/hyperlink" Target="https://fbref.com/en/squads/b1a7a7b9/2024/Mjallby-Stats" TargetMode="External"/><Relationship Id="rId1" Type="http://schemas.openxmlformats.org/officeDocument/2006/relationships/hyperlink" Target="https://fbref.com/en/squads/b0333581/2024/AIK-Stockholm-Stats" TargetMode="External"/><Relationship Id="rId2" Type="http://schemas.openxmlformats.org/officeDocument/2006/relationships/hyperlink" Target="https://fbref.com/en/squads/8774e267/2024/BK-Hacken-Stats" TargetMode="External"/><Relationship Id="rId3" Type="http://schemas.openxmlformats.org/officeDocument/2006/relationships/hyperlink" Target="https://fbref.com/en/squads/bb9e11b2/2024/Brommapojkarna-Stats" TargetMode="External"/><Relationship Id="rId4" Type="http://schemas.openxmlformats.org/officeDocument/2006/relationships/hyperlink" Target="https://fbref.com/en/squads/9423c05a/2024/Djurgarden-Stats" TargetMode="External"/><Relationship Id="rId9" Type="http://schemas.openxmlformats.org/officeDocument/2006/relationships/hyperlink" Target="https://fbref.com/en/squads/92bfd7f0/2024/Hammarby-Stats" TargetMode="External"/><Relationship Id="rId15" Type="http://schemas.openxmlformats.org/officeDocument/2006/relationships/hyperlink" Target="https://fbref.com/en/squads/d048ed60/2024/Varnamo-Stats" TargetMode="External"/><Relationship Id="rId14" Type="http://schemas.openxmlformats.org/officeDocument/2006/relationships/hyperlink" Target="https://fbref.com/en/squads/e9d60d0c/2024/Sirius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a8481ab9/2024/Vasteras-Stats" TargetMode="External"/><Relationship Id="rId5" Type="http://schemas.openxmlformats.org/officeDocument/2006/relationships/hyperlink" Target="https://fbref.com/en/squads/50e85bfc/2024/Elfsborg-Stats" TargetMode="External"/><Relationship Id="rId6" Type="http://schemas.openxmlformats.org/officeDocument/2006/relationships/hyperlink" Target="https://fbref.com/en/squads/7c2d1adb/2024/GAIS-Stats" TargetMode="External"/><Relationship Id="rId7" Type="http://schemas.openxmlformats.org/officeDocument/2006/relationships/hyperlink" Target="https://fbref.com/en/squads/ef1ab26a/2024/Goteborg-Stats" TargetMode="External"/><Relationship Id="rId8" Type="http://schemas.openxmlformats.org/officeDocument/2006/relationships/hyperlink" Target="https://fbref.com/en/squads/17366e53/2024/Halmstad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4" t="str">
        <f>+/-</f>
        <v>#ERROR!</v>
      </c>
      <c r="S1" s="4" t="str">
        <f>+/-90</f>
        <v>#ERROR!</v>
      </c>
    </row>
    <row r="2">
      <c r="A2" s="5" t="s">
        <v>17</v>
      </c>
      <c r="B2" s="6">
        <v>28.0</v>
      </c>
      <c r="C2" s="7" t="s">
        <v>18</v>
      </c>
      <c r="D2" s="8">
        <v>30.0</v>
      </c>
      <c r="E2" s="6">
        <v>2.7</v>
      </c>
      <c r="F2" s="6">
        <v>90.0</v>
      </c>
      <c r="G2" s="6">
        <v>100.0</v>
      </c>
      <c r="H2" s="6" t="s">
        <v>19</v>
      </c>
      <c r="I2" s="8">
        <v>330.0</v>
      </c>
      <c r="J2" s="6">
        <v>85.0</v>
      </c>
      <c r="K2" s="6">
        <v>227.0</v>
      </c>
      <c r="L2" s="8">
        <v>101.0</v>
      </c>
      <c r="M2" s="6">
        <v>17.0</v>
      </c>
      <c r="N2" s="6">
        <v>159.0</v>
      </c>
      <c r="O2" s="9">
        <v>0.09722222222222222</v>
      </c>
      <c r="P2" s="6">
        <v>46.0</v>
      </c>
      <c r="Q2" s="6">
        <v>41.0</v>
      </c>
      <c r="R2" s="10">
        <f>+5</f>
        <v>5</v>
      </c>
      <c r="S2" s="10" t="str">
        <f>+0.17</f>
        <v>#ERROR!</v>
      </c>
    </row>
    <row r="3">
      <c r="A3" s="5" t="s">
        <v>20</v>
      </c>
      <c r="B3" s="6">
        <v>31.0</v>
      </c>
      <c r="C3" s="7" t="s">
        <v>18</v>
      </c>
      <c r="D3" s="8">
        <v>30.0</v>
      </c>
      <c r="E3" s="6">
        <v>2.7</v>
      </c>
      <c r="F3" s="6">
        <v>90.0</v>
      </c>
      <c r="G3" s="6">
        <v>100.0</v>
      </c>
      <c r="H3" s="6" t="s">
        <v>19</v>
      </c>
      <c r="I3" s="8">
        <v>330.0</v>
      </c>
      <c r="J3" s="6">
        <v>82.0</v>
      </c>
      <c r="K3" s="6">
        <v>198.0</v>
      </c>
      <c r="L3" s="8">
        <v>133.0</v>
      </c>
      <c r="M3" s="6">
        <v>20.0</v>
      </c>
      <c r="N3" s="6">
        <v>134.0</v>
      </c>
      <c r="O3" s="9">
        <v>0.06944444444444445</v>
      </c>
      <c r="P3" s="6">
        <v>54.0</v>
      </c>
      <c r="Q3" s="6">
        <v>51.0</v>
      </c>
      <c r="R3" s="10">
        <f>+3</f>
        <v>3</v>
      </c>
      <c r="S3" s="10" t="str">
        <f>+0.10</f>
        <v>#ERROR!</v>
      </c>
    </row>
    <row r="4">
      <c r="A4" s="5" t="s">
        <v>21</v>
      </c>
      <c r="B4" s="6">
        <v>32.0</v>
      </c>
      <c r="C4" s="7" t="s">
        <v>22</v>
      </c>
      <c r="D4" s="8">
        <v>30.0</v>
      </c>
      <c r="E4" s="6">
        <v>2.7</v>
      </c>
      <c r="F4" s="6">
        <v>90.0</v>
      </c>
      <c r="G4" s="6">
        <v>100.0</v>
      </c>
      <c r="H4" s="6" t="s">
        <v>19</v>
      </c>
      <c r="I4" s="8">
        <v>330.0</v>
      </c>
      <c r="J4" s="6">
        <v>84.0</v>
      </c>
      <c r="K4" s="6">
        <v>218.0</v>
      </c>
      <c r="L4" s="8">
        <v>114.0</v>
      </c>
      <c r="M4" s="6">
        <v>18.0</v>
      </c>
      <c r="N4" s="6">
        <v>118.0</v>
      </c>
      <c r="O4" s="9">
        <v>0.050694444444444445</v>
      </c>
      <c r="P4" s="6">
        <v>46.0</v>
      </c>
      <c r="Q4" s="6">
        <v>53.0</v>
      </c>
      <c r="R4" s="11">
        <v>-7.0</v>
      </c>
      <c r="S4" s="12">
        <v>-0.01597222222222222</v>
      </c>
    </row>
    <row r="5">
      <c r="A5" s="5" t="s">
        <v>23</v>
      </c>
      <c r="B5" s="6">
        <v>31.0</v>
      </c>
      <c r="C5" s="7" t="s">
        <v>24</v>
      </c>
      <c r="D5" s="8">
        <v>30.0</v>
      </c>
      <c r="E5" s="6">
        <v>2.7</v>
      </c>
      <c r="F5" s="6">
        <v>90.0</v>
      </c>
      <c r="G5" s="6">
        <v>100.0</v>
      </c>
      <c r="H5" s="6" t="s">
        <v>19</v>
      </c>
      <c r="I5" s="8">
        <v>330.0</v>
      </c>
      <c r="J5" s="6">
        <v>80.0</v>
      </c>
      <c r="K5" s="6">
        <v>199.0</v>
      </c>
      <c r="L5" s="8">
        <v>132.0</v>
      </c>
      <c r="M5" s="6">
        <v>25.0</v>
      </c>
      <c r="N5" s="6">
        <v>133.0</v>
      </c>
      <c r="O5" s="9">
        <v>0.09513888888888888</v>
      </c>
      <c r="P5" s="6">
        <v>45.0</v>
      </c>
      <c r="Q5" s="6">
        <v>35.0</v>
      </c>
      <c r="R5" s="10">
        <f>+10</f>
        <v>10</v>
      </c>
      <c r="S5" s="10" t="str">
        <f>+0.33</f>
        <v>#ERROR!</v>
      </c>
    </row>
    <row r="6">
      <c r="A6" s="5" t="s">
        <v>25</v>
      </c>
      <c r="B6" s="6">
        <v>28.0</v>
      </c>
      <c r="C6" s="7" t="s">
        <v>26</v>
      </c>
      <c r="D6" s="8">
        <v>30.0</v>
      </c>
      <c r="E6" s="6">
        <v>2.7</v>
      </c>
      <c r="F6" s="6">
        <v>90.0</v>
      </c>
      <c r="G6" s="6">
        <v>100.0</v>
      </c>
      <c r="H6" s="6" t="s">
        <v>19</v>
      </c>
      <c r="I6" s="8">
        <v>330.0</v>
      </c>
      <c r="J6" s="6">
        <v>80.0</v>
      </c>
      <c r="K6" s="6">
        <v>194.0</v>
      </c>
      <c r="L6" s="8">
        <v>133.0</v>
      </c>
      <c r="M6" s="6">
        <v>24.0</v>
      </c>
      <c r="N6" s="6">
        <v>136.0</v>
      </c>
      <c r="O6" s="9">
        <v>0.0763888888888889</v>
      </c>
      <c r="P6" s="6">
        <v>52.0</v>
      </c>
      <c r="Q6" s="6">
        <v>44.0</v>
      </c>
      <c r="R6" s="10">
        <f>+8</f>
        <v>8</v>
      </c>
      <c r="S6" s="10" t="str">
        <f>+0.27</f>
        <v>#ERROR!</v>
      </c>
    </row>
    <row r="7">
      <c r="A7" s="5" t="s">
        <v>27</v>
      </c>
      <c r="B7" s="6">
        <v>25.0</v>
      </c>
      <c r="C7" s="7" t="s">
        <v>28</v>
      </c>
      <c r="D7" s="8">
        <v>30.0</v>
      </c>
      <c r="E7" s="6">
        <v>2.7</v>
      </c>
      <c r="F7" s="6">
        <v>90.0</v>
      </c>
      <c r="G7" s="6">
        <v>100.0</v>
      </c>
      <c r="H7" s="6" t="s">
        <v>19</v>
      </c>
      <c r="I7" s="8">
        <v>330.0</v>
      </c>
      <c r="J7" s="6">
        <v>81.0</v>
      </c>
      <c r="K7" s="6">
        <v>185.0</v>
      </c>
      <c r="L7" s="8">
        <v>142.0</v>
      </c>
      <c r="M7" s="6">
        <v>20.0</v>
      </c>
      <c r="N7" s="6">
        <v>125.0</v>
      </c>
      <c r="O7" s="9">
        <v>0.08333333333333333</v>
      </c>
      <c r="P7" s="6">
        <v>36.0</v>
      </c>
      <c r="Q7" s="6">
        <v>34.0</v>
      </c>
      <c r="R7" s="10">
        <f>+2</f>
        <v>2</v>
      </c>
      <c r="S7" s="10" t="str">
        <f>+0.07</f>
        <v>#ERROR!</v>
      </c>
    </row>
    <row r="8">
      <c r="A8" s="5" t="s">
        <v>29</v>
      </c>
      <c r="B8" s="6">
        <v>34.0</v>
      </c>
      <c r="C8" s="7" t="s">
        <v>30</v>
      </c>
      <c r="D8" s="8">
        <v>30.0</v>
      </c>
      <c r="E8" s="6">
        <v>2.7</v>
      </c>
      <c r="F8" s="6">
        <v>90.0</v>
      </c>
      <c r="G8" s="6">
        <v>100.0</v>
      </c>
      <c r="H8" s="6" t="s">
        <v>19</v>
      </c>
      <c r="I8" s="8">
        <v>330.0</v>
      </c>
      <c r="J8" s="6">
        <v>82.0</v>
      </c>
      <c r="K8" s="6">
        <v>203.0</v>
      </c>
      <c r="L8" s="8">
        <v>125.0</v>
      </c>
      <c r="M8" s="6">
        <v>20.0</v>
      </c>
      <c r="N8" s="6">
        <v>137.0</v>
      </c>
      <c r="O8" s="9">
        <v>0.04375</v>
      </c>
      <c r="P8" s="6">
        <v>33.0</v>
      </c>
      <c r="Q8" s="6">
        <v>43.0</v>
      </c>
      <c r="R8" s="11">
        <v>-10.0</v>
      </c>
      <c r="S8" s="12">
        <v>-0.022916666666666665</v>
      </c>
    </row>
    <row r="9">
      <c r="A9" s="5" t="s">
        <v>31</v>
      </c>
      <c r="B9" s="6">
        <v>28.0</v>
      </c>
      <c r="C9" s="7" t="s">
        <v>18</v>
      </c>
      <c r="D9" s="8">
        <v>30.0</v>
      </c>
      <c r="E9" s="6">
        <v>2.7</v>
      </c>
      <c r="F9" s="6">
        <v>90.0</v>
      </c>
      <c r="G9" s="6">
        <v>100.0</v>
      </c>
      <c r="H9" s="6" t="s">
        <v>19</v>
      </c>
      <c r="I9" s="8">
        <v>330.0</v>
      </c>
      <c r="J9" s="6">
        <v>83.0</v>
      </c>
      <c r="K9" s="6">
        <v>208.0</v>
      </c>
      <c r="L9" s="8">
        <v>122.0</v>
      </c>
      <c r="M9" s="6">
        <v>19.0</v>
      </c>
      <c r="N9" s="6">
        <v>139.0</v>
      </c>
      <c r="O9" s="9">
        <v>0.04861111111111111</v>
      </c>
      <c r="P9" s="6">
        <v>32.0</v>
      </c>
      <c r="Q9" s="6">
        <v>50.0</v>
      </c>
      <c r="R9" s="11">
        <v>-18.0</v>
      </c>
      <c r="S9" s="12">
        <v>-0.041666666666666664</v>
      </c>
    </row>
    <row r="10">
      <c r="A10" s="5" t="s">
        <v>32</v>
      </c>
      <c r="B10" s="6">
        <v>32.0</v>
      </c>
      <c r="C10" s="7" t="s">
        <v>33</v>
      </c>
      <c r="D10" s="8">
        <v>30.0</v>
      </c>
      <c r="E10" s="6">
        <v>2.7</v>
      </c>
      <c r="F10" s="6">
        <v>90.0</v>
      </c>
      <c r="G10" s="6">
        <v>100.0</v>
      </c>
      <c r="H10" s="6" t="s">
        <v>19</v>
      </c>
      <c r="I10" s="8">
        <v>330.0</v>
      </c>
      <c r="J10" s="6">
        <v>84.0</v>
      </c>
      <c r="K10" s="6">
        <v>206.0</v>
      </c>
      <c r="L10" s="8">
        <v>124.0</v>
      </c>
      <c r="M10" s="6">
        <v>16.0</v>
      </c>
      <c r="N10" s="6">
        <v>147.0</v>
      </c>
      <c r="O10" s="9">
        <v>0.09722222222222222</v>
      </c>
      <c r="P10" s="6">
        <v>48.0</v>
      </c>
      <c r="Q10" s="6">
        <v>25.0</v>
      </c>
      <c r="R10" s="10">
        <f>+23</f>
        <v>23</v>
      </c>
      <c r="S10" s="10" t="str">
        <f>+0.77</f>
        <v>#ERROR!</v>
      </c>
    </row>
    <row r="11">
      <c r="A11" s="5" t="s">
        <v>34</v>
      </c>
      <c r="B11" s="6">
        <v>26.0</v>
      </c>
      <c r="C11" s="7" t="s">
        <v>35</v>
      </c>
      <c r="D11" s="8">
        <v>30.0</v>
      </c>
      <c r="E11" s="6">
        <v>2.7</v>
      </c>
      <c r="F11" s="6">
        <v>90.0</v>
      </c>
      <c r="G11" s="6">
        <v>100.0</v>
      </c>
      <c r="H11" s="6" t="s">
        <v>19</v>
      </c>
      <c r="I11" s="8">
        <v>330.0</v>
      </c>
      <c r="J11" s="6">
        <v>83.0</v>
      </c>
      <c r="K11" s="6">
        <v>212.0</v>
      </c>
      <c r="L11" s="8">
        <v>117.0</v>
      </c>
      <c r="M11" s="6">
        <v>20.0</v>
      </c>
      <c r="N11" s="6">
        <v>145.0</v>
      </c>
      <c r="O11" s="9">
        <v>0.041666666666666664</v>
      </c>
      <c r="P11" s="6">
        <v>38.0</v>
      </c>
      <c r="Q11" s="6">
        <v>58.0</v>
      </c>
      <c r="R11" s="11">
        <v>-20.0</v>
      </c>
      <c r="S11" s="12">
        <v>-0.04652777777777778</v>
      </c>
    </row>
    <row r="12">
      <c r="A12" s="5" t="s">
        <v>36</v>
      </c>
      <c r="B12" s="6">
        <v>31.0</v>
      </c>
      <c r="C12" s="7" t="s">
        <v>37</v>
      </c>
      <c r="D12" s="8">
        <v>30.0</v>
      </c>
      <c r="E12" s="6">
        <v>2.7</v>
      </c>
      <c r="F12" s="6">
        <v>90.0</v>
      </c>
      <c r="G12" s="6">
        <v>100.0</v>
      </c>
      <c r="H12" s="6" t="s">
        <v>19</v>
      </c>
      <c r="I12" s="8">
        <v>330.0</v>
      </c>
      <c r="J12" s="6">
        <v>82.0</v>
      </c>
      <c r="K12" s="6">
        <v>191.0</v>
      </c>
      <c r="L12" s="8">
        <v>139.0</v>
      </c>
      <c r="M12" s="6">
        <v>19.0</v>
      </c>
      <c r="N12" s="6">
        <v>130.0</v>
      </c>
      <c r="O12" s="9">
        <v>0.09513888888888888</v>
      </c>
      <c r="P12" s="6">
        <v>67.0</v>
      </c>
      <c r="Q12" s="6">
        <v>25.0</v>
      </c>
      <c r="R12" s="10">
        <f>+42</f>
        <v>42</v>
      </c>
      <c r="S12" s="10" t="str">
        <f>+1.40</f>
        <v>#ERROR!</v>
      </c>
    </row>
    <row r="13">
      <c r="A13" s="5" t="s">
        <v>38</v>
      </c>
      <c r="B13" s="6">
        <v>26.0</v>
      </c>
      <c r="C13" s="7" t="s">
        <v>26</v>
      </c>
      <c r="D13" s="8">
        <v>30.0</v>
      </c>
      <c r="E13" s="6">
        <v>2.7</v>
      </c>
      <c r="F13" s="6">
        <v>90.0</v>
      </c>
      <c r="G13" s="6">
        <v>100.0</v>
      </c>
      <c r="H13" s="6" t="s">
        <v>19</v>
      </c>
      <c r="I13" s="8">
        <v>330.0</v>
      </c>
      <c r="J13" s="6">
        <v>83.0</v>
      </c>
      <c r="K13" s="6">
        <v>218.0</v>
      </c>
      <c r="L13" s="8">
        <v>113.0</v>
      </c>
      <c r="M13" s="6">
        <v>19.0</v>
      </c>
      <c r="N13" s="6">
        <v>154.0</v>
      </c>
      <c r="O13" s="9">
        <v>0.08819444444444445</v>
      </c>
      <c r="P13" s="6">
        <v>44.0</v>
      </c>
      <c r="Q13" s="6">
        <v>35.0</v>
      </c>
      <c r="R13" s="10">
        <f>+9</f>
        <v>9</v>
      </c>
      <c r="S13" s="10" t="str">
        <f>+0.30</f>
        <v>#ERROR!</v>
      </c>
    </row>
    <row r="14">
      <c r="A14" s="5" t="s">
        <v>39</v>
      </c>
      <c r="B14" s="6">
        <v>30.0</v>
      </c>
      <c r="C14" s="7" t="s">
        <v>40</v>
      </c>
      <c r="D14" s="8">
        <v>30.0</v>
      </c>
      <c r="E14" s="6">
        <v>2.7</v>
      </c>
      <c r="F14" s="6">
        <v>90.0</v>
      </c>
      <c r="G14" s="6">
        <v>100.0</v>
      </c>
      <c r="H14" s="6" t="s">
        <v>19</v>
      </c>
      <c r="I14" s="8">
        <v>330.0</v>
      </c>
      <c r="J14" s="6">
        <v>82.0</v>
      </c>
      <c r="K14" s="6">
        <v>192.0</v>
      </c>
      <c r="L14" s="8">
        <v>138.0</v>
      </c>
      <c r="M14" s="6">
        <v>18.0</v>
      </c>
      <c r="N14" s="6">
        <v>131.0</v>
      </c>
      <c r="O14" s="9">
        <v>0.050694444444444445</v>
      </c>
      <c r="P14" s="6">
        <v>36.0</v>
      </c>
      <c r="Q14" s="6">
        <v>57.0</v>
      </c>
      <c r="R14" s="11">
        <v>-21.0</v>
      </c>
      <c r="S14" s="12">
        <v>-0.04861111111111111</v>
      </c>
    </row>
    <row r="15">
      <c r="A15" s="5" t="s">
        <v>41</v>
      </c>
      <c r="B15" s="6">
        <v>27.0</v>
      </c>
      <c r="C15" s="7" t="s">
        <v>42</v>
      </c>
      <c r="D15" s="8">
        <v>30.0</v>
      </c>
      <c r="E15" s="6">
        <v>2.7</v>
      </c>
      <c r="F15" s="6">
        <v>90.0</v>
      </c>
      <c r="G15" s="6">
        <v>100.0</v>
      </c>
      <c r="H15" s="6" t="s">
        <v>19</v>
      </c>
      <c r="I15" s="8">
        <v>330.0</v>
      </c>
      <c r="J15" s="6">
        <v>84.0</v>
      </c>
      <c r="K15" s="6">
        <v>209.0</v>
      </c>
      <c r="L15" s="8">
        <v>123.0</v>
      </c>
      <c r="M15" s="6">
        <v>17.0</v>
      </c>
      <c r="N15" s="6">
        <v>139.0</v>
      </c>
      <c r="O15" s="9">
        <v>0.06736111111111111</v>
      </c>
      <c r="P15" s="6">
        <v>47.0</v>
      </c>
      <c r="Q15" s="6">
        <v>46.0</v>
      </c>
      <c r="R15" s="10">
        <f>+1</f>
        <v>1</v>
      </c>
      <c r="S15" s="10" t="str">
        <f>+0.03</f>
        <v>#ERROR!</v>
      </c>
    </row>
    <row r="16">
      <c r="A16" s="5" t="s">
        <v>43</v>
      </c>
      <c r="B16" s="6">
        <v>25.0</v>
      </c>
      <c r="C16" s="7" t="s">
        <v>28</v>
      </c>
      <c r="D16" s="8">
        <v>30.0</v>
      </c>
      <c r="E16" s="6">
        <v>2.7</v>
      </c>
      <c r="F16" s="6">
        <v>90.0</v>
      </c>
      <c r="G16" s="6">
        <v>100.0</v>
      </c>
      <c r="H16" s="6" t="s">
        <v>19</v>
      </c>
      <c r="I16" s="8">
        <v>330.0</v>
      </c>
      <c r="J16" s="6">
        <v>83.0</v>
      </c>
      <c r="K16" s="6">
        <v>210.0</v>
      </c>
      <c r="L16" s="8">
        <v>120.0</v>
      </c>
      <c r="M16" s="6">
        <v>20.0</v>
      </c>
      <c r="N16" s="6">
        <v>147.0</v>
      </c>
      <c r="O16" s="9">
        <v>0.04375</v>
      </c>
      <c r="P16" s="6">
        <v>30.0</v>
      </c>
      <c r="Q16" s="6">
        <v>40.0</v>
      </c>
      <c r="R16" s="11">
        <v>-10.0</v>
      </c>
      <c r="S16" s="12">
        <v>-0.022916666666666665</v>
      </c>
    </row>
    <row r="17">
      <c r="A17" s="13" t="s">
        <v>44</v>
      </c>
      <c r="B17" s="14">
        <v>34.0</v>
      </c>
      <c r="C17" s="15" t="s">
        <v>45</v>
      </c>
      <c r="D17" s="16">
        <v>30.0</v>
      </c>
      <c r="E17" s="14">
        <v>2.7</v>
      </c>
      <c r="F17" s="14">
        <v>90.0</v>
      </c>
      <c r="G17" s="14">
        <v>100.0</v>
      </c>
      <c r="H17" s="14" t="s">
        <v>19</v>
      </c>
      <c r="I17" s="16">
        <v>330.0</v>
      </c>
      <c r="J17" s="14">
        <v>82.0</v>
      </c>
      <c r="K17" s="14">
        <v>184.0</v>
      </c>
      <c r="L17" s="16">
        <v>146.0</v>
      </c>
      <c r="M17" s="14">
        <v>18.0</v>
      </c>
      <c r="N17" s="14">
        <v>124.0</v>
      </c>
      <c r="O17" s="17">
        <v>0.05347222222222222</v>
      </c>
      <c r="P17" s="14">
        <v>26.0</v>
      </c>
      <c r="Q17" s="14">
        <v>43.0</v>
      </c>
      <c r="R17" s="18">
        <v>-17.0</v>
      </c>
      <c r="S17" s="19">
        <v>-0.03958333333333333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4" t="str">
        <f>+/-</f>
        <v>#ERROR!</v>
      </c>
      <c r="S1" s="4" t="str">
        <f>+/-90</f>
        <v>#ERROR!</v>
      </c>
    </row>
    <row r="2">
      <c r="A2" s="5" t="s">
        <v>46</v>
      </c>
      <c r="B2" s="6">
        <v>28.0</v>
      </c>
      <c r="C2" s="7" t="s">
        <v>18</v>
      </c>
      <c r="D2" s="8">
        <v>30.0</v>
      </c>
      <c r="E2" s="6">
        <v>2.7</v>
      </c>
      <c r="F2" s="6">
        <v>90.0</v>
      </c>
      <c r="G2" s="6">
        <v>100.0</v>
      </c>
      <c r="H2" s="6" t="s">
        <v>19</v>
      </c>
      <c r="I2" s="20" t="s">
        <v>47</v>
      </c>
      <c r="J2" s="6">
        <v>85.0</v>
      </c>
      <c r="K2" s="21">
        <v>0.33125</v>
      </c>
      <c r="L2" s="22">
        <v>0.15069444444444444</v>
      </c>
      <c r="M2" s="6">
        <v>17.0</v>
      </c>
      <c r="N2" s="21">
        <v>0.22916666666666666</v>
      </c>
      <c r="O2" s="9">
        <v>0.09722222222222222</v>
      </c>
      <c r="P2" s="21">
        <v>0.07847222222222222</v>
      </c>
      <c r="Q2" s="21">
        <v>0.06736111111111111</v>
      </c>
      <c r="R2" s="23">
        <v>0.011805555555555555</v>
      </c>
      <c r="S2" s="10" t="str">
        <f>+0.17</f>
        <v>#ERROR!</v>
      </c>
    </row>
    <row r="3">
      <c r="A3" s="5" t="s">
        <v>48</v>
      </c>
      <c r="B3" s="6">
        <v>31.0</v>
      </c>
      <c r="C3" s="7" t="s">
        <v>18</v>
      </c>
      <c r="D3" s="8">
        <v>30.0</v>
      </c>
      <c r="E3" s="6">
        <v>2.7</v>
      </c>
      <c r="F3" s="6">
        <v>90.0</v>
      </c>
      <c r="G3" s="6">
        <v>100.0</v>
      </c>
      <c r="H3" s="6" t="s">
        <v>19</v>
      </c>
      <c r="I3" s="20" t="s">
        <v>47</v>
      </c>
      <c r="J3" s="6">
        <v>82.0</v>
      </c>
      <c r="K3" s="21">
        <v>0.2916666666666667</v>
      </c>
      <c r="L3" s="22">
        <v>0.19652777777777777</v>
      </c>
      <c r="M3" s="6">
        <v>20.0</v>
      </c>
      <c r="N3" s="21">
        <v>0.19930555555555557</v>
      </c>
      <c r="O3" s="9">
        <v>0.06944444444444445</v>
      </c>
      <c r="P3" s="21">
        <v>0.09722222222222222</v>
      </c>
      <c r="Q3" s="21">
        <v>0.09027777777777778</v>
      </c>
      <c r="R3" s="23">
        <v>0.006944444444444444</v>
      </c>
      <c r="S3" s="10" t="str">
        <f>+0.10</f>
        <v>#ERROR!</v>
      </c>
    </row>
    <row r="4">
      <c r="A4" s="5" t="s">
        <v>49</v>
      </c>
      <c r="B4" s="6">
        <v>32.0</v>
      </c>
      <c r="C4" s="7" t="s">
        <v>22</v>
      </c>
      <c r="D4" s="8">
        <v>30.0</v>
      </c>
      <c r="E4" s="6">
        <v>2.7</v>
      </c>
      <c r="F4" s="6">
        <v>90.0</v>
      </c>
      <c r="G4" s="6">
        <v>100.0</v>
      </c>
      <c r="H4" s="6" t="s">
        <v>19</v>
      </c>
      <c r="I4" s="20" t="s">
        <v>47</v>
      </c>
      <c r="J4" s="6">
        <v>84.0</v>
      </c>
      <c r="K4" s="21">
        <v>0.3104166666666667</v>
      </c>
      <c r="L4" s="22">
        <v>0.18055555555555555</v>
      </c>
      <c r="M4" s="6">
        <v>18.0</v>
      </c>
      <c r="N4" s="21">
        <v>0.18958333333333333</v>
      </c>
      <c r="O4" s="9">
        <v>0.050694444444444445</v>
      </c>
      <c r="P4" s="21">
        <v>0.07847222222222222</v>
      </c>
      <c r="Q4" s="21">
        <v>0.09513888888888888</v>
      </c>
      <c r="R4" s="24">
        <v>-0.01597222222222222</v>
      </c>
      <c r="S4" s="12">
        <v>-0.01597222222222222</v>
      </c>
    </row>
    <row r="5">
      <c r="A5" s="5" t="s">
        <v>50</v>
      </c>
      <c r="B5" s="6">
        <v>31.0</v>
      </c>
      <c r="C5" s="7" t="s">
        <v>24</v>
      </c>
      <c r="D5" s="8">
        <v>30.0</v>
      </c>
      <c r="E5" s="6">
        <v>2.7</v>
      </c>
      <c r="F5" s="6">
        <v>90.0</v>
      </c>
      <c r="G5" s="6">
        <v>100.0</v>
      </c>
      <c r="H5" s="6" t="s">
        <v>19</v>
      </c>
      <c r="I5" s="20" t="s">
        <v>47</v>
      </c>
      <c r="J5" s="6">
        <v>80.0</v>
      </c>
      <c r="K5" s="21">
        <v>0.29375</v>
      </c>
      <c r="L5" s="22">
        <v>0.19444444444444445</v>
      </c>
      <c r="M5" s="6">
        <v>25.0</v>
      </c>
      <c r="N5" s="21">
        <v>0.19652777777777777</v>
      </c>
      <c r="O5" s="9">
        <v>0.09513888888888888</v>
      </c>
      <c r="P5" s="21">
        <v>0.0763888888888889</v>
      </c>
      <c r="Q5" s="21">
        <v>0.05347222222222222</v>
      </c>
      <c r="R5" s="23">
        <v>0.022916666666666665</v>
      </c>
      <c r="S5" s="10" t="str">
        <f>+0.33</f>
        <v>#ERROR!</v>
      </c>
    </row>
    <row r="6">
      <c r="A6" s="5" t="s">
        <v>51</v>
      </c>
      <c r="B6" s="6">
        <v>28.0</v>
      </c>
      <c r="C6" s="7" t="s">
        <v>26</v>
      </c>
      <c r="D6" s="8">
        <v>30.0</v>
      </c>
      <c r="E6" s="6">
        <v>2.7</v>
      </c>
      <c r="F6" s="6">
        <v>90.0</v>
      </c>
      <c r="G6" s="6">
        <v>100.0</v>
      </c>
      <c r="H6" s="6" t="s">
        <v>19</v>
      </c>
      <c r="I6" s="20" t="s">
        <v>47</v>
      </c>
      <c r="J6" s="6">
        <v>80.0</v>
      </c>
      <c r="K6" s="21">
        <v>0.2826388888888889</v>
      </c>
      <c r="L6" s="22">
        <v>0.19652777777777777</v>
      </c>
      <c r="M6" s="6">
        <v>24.0</v>
      </c>
      <c r="N6" s="21">
        <v>0.20347222222222222</v>
      </c>
      <c r="O6" s="9">
        <v>0.0763888888888889</v>
      </c>
      <c r="P6" s="21">
        <v>0.09236111111111112</v>
      </c>
      <c r="Q6" s="21">
        <v>0.07430555555555556</v>
      </c>
      <c r="R6" s="23">
        <v>0.01875</v>
      </c>
      <c r="S6" s="10" t="str">
        <f>+0.27</f>
        <v>#ERROR!</v>
      </c>
    </row>
    <row r="7">
      <c r="A7" s="5" t="s">
        <v>52</v>
      </c>
      <c r="B7" s="6">
        <v>25.0</v>
      </c>
      <c r="C7" s="7" t="s">
        <v>28</v>
      </c>
      <c r="D7" s="8">
        <v>30.0</v>
      </c>
      <c r="E7" s="6">
        <v>2.7</v>
      </c>
      <c r="F7" s="6">
        <v>90.0</v>
      </c>
      <c r="G7" s="6">
        <v>100.0</v>
      </c>
      <c r="H7" s="6" t="s">
        <v>19</v>
      </c>
      <c r="I7" s="20" t="s">
        <v>47</v>
      </c>
      <c r="J7" s="6">
        <v>81.0</v>
      </c>
      <c r="K7" s="21">
        <v>0.26180555555555557</v>
      </c>
      <c r="L7" s="22">
        <v>0.21736111111111112</v>
      </c>
      <c r="M7" s="6">
        <v>20.0</v>
      </c>
      <c r="N7" s="21">
        <v>0.17847222222222223</v>
      </c>
      <c r="O7" s="9">
        <v>0.08333333333333333</v>
      </c>
      <c r="P7" s="21">
        <v>0.05555555555555555</v>
      </c>
      <c r="Q7" s="21">
        <v>0.050694444444444445</v>
      </c>
      <c r="R7" s="23">
        <v>0.004861111111111111</v>
      </c>
      <c r="S7" s="10" t="str">
        <f>+0.07</f>
        <v>#ERROR!</v>
      </c>
    </row>
    <row r="8">
      <c r="A8" s="5" t="s">
        <v>53</v>
      </c>
      <c r="B8" s="6">
        <v>34.0</v>
      </c>
      <c r="C8" s="7" t="s">
        <v>30</v>
      </c>
      <c r="D8" s="8">
        <v>30.0</v>
      </c>
      <c r="E8" s="6">
        <v>2.7</v>
      </c>
      <c r="F8" s="6">
        <v>90.0</v>
      </c>
      <c r="G8" s="6">
        <v>100.0</v>
      </c>
      <c r="H8" s="6" t="s">
        <v>19</v>
      </c>
      <c r="I8" s="20" t="s">
        <v>47</v>
      </c>
      <c r="J8" s="6">
        <v>82.0</v>
      </c>
      <c r="K8" s="21">
        <v>0.3034722222222222</v>
      </c>
      <c r="L8" s="22">
        <v>0.17847222222222223</v>
      </c>
      <c r="M8" s="6">
        <v>20.0</v>
      </c>
      <c r="N8" s="21">
        <v>0.20625</v>
      </c>
      <c r="O8" s="9">
        <v>0.04375</v>
      </c>
      <c r="P8" s="21">
        <v>0.04861111111111111</v>
      </c>
      <c r="Q8" s="21">
        <v>0.07152777777777777</v>
      </c>
      <c r="R8" s="24">
        <v>-0.022916666666666665</v>
      </c>
      <c r="S8" s="12">
        <v>-0.022916666666666665</v>
      </c>
    </row>
    <row r="9">
      <c r="A9" s="5" t="s">
        <v>54</v>
      </c>
      <c r="B9" s="6">
        <v>28.0</v>
      </c>
      <c r="C9" s="7" t="s">
        <v>18</v>
      </c>
      <c r="D9" s="8">
        <v>30.0</v>
      </c>
      <c r="E9" s="6">
        <v>2.7</v>
      </c>
      <c r="F9" s="6">
        <v>90.0</v>
      </c>
      <c r="G9" s="6">
        <v>100.0</v>
      </c>
      <c r="H9" s="6" t="s">
        <v>19</v>
      </c>
      <c r="I9" s="20" t="s">
        <v>47</v>
      </c>
      <c r="J9" s="6">
        <v>83.0</v>
      </c>
      <c r="K9" s="21">
        <v>0.3145833333333333</v>
      </c>
      <c r="L9" s="22">
        <v>0.17152777777777778</v>
      </c>
      <c r="M9" s="6">
        <v>19.0</v>
      </c>
      <c r="N9" s="21">
        <v>0.21041666666666667</v>
      </c>
      <c r="O9" s="9">
        <v>0.04861111111111111</v>
      </c>
      <c r="P9" s="21">
        <v>0.04652777777777778</v>
      </c>
      <c r="Q9" s="21">
        <v>0.08819444444444445</v>
      </c>
      <c r="R9" s="24">
        <v>-0.041666666666666664</v>
      </c>
      <c r="S9" s="12">
        <v>-0.041666666666666664</v>
      </c>
    </row>
    <row r="10">
      <c r="A10" s="5" t="s">
        <v>55</v>
      </c>
      <c r="B10" s="6">
        <v>32.0</v>
      </c>
      <c r="C10" s="7" t="s">
        <v>33</v>
      </c>
      <c r="D10" s="8">
        <v>30.0</v>
      </c>
      <c r="E10" s="6">
        <v>2.7</v>
      </c>
      <c r="F10" s="6">
        <v>90.0</v>
      </c>
      <c r="G10" s="6">
        <v>100.0</v>
      </c>
      <c r="H10" s="6" t="s">
        <v>19</v>
      </c>
      <c r="I10" s="20" t="s">
        <v>47</v>
      </c>
      <c r="J10" s="6">
        <v>84.0</v>
      </c>
      <c r="K10" s="21">
        <v>0.3104166666666667</v>
      </c>
      <c r="L10" s="22">
        <v>0.17569444444444443</v>
      </c>
      <c r="M10" s="6">
        <v>16.0</v>
      </c>
      <c r="N10" s="21">
        <v>0.22916666666666666</v>
      </c>
      <c r="O10" s="9">
        <v>0.09722222222222222</v>
      </c>
      <c r="P10" s="21">
        <v>0.08333333333333333</v>
      </c>
      <c r="Q10" s="21">
        <v>0.05763888888888889</v>
      </c>
      <c r="R10" s="23">
        <v>0.05347222222222222</v>
      </c>
      <c r="S10" s="10" t="str">
        <f>+0.77</f>
        <v>#ERROR!</v>
      </c>
    </row>
    <row r="11">
      <c r="A11" s="5" t="s">
        <v>56</v>
      </c>
      <c r="B11" s="6">
        <v>26.0</v>
      </c>
      <c r="C11" s="7" t="s">
        <v>35</v>
      </c>
      <c r="D11" s="8">
        <v>30.0</v>
      </c>
      <c r="E11" s="6">
        <v>2.7</v>
      </c>
      <c r="F11" s="6">
        <v>90.0</v>
      </c>
      <c r="G11" s="6">
        <v>100.0</v>
      </c>
      <c r="H11" s="6" t="s">
        <v>19</v>
      </c>
      <c r="I11" s="20" t="s">
        <v>47</v>
      </c>
      <c r="J11" s="6">
        <v>83.0</v>
      </c>
      <c r="K11" s="21">
        <v>0.2965277777777778</v>
      </c>
      <c r="L11" s="22">
        <v>0.1875</v>
      </c>
      <c r="M11" s="6">
        <v>20.0</v>
      </c>
      <c r="N11" s="21">
        <v>0.22430555555555556</v>
      </c>
      <c r="O11" s="9">
        <v>0.041666666666666664</v>
      </c>
      <c r="P11" s="21">
        <v>0.06041666666666667</v>
      </c>
      <c r="Q11" s="21">
        <v>0.10625</v>
      </c>
      <c r="R11" s="24">
        <v>-0.04652777777777778</v>
      </c>
      <c r="S11" s="12">
        <v>-0.04652777777777778</v>
      </c>
    </row>
    <row r="12">
      <c r="A12" s="5" t="s">
        <v>57</v>
      </c>
      <c r="B12" s="6">
        <v>31.0</v>
      </c>
      <c r="C12" s="7" t="s">
        <v>37</v>
      </c>
      <c r="D12" s="8">
        <v>30.0</v>
      </c>
      <c r="E12" s="6">
        <v>2.7</v>
      </c>
      <c r="F12" s="6">
        <v>90.0</v>
      </c>
      <c r="G12" s="6">
        <v>100.0</v>
      </c>
      <c r="H12" s="6" t="s">
        <v>19</v>
      </c>
      <c r="I12" s="20" t="s">
        <v>47</v>
      </c>
      <c r="J12" s="6">
        <v>82.0</v>
      </c>
      <c r="K12" s="21">
        <v>0.27569444444444446</v>
      </c>
      <c r="L12" s="22">
        <v>0.21041666666666667</v>
      </c>
      <c r="M12" s="6">
        <v>19.0</v>
      </c>
      <c r="N12" s="21">
        <v>0.18958333333333333</v>
      </c>
      <c r="O12" s="9">
        <v>0.09513888888888888</v>
      </c>
      <c r="P12" s="21">
        <v>0.09930555555555555</v>
      </c>
      <c r="Q12" s="21">
        <v>0.05763888888888889</v>
      </c>
      <c r="R12" s="23">
        <v>0.06944444444444445</v>
      </c>
      <c r="S12" s="10" t="str">
        <f>+1.40</f>
        <v>#ERROR!</v>
      </c>
    </row>
    <row r="13">
      <c r="A13" s="5" t="s">
        <v>58</v>
      </c>
      <c r="B13" s="6">
        <v>26.0</v>
      </c>
      <c r="C13" s="7" t="s">
        <v>26</v>
      </c>
      <c r="D13" s="8">
        <v>30.0</v>
      </c>
      <c r="E13" s="6">
        <v>2.7</v>
      </c>
      <c r="F13" s="6">
        <v>90.0</v>
      </c>
      <c r="G13" s="6">
        <v>100.0</v>
      </c>
      <c r="H13" s="6" t="s">
        <v>19</v>
      </c>
      <c r="I13" s="20" t="s">
        <v>47</v>
      </c>
      <c r="J13" s="6">
        <v>83.0</v>
      </c>
      <c r="K13" s="21">
        <v>0.3104166666666667</v>
      </c>
      <c r="L13" s="22">
        <v>0.17847222222222223</v>
      </c>
      <c r="M13" s="6">
        <v>19.0</v>
      </c>
      <c r="N13" s="21">
        <v>0.21736111111111112</v>
      </c>
      <c r="O13" s="9">
        <v>0.08819444444444445</v>
      </c>
      <c r="P13" s="21">
        <v>0.07430555555555556</v>
      </c>
      <c r="Q13" s="21">
        <v>0.05347222222222222</v>
      </c>
      <c r="R13" s="23">
        <v>0.020833333333333332</v>
      </c>
      <c r="S13" s="10" t="str">
        <f>+0.30</f>
        <v>#ERROR!</v>
      </c>
    </row>
    <row r="14">
      <c r="A14" s="5" t="s">
        <v>59</v>
      </c>
      <c r="B14" s="6">
        <v>30.0</v>
      </c>
      <c r="C14" s="7" t="s">
        <v>40</v>
      </c>
      <c r="D14" s="8">
        <v>30.0</v>
      </c>
      <c r="E14" s="6">
        <v>2.7</v>
      </c>
      <c r="F14" s="6">
        <v>90.0</v>
      </c>
      <c r="G14" s="6">
        <v>100.0</v>
      </c>
      <c r="H14" s="6" t="s">
        <v>19</v>
      </c>
      <c r="I14" s="20" t="s">
        <v>47</v>
      </c>
      <c r="J14" s="6">
        <v>82.0</v>
      </c>
      <c r="K14" s="21">
        <v>0.2777777777777778</v>
      </c>
      <c r="L14" s="22">
        <v>0.20833333333333334</v>
      </c>
      <c r="M14" s="6">
        <v>18.0</v>
      </c>
      <c r="N14" s="21">
        <v>0.19236111111111112</v>
      </c>
      <c r="O14" s="9">
        <v>0.050694444444444445</v>
      </c>
      <c r="P14" s="21">
        <v>0.05555555555555555</v>
      </c>
      <c r="Q14" s="21">
        <v>0.10416666666666667</v>
      </c>
      <c r="R14" s="24">
        <v>-0.04861111111111111</v>
      </c>
      <c r="S14" s="12">
        <v>-0.04861111111111111</v>
      </c>
    </row>
    <row r="15">
      <c r="A15" s="5" t="s">
        <v>60</v>
      </c>
      <c r="B15" s="6">
        <v>27.0</v>
      </c>
      <c r="C15" s="7" t="s">
        <v>42</v>
      </c>
      <c r="D15" s="8">
        <v>30.0</v>
      </c>
      <c r="E15" s="6">
        <v>2.7</v>
      </c>
      <c r="F15" s="6">
        <v>90.0</v>
      </c>
      <c r="G15" s="6">
        <v>100.0</v>
      </c>
      <c r="H15" s="6" t="s">
        <v>19</v>
      </c>
      <c r="I15" s="20" t="s">
        <v>47</v>
      </c>
      <c r="J15" s="6">
        <v>84.0</v>
      </c>
      <c r="K15" s="21">
        <v>0.3173611111111111</v>
      </c>
      <c r="L15" s="22">
        <v>0.1736111111111111</v>
      </c>
      <c r="M15" s="6">
        <v>17.0</v>
      </c>
      <c r="N15" s="21">
        <v>0.21041666666666667</v>
      </c>
      <c r="O15" s="9">
        <v>0.06736111111111111</v>
      </c>
      <c r="P15" s="21">
        <v>0.08125</v>
      </c>
      <c r="Q15" s="21">
        <v>0.07847222222222222</v>
      </c>
      <c r="R15" s="23">
        <v>0.0020833333333333333</v>
      </c>
      <c r="S15" s="10" t="str">
        <f>+0.03</f>
        <v>#ERROR!</v>
      </c>
    </row>
    <row r="16">
      <c r="A16" s="5" t="s">
        <v>61</v>
      </c>
      <c r="B16" s="6">
        <v>25.0</v>
      </c>
      <c r="C16" s="7" t="s">
        <v>28</v>
      </c>
      <c r="D16" s="8">
        <v>30.0</v>
      </c>
      <c r="E16" s="6">
        <v>2.7</v>
      </c>
      <c r="F16" s="6">
        <v>90.0</v>
      </c>
      <c r="G16" s="6">
        <v>100.0</v>
      </c>
      <c r="H16" s="6" t="s">
        <v>19</v>
      </c>
      <c r="I16" s="20" t="s">
        <v>47</v>
      </c>
      <c r="J16" s="6">
        <v>83.0</v>
      </c>
      <c r="K16" s="21">
        <v>0.2916666666666667</v>
      </c>
      <c r="L16" s="22">
        <v>0.16666666666666666</v>
      </c>
      <c r="M16" s="6">
        <v>20.0</v>
      </c>
      <c r="N16" s="21">
        <v>0.22916666666666666</v>
      </c>
      <c r="O16" s="9">
        <v>0.04375</v>
      </c>
      <c r="P16" s="21">
        <v>0.041666666666666664</v>
      </c>
      <c r="Q16" s="21">
        <v>0.06458333333333334</v>
      </c>
      <c r="R16" s="24">
        <v>-0.022916666666666665</v>
      </c>
      <c r="S16" s="12">
        <v>-0.022916666666666665</v>
      </c>
    </row>
    <row r="17">
      <c r="A17" s="13" t="s">
        <v>62</v>
      </c>
      <c r="B17" s="25">
        <v>34.0</v>
      </c>
      <c r="C17" s="26" t="s">
        <v>45</v>
      </c>
      <c r="D17" s="27">
        <v>30.0</v>
      </c>
      <c r="E17" s="25">
        <v>2.7</v>
      </c>
      <c r="F17" s="25">
        <v>90.0</v>
      </c>
      <c r="G17" s="25">
        <v>100.0</v>
      </c>
      <c r="H17" s="25" t="s">
        <v>19</v>
      </c>
      <c r="I17" s="28" t="s">
        <v>47</v>
      </c>
      <c r="J17" s="25">
        <v>82.0</v>
      </c>
      <c r="K17" s="29">
        <v>0.2590277777777778</v>
      </c>
      <c r="L17" s="30">
        <v>0.22708333333333333</v>
      </c>
      <c r="M17" s="25">
        <v>18.0</v>
      </c>
      <c r="N17" s="29">
        <v>0.17569444444444443</v>
      </c>
      <c r="O17" s="31">
        <v>0.05347222222222222</v>
      </c>
      <c r="P17" s="29">
        <v>0.06041666666666667</v>
      </c>
      <c r="Q17" s="29">
        <v>0.07152777777777777</v>
      </c>
      <c r="R17" s="32">
        <v>-0.03958333333333333</v>
      </c>
      <c r="S17" s="33">
        <v>-0.03958333333333333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