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<sst xmlns="http://schemas.openxmlformats.org/spreadsheetml/2006/main" count="55" uniqueCount="41">
  <si>
    <t>Squad</t>
  </si>
  <si>
    <t># Pl</t>
  </si>
  <si>
    <t>Age</t>
  </si>
  <si>
    <t>MP</t>
  </si>
  <si>
    <t>Min</t>
  </si>
  <si>
    <t>Mn/MP</t>
  </si>
  <si>
    <t>Min%</t>
  </si>
  <si>
    <t>90s</t>
  </si>
  <si>
    <t>Starts</t>
  </si>
  <si>
    <t>Subs</t>
  </si>
  <si>
    <t>PPM</t>
  </si>
  <si>
    <t>onG</t>
  </si>
  <si>
    <t>onGA</t>
  </si>
  <si>
    <r>
      <rPr>
        <rFont val="Verdana, sans-serif"/>
        <color rgb="FF1155CC"/>
        <u/>
      </rPr>
      <t>AIK Stockholm</t>
    </r>
  </si>
  <si>
    <t>25.0</t>
  </si>
  <si>
    <t>26.0</t>
  </si>
  <si>
    <r>
      <rPr>
        <rFont val="Verdana, sans-serif"/>
        <color rgb="FF1155CC"/>
        <u/>
      </rPr>
      <t>BK Häcken</t>
    </r>
  </si>
  <si>
    <t>26.1</t>
  </si>
  <si>
    <r>
      <rPr>
        <rFont val="Verdana, sans-serif"/>
        <color rgb="FF1155CC"/>
        <u/>
      </rPr>
      <t>Djurgården</t>
    </r>
  </si>
  <si>
    <t>25.8</t>
  </si>
  <si>
    <r>
      <rPr>
        <rFont val="Verdana, sans-serif"/>
        <color rgb="FF1155CC"/>
        <u/>
      </rPr>
      <t>Elfsborg</t>
    </r>
  </si>
  <si>
    <t>23.8</t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</si>
  <si>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</si>
  <si>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</si>
  <si>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t>26.7</t>
  </si>
  <si>
    <r>
      <rPr>
        <rFont val="Verdana, sans-serif"/>
        <color rgb="FF1155CC"/>
        <u/>
      </rPr>
      <t>Hammarby</t>
    </r>
  </si>
  <si>
    <t>27.1</t>
  </si>
  <si>
    <r>
      <rPr>
        <rFont val="Verdana, sans-serif"/>
        <color rgb="FF1155CC"/>
        <u/>
      </rPr>
      <t>Helsingborg</t>
    </r>
  </si>
  <si>
    <t>28.4</t>
  </si>
  <si>
    <r>
      <rPr>
        <rFont val="Verdana, sans-serif"/>
        <color rgb="FF1155CC"/>
        <u/>
      </rPr>
      <t>Malmö</t>
    </r>
  </si>
  <si>
    <t>25.6</t>
  </si>
  <si>
    <r>
      <rPr>
        <rFont val="Verdana, sans-serif"/>
        <color rgb="FF1155CC"/>
        <u/>
      </rPr>
      <t>Norrköping</t>
    </r>
  </si>
  <si>
    <t>25.5</t>
  </si>
  <si>
    <r>
      <rPr>
        <rFont val="Verdana, sans-serif"/>
        <color rgb="FF1155CC"/>
        <u/>
      </rPr>
      <t>Örebro</t>
    </r>
  </si>
  <si>
    <t>27.0</t>
  </si>
  <si>
    <r>
      <rPr>
        <rFont val="Verdana, sans-serif"/>
        <color rgb="FF1155CC"/>
        <u/>
      </rPr>
      <t>Örgryte</t>
    </r>
  </si>
  <si>
    <t>26.3</t>
  </si>
  <si>
    <r>
      <rPr>
        <rFont val="Verdana, sans-serif"/>
        <color rgb="FF1155CC"/>
        <u/>
      </rPr>
      <t>Sundsvall</t>
    </r>
  </si>
  <si>
    <t>27.5</t>
  </si>
  <si>
    <r>
      <rPr>
        <rFont val="Verdana, sans-serif"/>
        <color rgb="FF1155CC"/>
        <u/>
      </rPr>
      <t>Trelleborg</t>
    </r>
  </si>
  <si>
    <t>27.2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</si>
</sst>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.mm"/>
    <numFmt numFmtId="165" formatCode="[hh].mm.ss"/>
  </numFmts>
  <fonts count="7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color rgb="FF008800"/>
      <name val="Verdana"/>
    </font>
    <font>
      <color rgb="FFCC0000"/>
      <name val="Verdana"/>
    </font>
    <font>
      <u/>
      <color rgb="FF0000FF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5" fillId="3" fontId="3" numFmtId="0" xfId="0" applyAlignment="1" applyBorder="1" applyFont="1">
      <alignment horizontal="center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6" fillId="3" fontId="3" numFmtId="164" xfId="0" applyAlignment="1" applyBorder="1" applyFont="1" applyNumberFormat="1">
      <alignment horizontal="right" readingOrder="0" shrinkToFit="0" wrapText="0"/>
    </xf>
    <xf borderId="5" fillId="3" fontId="4" numFmtId="0" xfId="0" applyAlignment="1" applyBorder="1" applyFont="1">
      <alignment horizontal="right" shrinkToFit="0" wrapText="0"/>
    </xf>
    <xf borderId="5" fillId="3" fontId="5" numFmtId="0" xfId="0" applyAlignment="1" applyBorder="1" applyFont="1">
      <alignment horizontal="right" readingOrder="0" shrinkToFit="0" wrapText="0"/>
    </xf>
    <xf borderId="5" fillId="3" fontId="5" numFmtId="165" xfId="0" applyAlignment="1" applyBorder="1" applyFont="1" applyNumberFormat="1">
      <alignment horizontal="right" readingOrder="0" shrinkToFit="0" wrapText="0"/>
    </xf>
    <xf borderId="1" fillId="0" fontId="6" numFmtId="0" xfId="0" applyAlignment="1" applyBorder="1" applyFont="1">
      <alignment horizontal="lef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3" fillId="3" fontId="3" numFmtId="164" xfId="0" applyAlignment="1" applyBorder="1" applyFont="1" applyNumberFormat="1">
      <alignment horizontal="right" readingOrder="0" shrinkToFit="0" wrapText="0"/>
    </xf>
    <xf borderId="2" fillId="3" fontId="5" numFmtId="0" xfId="0" applyAlignment="1" applyBorder="1" applyFont="1">
      <alignment horizontal="right" readingOrder="0" shrinkToFit="0" wrapText="0"/>
    </xf>
    <xf borderId="2" fillId="3" fontId="5" numFmtId="165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6dc9bfb4/2001/Orebro-Stats" TargetMode="External"/><Relationship Id="rId10" Type="http://schemas.openxmlformats.org/officeDocument/2006/relationships/hyperlink" Target="https://fbref.com/en/squads/1d0836d6/2001/Norrkoping-Stats" TargetMode="External"/><Relationship Id="rId13" Type="http://schemas.openxmlformats.org/officeDocument/2006/relationships/hyperlink" Target="https://fbref.com/en/squads/bc509855/2001/Sundsvall-Stats" TargetMode="External"/><Relationship Id="rId12" Type="http://schemas.openxmlformats.org/officeDocument/2006/relationships/hyperlink" Target="https://fbref.com/en/squads/1334a86c/2001/Orgryte-Stats" TargetMode="External"/><Relationship Id="rId1" Type="http://schemas.openxmlformats.org/officeDocument/2006/relationships/hyperlink" Target="https://fbref.com/en/squads/b0333581/2001/AIK-Stockholm-Stats" TargetMode="External"/><Relationship Id="rId2" Type="http://schemas.openxmlformats.org/officeDocument/2006/relationships/hyperlink" Target="https://fbref.com/en/squads/8774e267/2001/BK-Hacken-Stats" TargetMode="External"/><Relationship Id="rId3" Type="http://schemas.openxmlformats.org/officeDocument/2006/relationships/hyperlink" Target="https://fbref.com/en/squads/9423c05a/2001/Djurgarden-Stats" TargetMode="External"/><Relationship Id="rId4" Type="http://schemas.openxmlformats.org/officeDocument/2006/relationships/hyperlink" Target="https://fbref.com/en/squads/50e85bfc/2001/Elfsborg-Stats" TargetMode="External"/><Relationship Id="rId9" Type="http://schemas.openxmlformats.org/officeDocument/2006/relationships/hyperlink" Target="https://fbref.com/en/squads/f3d8c8b9/2001/Malmo-Stats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fbref.com/en/squads/1a4fb68c/2001/Trelleborg-Stats" TargetMode="External"/><Relationship Id="rId5" Type="http://schemas.openxmlformats.org/officeDocument/2006/relationships/hyperlink" Target="https://fbref.com/en/squads/ef1ab26a/2001/Goteborg-Stats" TargetMode="External"/><Relationship Id="rId6" Type="http://schemas.openxmlformats.org/officeDocument/2006/relationships/hyperlink" Target="https://fbref.com/en/squads/17366e53/2001/Halmstad-Stats" TargetMode="External"/><Relationship Id="rId7" Type="http://schemas.openxmlformats.org/officeDocument/2006/relationships/hyperlink" Target="https://fbref.com/en/squads/92bfd7f0/2001/Hammarby-Stats" TargetMode="External"/><Relationship Id="rId8" Type="http://schemas.openxmlformats.org/officeDocument/2006/relationships/hyperlink" Target="https://fbref.com/en/squads/f8a195cc/2001/Helsing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4" t="str">
        <f>+/-</f>
        <v>#ERROR!</v>
      </c>
      <c r="O1" s="4" t="str">
        <f>+/-90</f>
        <v>#ERROR!</v>
      </c>
    </row>
    <row r="2">
      <c r="A2" s="5" t="s">
        <v>13</v>
      </c>
      <c r="B2" s="6">
        <v>22.0</v>
      </c>
      <c r="C2" s="7" t="s">
        <v>14</v>
      </c>
      <c r="D2" s="8">
        <v>26.0</v>
      </c>
      <c r="E2" s="6">
        <v>2.34</v>
      </c>
      <c r="F2" s="6">
        <v>90.0</v>
      </c>
      <c r="G2" s="6">
        <v>100.0</v>
      </c>
      <c r="H2" s="6" t="s">
        <v>15</v>
      </c>
      <c r="I2" s="8">
        <v>286.0</v>
      </c>
      <c r="J2" s="8">
        <v>61.0</v>
      </c>
      <c r="K2" s="9">
        <v>0.09236111111111112</v>
      </c>
      <c r="L2" s="6">
        <v>45.0</v>
      </c>
      <c r="M2" s="6">
        <v>29.0</v>
      </c>
      <c r="N2" s="10">
        <f>+16</f>
        <v>16</v>
      </c>
      <c r="O2" s="10" t="str">
        <f>+0.62</f>
        <v>#ERROR!</v>
      </c>
    </row>
    <row r="3">
      <c r="A3" s="5" t="s">
        <v>16</v>
      </c>
      <c r="B3" s="6">
        <v>21.0</v>
      </c>
      <c r="C3" s="7" t="s">
        <v>17</v>
      </c>
      <c r="D3" s="8">
        <v>26.0</v>
      </c>
      <c r="E3" s="6">
        <v>2.34</v>
      </c>
      <c r="F3" s="6">
        <v>90.0</v>
      </c>
      <c r="G3" s="6">
        <v>100.0</v>
      </c>
      <c r="H3" s="6" t="s">
        <v>15</v>
      </c>
      <c r="I3" s="8">
        <v>286.0</v>
      </c>
      <c r="J3" s="8">
        <v>59.0</v>
      </c>
      <c r="K3" s="9">
        <v>0.06388888888888888</v>
      </c>
      <c r="L3" s="6">
        <v>35.0</v>
      </c>
      <c r="M3" s="6">
        <v>50.0</v>
      </c>
      <c r="N3" s="11">
        <v>-15.0</v>
      </c>
      <c r="O3" s="12">
        <v>-0.04027777777777778</v>
      </c>
    </row>
    <row r="4">
      <c r="A4" s="5" t="s">
        <v>18</v>
      </c>
      <c r="B4" s="6">
        <v>20.0</v>
      </c>
      <c r="C4" s="7" t="s">
        <v>19</v>
      </c>
      <c r="D4" s="8">
        <v>26.0</v>
      </c>
      <c r="E4" s="6">
        <v>2.34</v>
      </c>
      <c r="F4" s="6">
        <v>90.0</v>
      </c>
      <c r="G4" s="6">
        <v>100.0</v>
      </c>
      <c r="H4" s="6" t="s">
        <v>15</v>
      </c>
      <c r="I4" s="8">
        <v>286.0</v>
      </c>
      <c r="J4" s="8">
        <v>66.0</v>
      </c>
      <c r="K4" s="9">
        <v>0.09791666666666667</v>
      </c>
      <c r="L4" s="6">
        <v>36.0</v>
      </c>
      <c r="M4" s="6">
        <v>24.0</v>
      </c>
      <c r="N4" s="10">
        <f>+12</f>
        <v>12</v>
      </c>
      <c r="O4" s="10" t="str">
        <f>+0.46</f>
        <v>#ERROR!</v>
      </c>
    </row>
    <row r="5">
      <c r="A5" s="5" t="s">
        <v>20</v>
      </c>
      <c r="B5" s="6">
        <v>25.0</v>
      </c>
      <c r="C5" s="7" t="s">
        <v>21</v>
      </c>
      <c r="D5" s="8">
        <v>26.0</v>
      </c>
      <c r="E5" s="6">
        <v>2.34</v>
      </c>
      <c r="F5" s="6">
        <v>90.0</v>
      </c>
      <c r="G5" s="6">
        <v>100.0</v>
      </c>
      <c r="H5" s="6" t="s">
        <v>15</v>
      </c>
      <c r="I5" s="8">
        <v>286.0</v>
      </c>
      <c r="J5" s="8">
        <v>71.0</v>
      </c>
      <c r="K5" s="9">
        <v>0.052083333333333336</v>
      </c>
      <c r="L5" s="6">
        <v>31.0</v>
      </c>
      <c r="M5" s="6">
        <v>51.0</v>
      </c>
      <c r="N5" s="11">
        <v>-20.0</v>
      </c>
      <c r="O5" s="12">
        <v>-0.05347222222222222</v>
      </c>
    </row>
    <row r="6">
      <c r="A6" s="5" t="s">
        <v>22</v>
      </c>
      <c r="B6" s="6">
        <v>19.0</v>
      </c>
      <c r="C6" s="7" t="s">
        <v>17</v>
      </c>
      <c r="D6" s="8">
        <v>26.0</v>
      </c>
      <c r="E6" s="6">
        <v>2.34</v>
      </c>
      <c r="F6" s="6">
        <v>90.0</v>
      </c>
      <c r="G6" s="6">
        <v>100.0</v>
      </c>
      <c r="H6" s="6" t="s">
        <v>15</v>
      </c>
      <c r="I6" s="8">
        <v>286.0</v>
      </c>
      <c r="J6" s="8">
        <v>45.0</v>
      </c>
      <c r="K6" s="9">
        <v>0.08958333333333333</v>
      </c>
      <c r="L6" s="6">
        <v>41.0</v>
      </c>
      <c r="M6" s="6">
        <v>31.0</v>
      </c>
      <c r="N6" s="10">
        <f>+10</f>
        <v>10</v>
      </c>
      <c r="O6" s="10" t="str">
        <f>+0.38</f>
        <v>#ERROR!</v>
      </c>
    </row>
    <row r="7">
      <c r="A7" s="5" t="s">
        <v>23</v>
      </c>
      <c r="B7" s="6">
        <v>18.0</v>
      </c>
      <c r="C7" s="7" t="s">
        <v>24</v>
      </c>
      <c r="D7" s="8">
        <v>26.0</v>
      </c>
      <c r="E7" s="6">
        <v>2.34</v>
      </c>
      <c r="F7" s="6">
        <v>90.0</v>
      </c>
      <c r="G7" s="6">
        <v>100.0</v>
      </c>
      <c r="H7" s="6" t="s">
        <v>15</v>
      </c>
      <c r="I7" s="8">
        <v>286.0</v>
      </c>
      <c r="J7" s="8">
        <v>60.0</v>
      </c>
      <c r="K7" s="9">
        <v>0.07361111111111111</v>
      </c>
      <c r="L7" s="6">
        <v>50.0</v>
      </c>
      <c r="M7" s="6">
        <v>31.0</v>
      </c>
      <c r="N7" s="10">
        <f>+19</f>
        <v>19</v>
      </c>
      <c r="O7" s="10" t="str">
        <f>+0.73</f>
        <v>#ERROR!</v>
      </c>
    </row>
    <row r="8">
      <c r="A8" s="5" t="s">
        <v>25</v>
      </c>
      <c r="B8" s="6">
        <v>20.0</v>
      </c>
      <c r="C8" s="7" t="s">
        <v>26</v>
      </c>
      <c r="D8" s="8">
        <v>26.0</v>
      </c>
      <c r="E8" s="6">
        <v>2.34</v>
      </c>
      <c r="F8" s="6">
        <v>90.0</v>
      </c>
      <c r="G8" s="6">
        <v>100.0</v>
      </c>
      <c r="H8" s="6" t="s">
        <v>15</v>
      </c>
      <c r="I8" s="8">
        <v>286.0</v>
      </c>
      <c r="J8" s="8">
        <v>63.0</v>
      </c>
      <c r="K8" s="9">
        <v>0.10069444444444445</v>
      </c>
      <c r="L8" s="6">
        <v>45.0</v>
      </c>
      <c r="M8" s="6">
        <v>28.0</v>
      </c>
      <c r="N8" s="10">
        <f>+17</f>
        <v>17</v>
      </c>
      <c r="O8" s="10" t="str">
        <f>+0.65</f>
        <v>#ERROR!</v>
      </c>
    </row>
    <row r="9">
      <c r="A9" s="5" t="s">
        <v>27</v>
      </c>
      <c r="B9" s="6">
        <v>20.0</v>
      </c>
      <c r="C9" s="7" t="s">
        <v>28</v>
      </c>
      <c r="D9" s="8">
        <v>26.0</v>
      </c>
      <c r="E9" s="6">
        <v>2.34</v>
      </c>
      <c r="F9" s="6">
        <v>90.0</v>
      </c>
      <c r="G9" s="6">
        <v>100.0</v>
      </c>
      <c r="H9" s="6" t="s">
        <v>15</v>
      </c>
      <c r="I9" s="8">
        <v>286.0</v>
      </c>
      <c r="J9" s="8">
        <v>61.0</v>
      </c>
      <c r="K9" s="9">
        <v>0.08472222222222223</v>
      </c>
      <c r="L9" s="6">
        <v>47.0</v>
      </c>
      <c r="M9" s="6">
        <v>29.0</v>
      </c>
      <c r="N9" s="10">
        <f>+18</f>
        <v>18</v>
      </c>
      <c r="O9" s="10" t="str">
        <f>+0.69</f>
        <v>#ERROR!</v>
      </c>
    </row>
    <row r="10">
      <c r="A10" s="5" t="s">
        <v>29</v>
      </c>
      <c r="B10" s="6">
        <v>23.0</v>
      </c>
      <c r="C10" s="7" t="s">
        <v>30</v>
      </c>
      <c r="D10" s="8">
        <v>26.0</v>
      </c>
      <c r="E10" s="6">
        <v>2.34</v>
      </c>
      <c r="F10" s="6">
        <v>90.0</v>
      </c>
      <c r="G10" s="6">
        <v>100.0</v>
      </c>
      <c r="H10" s="6" t="s">
        <v>15</v>
      </c>
      <c r="I10" s="8">
        <v>286.0</v>
      </c>
      <c r="J10" s="8">
        <v>44.0</v>
      </c>
      <c r="K10" s="9">
        <v>0.05763888888888889</v>
      </c>
      <c r="L10" s="6">
        <v>39.0</v>
      </c>
      <c r="M10" s="6">
        <v>46.0</v>
      </c>
      <c r="N10" s="11">
        <v>-7.0</v>
      </c>
      <c r="O10" s="12">
        <v>-0.01875</v>
      </c>
    </row>
    <row r="11">
      <c r="A11" s="5" t="s">
        <v>31</v>
      </c>
      <c r="B11" s="6">
        <v>21.0</v>
      </c>
      <c r="C11" s="7" t="s">
        <v>32</v>
      </c>
      <c r="D11" s="8">
        <v>26.0</v>
      </c>
      <c r="E11" s="6">
        <v>2.34</v>
      </c>
      <c r="F11" s="6">
        <v>90.0</v>
      </c>
      <c r="G11" s="6">
        <v>100.0</v>
      </c>
      <c r="H11" s="6" t="s">
        <v>15</v>
      </c>
      <c r="I11" s="8">
        <v>286.0</v>
      </c>
      <c r="J11" s="8">
        <v>74.0</v>
      </c>
      <c r="K11" s="9">
        <v>0.05</v>
      </c>
      <c r="L11" s="6">
        <v>29.0</v>
      </c>
      <c r="M11" s="6">
        <v>40.0</v>
      </c>
      <c r="N11" s="11">
        <v>-11.0</v>
      </c>
      <c r="O11" s="12">
        <v>-0.029166666666666667</v>
      </c>
    </row>
    <row r="12">
      <c r="A12" s="5" t="s">
        <v>33</v>
      </c>
      <c r="B12" s="6">
        <v>22.0</v>
      </c>
      <c r="C12" s="7" t="s">
        <v>34</v>
      </c>
      <c r="D12" s="8">
        <v>26.0</v>
      </c>
      <c r="E12" s="6">
        <v>2.34</v>
      </c>
      <c r="F12" s="6">
        <v>90.0</v>
      </c>
      <c r="G12" s="6">
        <v>100.0</v>
      </c>
      <c r="H12" s="6" t="s">
        <v>15</v>
      </c>
      <c r="I12" s="8">
        <v>286.0</v>
      </c>
      <c r="J12" s="8">
        <v>56.0</v>
      </c>
      <c r="K12" s="9">
        <v>0.06041666666666667</v>
      </c>
      <c r="L12" s="6">
        <v>48.0</v>
      </c>
      <c r="M12" s="6">
        <v>44.0</v>
      </c>
      <c r="N12" s="10">
        <f>+4</f>
        <v>4</v>
      </c>
      <c r="O12" s="10" t="str">
        <f>+0.15</f>
        <v>#ERROR!</v>
      </c>
    </row>
    <row r="13">
      <c r="A13" s="5" t="s">
        <v>35</v>
      </c>
      <c r="B13" s="6">
        <v>25.0</v>
      </c>
      <c r="C13" s="7" t="s">
        <v>36</v>
      </c>
      <c r="D13" s="8">
        <v>26.0</v>
      </c>
      <c r="E13" s="6">
        <v>2.34</v>
      </c>
      <c r="F13" s="6">
        <v>90.0</v>
      </c>
      <c r="G13" s="6">
        <v>100.0</v>
      </c>
      <c r="H13" s="6" t="s">
        <v>15</v>
      </c>
      <c r="I13" s="8">
        <v>286.0</v>
      </c>
      <c r="J13" s="8">
        <v>65.0</v>
      </c>
      <c r="K13" s="9">
        <v>0.0763888888888889</v>
      </c>
      <c r="L13" s="6">
        <v>36.0</v>
      </c>
      <c r="M13" s="6">
        <v>33.0</v>
      </c>
      <c r="N13" s="10">
        <f>+3</f>
        <v>3</v>
      </c>
      <c r="O13" s="10" t="str">
        <f>+0.12</f>
        <v>#ERROR!</v>
      </c>
    </row>
    <row r="14">
      <c r="A14" s="5" t="s">
        <v>37</v>
      </c>
      <c r="B14" s="6">
        <v>22.0</v>
      </c>
      <c r="C14" s="7" t="s">
        <v>38</v>
      </c>
      <c r="D14" s="8">
        <v>26.0</v>
      </c>
      <c r="E14" s="6">
        <v>2.34</v>
      </c>
      <c r="F14" s="6">
        <v>90.0</v>
      </c>
      <c r="G14" s="6">
        <v>100.0</v>
      </c>
      <c r="H14" s="6" t="s">
        <v>15</v>
      </c>
      <c r="I14" s="8">
        <v>286.0</v>
      </c>
      <c r="J14" s="8">
        <v>72.0</v>
      </c>
      <c r="K14" s="9">
        <v>0.05</v>
      </c>
      <c r="L14" s="6">
        <v>28.0</v>
      </c>
      <c r="M14" s="6">
        <v>37.0</v>
      </c>
      <c r="N14" s="11">
        <v>-9.0</v>
      </c>
      <c r="O14" s="12">
        <v>-0.024305555555555556</v>
      </c>
    </row>
    <row r="15">
      <c r="A15" s="13" t="s">
        <v>39</v>
      </c>
      <c r="B15" s="14">
        <v>24.0</v>
      </c>
      <c r="C15" s="15" t="s">
        <v>40</v>
      </c>
      <c r="D15" s="16">
        <v>26.0</v>
      </c>
      <c r="E15" s="14">
        <v>2.34</v>
      </c>
      <c r="F15" s="14">
        <v>90.0</v>
      </c>
      <c r="G15" s="14">
        <v>100.0</v>
      </c>
      <c r="H15" s="14" t="s">
        <v>15</v>
      </c>
      <c r="I15" s="16">
        <v>286.0</v>
      </c>
      <c r="J15" s="16">
        <v>64.0</v>
      </c>
      <c r="K15" s="17">
        <v>0.0375</v>
      </c>
      <c r="L15" s="14">
        <v>25.0</v>
      </c>
      <c r="M15" s="14">
        <v>62.0</v>
      </c>
      <c r="N15" s="18">
        <v>-37.0</v>
      </c>
      <c r="O15" s="19">
        <v>-0.07083333333333333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