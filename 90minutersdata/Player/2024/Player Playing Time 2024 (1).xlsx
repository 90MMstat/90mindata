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<sst xmlns="http://schemas.openxmlformats.org/spreadsheetml/2006/main" count="8127" uniqueCount="4660">
  <si>
    <t>Rk</t>
  </si>
  <si>
    <t>Player</t>
  </si>
  <si>
    <t>Nation</t>
  </si>
  <si>
    <t>Pos</t>
  </si>
  <si>
    <t>Squad</t>
  </si>
  <si>
    <t>Age</t>
  </si>
  <si>
    <t>Born</t>
  </si>
  <si>
    <t>MP</t>
  </si>
  <si>
    <t>Min</t>
  </si>
  <si>
    <t>Mn/MP</t>
  </si>
  <si>
    <t>Min%</t>
  </si>
  <si>
    <t>90s</t>
  </si>
  <si>
    <t>Starts</t>
  </si>
  <si>
    <t>Mn/Start</t>
  </si>
  <si>
    <t>Compl</t>
  </si>
  <si>
    <t>Subs</t>
  </si>
  <si>
    <t>Mn/Sub</t>
  </si>
  <si>
    <t>unSub</t>
  </si>
  <si>
    <t>PPM</t>
  </si>
  <si>
    <t>onG</t>
  </si>
  <si>
    <t>onGA</t>
  </si>
  <si>
    <t>On-Off</t>
  </si>
  <si>
    <t>Matches</t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</si>
  <si>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</si>
  <si>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</si>
  <si>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MF,DF</t>
  </si>
  <si>
    <r>
      <rPr>
        <rFont val="Verdana, sans-serif"/>
        <color rgb="FF1155CC"/>
        <u/>
      </rPr>
      <t>Malmö</t>
    </r>
  </si>
  <si>
    <t>54.7</t>
  </si>
  <si>
    <t>16.4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</si>
  <si>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</si>
  <si>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Jabir Abdihakim</t>
    </r>
  </si>
  <si>
    <r>
      <rPr>
        <rFont val="Verdana, sans-serif"/>
        <color rgb="FF1155CC"/>
        <sz val="8.0"/>
        <u/>
      </rPr>
      <t>dj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DJI</t>
    </r>
  </si>
  <si>
    <t>FW</t>
  </si>
  <si>
    <r>
      <rPr>
        <rFont val="Verdana, sans-serif"/>
        <color rgb="FF1155CC"/>
        <u/>
      </rPr>
      <t>Västerås</t>
    </r>
  </si>
  <si>
    <t>23.5</t>
  </si>
  <si>
    <t>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</si>
  <si>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</si>
  <si>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Jalal Abdulai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</si>
  <si>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</si>
  <si>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</si>
  <si>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t>47.4</t>
  </si>
  <si>
    <t>14.2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</si>
  <si>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</si>
  <si>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Suleiman Abdullahi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</si>
  <si>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</si>
  <si>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t>FW,MF</t>
  </si>
  <si>
    <r>
      <rPr>
        <rFont val="Verdana, sans-serif"/>
        <color rgb="FF1155CC"/>
        <u/>
      </rPr>
      <t>Göteborg</t>
    </r>
  </si>
  <si>
    <t>0.6</t>
  </si>
  <si>
    <t>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</si>
  <si>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</si>
  <si>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Joackim Åberg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</si>
  <si>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</si>
  <si>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</t>
  </si>
  <si>
    <r>
      <rPr>
        <rFont val="Verdana, sans-serif"/>
        <color rgb="FF1155CC"/>
        <u/>
      </rPr>
      <t>GAIS</t>
    </r>
  </si>
  <si>
    <t>55.2</t>
  </si>
  <si>
    <t>16.6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</si>
  <si>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</si>
  <si>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Paulos Abraham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</si>
  <si>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</si>
  <si>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MF,FW</t>
  </si>
  <si>
    <r>
      <rPr>
        <rFont val="Verdana, sans-serif"/>
        <color rgb="FF1155CC"/>
        <u/>
      </rPr>
      <t>Göteborg</t>
    </r>
  </si>
  <si>
    <t>61.4</t>
  </si>
  <si>
    <t>18.4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</si>
  <si>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</si>
  <si>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</si>
  <si>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</si>
  <si>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</t>
  </si>
  <si>
    <r>
      <rPr>
        <rFont val="Verdana, sans-serif"/>
        <color rgb="FF1155CC"/>
        <u/>
      </rPr>
      <t>Brommapojkarna</t>
    </r>
  </si>
  <si>
    <t>82.7</t>
  </si>
  <si>
    <t>24.8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</si>
  <si>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</si>
  <si>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</si>
  <si>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</si>
  <si>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</si>
  <si>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BK Häcken</t>
    </r>
  </si>
  <si>
    <t>40.0</t>
  </si>
  <si>
    <t>12.0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</si>
  <si>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</si>
  <si>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</si>
  <si>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</si>
  <si>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Värnamo</t>
    </r>
  </si>
  <si>
    <t>62.9</t>
  </si>
  <si>
    <t>18.9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</si>
  <si>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</si>
  <si>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Jeremy Agbonifo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</si>
  <si>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</si>
  <si>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</si>
  <si>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39.3</t>
  </si>
  <si>
    <t>11.8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</si>
  <si>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</si>
  <si>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Yannick Agnero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</si>
  <si>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</si>
  <si>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Halmstad</t>
    </r>
  </si>
  <si>
    <t>27.0</t>
  </si>
  <si>
    <t>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</si>
  <si>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</si>
  <si>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Ahl Holmström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</si>
  <si>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</si>
  <si>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</si>
  <si>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70.4</t>
  </si>
  <si>
    <t>21.1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</si>
  <si>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</si>
  <si>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Matteo Ahlinvi</t>
    </r>
  </si>
  <si>
    <r>
      <rPr>
        <rFont val="Verdana, sans-serif"/>
        <color rgb="FF1155CC"/>
        <sz val="8.0"/>
        <u/>
      </rPr>
      <t>bj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BEN</t>
    </r>
  </si>
  <si>
    <r>
      <rPr>
        <rFont val="Verdana, sans-serif"/>
        <color rgb="FF1155CC"/>
        <u/>
      </rPr>
      <t>Västerås</t>
    </r>
  </si>
  <si>
    <t>48.5</t>
  </si>
  <si>
    <t>14.6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</si>
  <si>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</si>
  <si>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Ahlstrand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</si>
  <si>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</si>
  <si>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</si>
  <si>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11.3</t>
  </si>
  <si>
    <t>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</si>
  <si>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</si>
  <si>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Abdihakin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</si>
  <si>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</si>
  <si>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</si>
  <si>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3.9</t>
  </si>
  <si>
    <t>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</si>
  <si>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</si>
  <si>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</si>
  <si>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</si>
  <si>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</si>
  <si>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56.6</t>
  </si>
  <si>
    <t>17.0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</si>
  <si>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</si>
  <si>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Alsanati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</si>
  <si>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</si>
  <si>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Sirius</t>
    </r>
  </si>
  <si>
    <t>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</si>
  <si>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</si>
  <si>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Amane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</si>
  <si>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</si>
  <si>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</si>
  <si>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t>79.6</t>
  </si>
  <si>
    <t>23.9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</si>
  <si>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</si>
  <si>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Chovanie Amatkarijo</t>
    </r>
  </si>
  <si>
    <r>
      <rPr>
        <rFont val="Verdana, sans-serif"/>
        <color rgb="FF1155CC"/>
        <sz val="8.0"/>
        <u/>
      </rPr>
      <t>sx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SMA</t>
    </r>
  </si>
  <si>
    <r>
      <rPr>
        <rFont val="Verdana, sans-serif"/>
        <color rgb="FF1155CC"/>
        <u/>
      </rPr>
      <t>GAIS</t>
    </r>
  </si>
  <si>
    <t>48.4</t>
  </si>
  <si>
    <t>14.5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</si>
  <si>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</si>
  <si>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</si>
  <si>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</si>
  <si>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Halmstad</t>
    </r>
  </si>
  <si>
    <t>42.2</t>
  </si>
  <si>
    <t>12.7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</si>
  <si>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</si>
  <si>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Andersen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</si>
  <si>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</si>
  <si>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</si>
  <si>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Åke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</si>
  <si>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</si>
  <si>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</si>
  <si>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</si>
  <si>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</si>
  <si>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</si>
  <si>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</si>
  <si>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</si>
  <si>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</si>
  <si>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Andersson Mella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</si>
  <si>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</si>
  <si>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</si>
  <si>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</si>
  <si>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</si>
  <si>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</si>
  <si>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</si>
  <si>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16.9</t>
  </si>
  <si>
    <t>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</si>
  <si>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</si>
  <si>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</si>
  <si>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</si>
  <si>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</si>
  <si>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50.0</t>
  </si>
  <si>
    <t>15.0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</si>
  <si>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</si>
  <si>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</si>
  <si>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</si>
  <si>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</si>
  <si>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</si>
  <si>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</si>
  <si>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</si>
  <si>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</si>
  <si>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</si>
  <si>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</si>
  <si>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Ísak Andri Sigurgeirsson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</si>
  <si>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</si>
  <si>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</si>
  <si>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39.2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</si>
  <si>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</si>
  <si>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Antonelius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</si>
  <si>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</si>
  <si>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</si>
  <si>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0.9</t>
  </si>
  <si>
    <t>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</si>
  <si>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</si>
  <si>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Ümit Aras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</si>
  <si>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</si>
  <si>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</si>
  <si>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1.7</t>
  </si>
  <si>
    <t>0.5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</si>
  <si>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</si>
  <si>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Eggert Aron Guðmundsson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</si>
  <si>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</si>
  <si>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</si>
  <si>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7.7</t>
  </si>
  <si>
    <t>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</si>
  <si>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</si>
  <si>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Frode Aronsson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</si>
  <si>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</si>
  <si>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</si>
  <si>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</si>
  <si>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Arvidsson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</si>
  <si>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</si>
  <si>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</si>
  <si>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Ask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</si>
  <si>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</si>
  <si>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</si>
  <si>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52.1</t>
  </si>
  <si>
    <t>15.6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</si>
  <si>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</si>
  <si>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</si>
  <si>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</si>
  <si>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</si>
  <si>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12.3</t>
  </si>
  <si>
    <t>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</si>
  <si>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</si>
  <si>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</si>
  <si>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</si>
  <si>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</si>
  <si>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38.1</t>
  </si>
  <si>
    <t>11.4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</si>
  <si>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</si>
  <si>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Asoma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</si>
  <si>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</si>
  <si>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</si>
  <si>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</si>
  <si>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Alieu Atlee Manneh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</si>
  <si>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</si>
  <si>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</si>
  <si>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</si>
  <si>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August Ek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</si>
  <si>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</si>
  <si>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</si>
  <si>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</si>
  <si>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</si>
  <si>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</si>
  <si>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</si>
  <si>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</si>
  <si>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24.7</t>
  </si>
  <si>
    <t>7.4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</si>
  <si>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</si>
  <si>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Nikolai Baden Frederiksen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</si>
  <si>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</si>
  <si>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</si>
  <si>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</si>
  <si>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</si>
  <si>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Baffo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</si>
  <si>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</si>
  <si>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</si>
  <si>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62.6</t>
  </si>
  <si>
    <t>18.8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</si>
  <si>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</si>
  <si>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Bager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</si>
  <si>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</si>
  <si>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</si>
  <si>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33.2</t>
  </si>
  <si>
    <t>10.0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</si>
  <si>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</si>
  <si>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</si>
  <si>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</si>
  <si>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</si>
  <si>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t>20.2</t>
  </si>
  <si>
    <t>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</si>
  <si>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</si>
  <si>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Baidoo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</si>
  <si>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</si>
  <si>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</si>
  <si>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t>77.8</t>
  </si>
  <si>
    <t>23.3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</si>
  <si>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</si>
  <si>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Barrett Laursen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</si>
  <si>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</si>
  <si>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t>DF,MF</t>
  </si>
  <si>
    <r>
      <rPr>
        <rFont val="Verdana, sans-serif"/>
        <color rgb="FF1155CC"/>
        <u/>
      </rPr>
      <t>BK Häcken</t>
    </r>
  </si>
  <si>
    <t>27.6</t>
  </si>
  <si>
    <t>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</si>
  <si>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</si>
  <si>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Kaare Barslund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</si>
  <si>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</si>
  <si>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</si>
  <si>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55.8</t>
  </si>
  <si>
    <t>16.7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</si>
  <si>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</si>
  <si>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Mohamed Bawa</t>
    </r>
  </si>
  <si>
    <r>
      <rPr>
        <rFont val="Verdana, sans-serif"/>
        <color rgb="FF1155CC"/>
        <sz val="8.0"/>
        <u/>
      </rPr>
      <t>ly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LBY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</si>
  <si>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</si>
  <si>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</si>
  <si>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</si>
  <si>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</si>
  <si>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</si>
  <si>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15.3</t>
  </si>
  <si>
    <t>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</si>
  <si>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</si>
  <si>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Beckman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</si>
  <si>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</si>
  <si>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</si>
  <si>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45.5</t>
  </si>
  <si>
    <t>13.6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</si>
  <si>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</si>
  <si>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Benediktsson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</si>
  <si>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</si>
  <si>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</si>
  <si>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</si>
  <si>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Lion Beqiri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</si>
  <si>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</si>
  <si>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</si>
  <si>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</si>
  <si>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</si>
  <si>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Berg Johnsen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</si>
  <si>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</si>
  <si>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</si>
  <si>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86.4</t>
  </si>
  <si>
    <t>25.9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</si>
  <si>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</si>
  <si>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</si>
  <si>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</si>
  <si>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</si>
  <si>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35.8</t>
  </si>
  <si>
    <t>10.7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</si>
  <si>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</si>
  <si>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</si>
  <si>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</si>
  <si>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</si>
  <si>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48.3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</si>
  <si>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</si>
  <si>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</si>
  <si>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</si>
  <si>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</si>
  <si>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</si>
  <si>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</si>
  <si>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</si>
  <si>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</si>
  <si>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</si>
  <si>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81.8</t>
  </si>
  <si>
    <t>24.5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</si>
  <si>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</si>
  <si>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Bergström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</si>
  <si>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</si>
  <si>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Brommapojkarna</t>
    </r>
  </si>
  <si>
    <t>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</si>
  <si>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</si>
  <si>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</si>
  <si>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</si>
  <si>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</si>
  <si>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34.2</t>
  </si>
  <si>
    <t>10.3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</si>
  <si>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</si>
  <si>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</si>
  <si>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</si>
  <si>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</si>
  <si>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</si>
  <si>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</si>
  <si>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</si>
  <si>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</si>
  <si>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</si>
  <si>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</si>
  <si>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</si>
  <si>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</si>
  <si>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</si>
  <si>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</si>
  <si>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90.3</t>
  </si>
  <si>
    <t>27.1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</si>
  <si>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</si>
  <si>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</si>
  <si>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</si>
  <si>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</si>
  <si>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t>39.4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</si>
  <si>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</si>
  <si>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Bilalovic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</si>
  <si>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</si>
  <si>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</si>
  <si>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</si>
  <si>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Egzon Binaku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</si>
  <si>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</si>
  <si>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</si>
  <si>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</si>
  <si>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</si>
  <si>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</si>
  <si>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</si>
  <si>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51.4</t>
  </si>
  <si>
    <t>15.4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</si>
  <si>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</si>
  <si>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Björk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</si>
  <si>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</si>
  <si>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</si>
  <si>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34.3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</si>
  <si>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</si>
  <si>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Björkander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</si>
  <si>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</si>
  <si>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</si>
  <si>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</si>
  <si>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</si>
  <si>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</si>
  <si>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</si>
  <si>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</si>
  <si>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49.9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</si>
  <si>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</si>
  <si>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</si>
  <si>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</si>
  <si>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</si>
  <si>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6.7</t>
  </si>
  <si>
    <t>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</si>
  <si>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</si>
  <si>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Boakye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</si>
  <si>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</si>
  <si>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</si>
  <si>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t>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</si>
  <si>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</si>
  <si>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</si>
  <si>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</si>
  <si>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</si>
  <si>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47.2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</si>
  <si>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</si>
  <si>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Stephen Bolma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</si>
  <si>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</si>
  <si>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</si>
  <si>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</si>
  <si>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</si>
  <si>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</si>
  <si>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</si>
  <si>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56.0</t>
  </si>
  <si>
    <t>16.8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</si>
  <si>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</si>
  <si>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</si>
  <si>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</si>
  <si>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</si>
  <si>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</si>
  <si>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</si>
  <si>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Evans Botchway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</si>
  <si>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</si>
  <si>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Brommapojkarna</t>
    </r>
  </si>
  <si>
    <t>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</si>
  <si>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</si>
  <si>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Botheim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</si>
  <si>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</si>
  <si>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</si>
  <si>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78.9</t>
  </si>
  <si>
    <t>23.7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</si>
  <si>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</si>
  <si>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Boudri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</si>
  <si>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</si>
  <si>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</si>
  <si>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32.5</t>
  </si>
  <si>
    <t>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</si>
  <si>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</si>
  <si>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Elyas Bouzaiene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</si>
  <si>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</si>
  <si>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</si>
  <si>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34.8</t>
  </si>
  <si>
    <t>10.4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</si>
  <si>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</si>
  <si>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 Bozicevic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</si>
  <si>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</si>
  <si>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</si>
  <si>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</si>
  <si>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Brantlind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</si>
  <si>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</si>
  <si>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</si>
  <si>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</si>
  <si>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</si>
  <si>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Brattberg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</si>
  <si>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</si>
  <si>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</si>
  <si>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</si>
  <si>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Lius Braun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</si>
  <si>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</si>
  <si>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</si>
  <si>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</si>
  <si>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Breze Fofana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</si>
  <si>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</si>
  <si>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Hammarby</t>
    </r>
  </si>
  <si>
    <t>28.0</t>
  </si>
  <si>
    <t>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</si>
  <si>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</si>
  <si>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Brolin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</si>
  <si>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</si>
  <si>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</si>
  <si>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</si>
  <si>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Arvid Brorsson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</si>
  <si>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</si>
  <si>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</si>
  <si>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72.6</t>
  </si>
  <si>
    <t>21.8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</si>
  <si>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</si>
  <si>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Brusberg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</si>
  <si>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</si>
  <si>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</si>
  <si>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</si>
  <si>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Buhari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</si>
  <si>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</si>
  <si>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</si>
  <si>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t>43.1</t>
  </si>
  <si>
    <t>12.9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</si>
  <si>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</si>
  <si>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Bundgaard Sørensen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</si>
  <si>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</si>
  <si>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</si>
  <si>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41.7</t>
  </si>
  <si>
    <t>12.5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</si>
  <si>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</si>
  <si>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Busanello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</si>
  <si>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</si>
  <si>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</si>
  <si>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t>76.3</t>
  </si>
  <si>
    <t>22.9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</si>
  <si>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</si>
  <si>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Bustos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</si>
  <si>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</si>
  <si>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Värnamo</t>
    </r>
  </si>
  <si>
    <t>16.1</t>
  </si>
  <si>
    <t>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</si>
  <si>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</si>
  <si>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Busuladžić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</si>
  <si>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</si>
  <si>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</si>
  <si>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</si>
  <si>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Mario Butros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</si>
  <si>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</si>
  <si>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</si>
  <si>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</si>
  <si>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Calisir</t>
    </r>
  </si>
  <si>
    <r>
      <rPr>
        <rFont val="Verdana, sans-serif"/>
        <color rgb="FF1155CC"/>
        <sz val="8.0"/>
        <u/>
      </rPr>
      <t>am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ARM</t>
    </r>
  </si>
  <si>
    <r>
      <rPr>
        <rFont val="Verdana, sans-serif"/>
        <color rgb="FF1155CC"/>
        <u/>
      </rPr>
      <t>Brommapojkarna</t>
    </r>
  </si>
  <si>
    <t>55.5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</si>
  <si>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</si>
  <si>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Anes Cardaklija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</si>
  <si>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</si>
  <si>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GAIS</t>
    </r>
  </si>
  <si>
    <t>33.5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</si>
  <si>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</si>
  <si>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</si>
  <si>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</si>
  <si>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</si>
  <si>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</si>
  <si>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</si>
  <si>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</si>
  <si>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</si>
  <si>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13.5</t>
  </si>
  <si>
    <t>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</si>
  <si>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</si>
  <si>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</si>
  <si>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</si>
  <si>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</si>
  <si>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</si>
  <si>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</si>
  <si>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</si>
  <si>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</si>
  <si>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93.3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</si>
  <si>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</si>
  <si>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</si>
  <si>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</si>
  <si>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</si>
  <si>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t>44.4</t>
  </si>
  <si>
    <t>13.3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</si>
  <si>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</si>
  <si>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</si>
  <si>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</si>
  <si>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</si>
  <si>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t>18.3</t>
  </si>
  <si>
    <t>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</si>
  <si>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</si>
  <si>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</si>
  <si>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</si>
  <si>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</si>
  <si>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3.3</t>
  </si>
  <si>
    <t>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</si>
  <si>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</si>
  <si>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Mervan Çelik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</si>
  <si>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</si>
  <si>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</si>
  <si>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51.2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</si>
  <si>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</si>
  <si>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</si>
  <si>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</si>
  <si>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</si>
  <si>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t>89.6</t>
  </si>
  <si>
    <t>26.9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</si>
  <si>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</si>
  <si>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Ismaila Cheick Coulibaly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</si>
  <si>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</si>
  <si>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AIK Stockholm</t>
    </r>
  </si>
  <si>
    <t>25.6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</si>
  <si>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</si>
  <si>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Chisomnazu Chika Chidi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</si>
  <si>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</si>
  <si>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</si>
  <si>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</si>
  <si>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Edward Chilufya</t>
    </r>
  </si>
  <si>
    <r>
      <rPr>
        <rFont val="Verdana, sans-serif"/>
        <color rgb="FF1155CC"/>
        <sz val="8.0"/>
        <u/>
      </rPr>
      <t>zm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ZAM</t>
    </r>
  </si>
  <si>
    <r>
      <rPr>
        <rFont val="Verdana, sans-serif"/>
        <color rgb="FF1155CC"/>
        <u/>
      </rPr>
      <t>BK Häcken</t>
    </r>
  </si>
  <si>
    <t>22.1</t>
  </si>
  <si>
    <t>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</si>
  <si>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</si>
  <si>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Christensen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</si>
  <si>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</si>
  <si>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</si>
  <si>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59.1</t>
  </si>
  <si>
    <t>17.7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</si>
  <si>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</si>
  <si>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</si>
  <si>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</si>
  <si>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</si>
  <si>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</si>
  <si>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Clemmensen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</si>
  <si>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</si>
  <si>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</si>
  <si>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</si>
  <si>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</si>
  <si>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Collander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</si>
  <si>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</si>
  <si>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</si>
  <si>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4.5</t>
  </si>
  <si>
    <t>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</si>
  <si>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</si>
  <si>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</si>
  <si>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</si>
  <si>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</si>
  <si>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</si>
  <si>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Derek Cornelius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</si>
  <si>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</si>
  <si>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Malmö</t>
    </r>
  </si>
  <si>
    <t>39.1</t>
  </si>
  <si>
    <t>11.7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</si>
  <si>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</si>
  <si>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Aly Coulibaly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</si>
  <si>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</si>
  <si>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</si>
  <si>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</si>
  <si>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</si>
  <si>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</si>
  <si>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</si>
  <si>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24.0</t>
  </si>
  <si>
    <t>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</si>
  <si>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</si>
  <si>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</si>
  <si>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</si>
  <si>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</si>
  <si>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</si>
  <si>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</si>
  <si>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</si>
  <si>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</si>
  <si>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66.7</t>
  </si>
  <si>
    <t>20.0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</si>
  <si>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</si>
  <si>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Villiam Dahlström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</si>
  <si>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</si>
  <si>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</si>
  <si>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</si>
  <si>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</si>
  <si>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</si>
  <si>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</si>
  <si>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70.7</t>
  </si>
  <si>
    <t>21.2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</si>
  <si>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</si>
  <si>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Arvin Davoudi-Kia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</si>
  <si>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</si>
  <si>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</si>
  <si>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</si>
  <si>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Diabaté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</si>
  <si>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</si>
  <si>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Västerås</t>
    </r>
  </si>
  <si>
    <t>30.0</t>
  </si>
  <si>
    <t>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</si>
  <si>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</si>
  <si>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</si>
  <si>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</si>
  <si>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AIK Stockholm</t>
    </r>
  </si>
  <si>
    <t>7.3</t>
  </si>
  <si>
    <t>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</si>
  <si>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</si>
  <si>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Douglas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</si>
  <si>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</si>
  <si>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</si>
  <si>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37.7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</si>
  <si>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</si>
  <si>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</si>
  <si>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</si>
  <si>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</si>
  <si>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43.3</t>
  </si>
  <si>
    <t>13.0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</si>
  <si>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</si>
  <si>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Dusi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</si>
  <si>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</si>
  <si>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</si>
  <si>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</si>
  <si>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Døhr Thychosen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</si>
  <si>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</si>
  <si>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</si>
  <si>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t>82.9</t>
  </si>
  <si>
    <t>24.9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</si>
  <si>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</si>
  <si>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Eid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</si>
  <si>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</si>
  <si>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</si>
  <si>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t>38.3</t>
  </si>
  <si>
    <t>11.5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</si>
  <si>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</si>
  <si>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</si>
  <si>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</si>
  <si>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</si>
  <si>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25.2</t>
  </si>
  <si>
    <t>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</si>
  <si>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</si>
  <si>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Otega Ekperuoh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</si>
  <si>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</si>
  <si>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</si>
  <si>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</si>
  <si>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</si>
  <si>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</si>
  <si>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</si>
  <si>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</si>
  <si>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Gent Elezaj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</si>
  <si>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</si>
  <si>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</si>
  <si>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</si>
  <si>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Viggo Elfstrom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</si>
  <si>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</si>
  <si>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</si>
  <si>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Engvall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</si>
  <si>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</si>
  <si>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</si>
  <si>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73.7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</si>
  <si>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</si>
  <si>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Johannes Engvall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</si>
  <si>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</si>
  <si>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</si>
  <si>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</si>
  <si>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</si>
  <si>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</si>
  <si>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</si>
  <si>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61.9</t>
  </si>
  <si>
    <t>18.6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</si>
  <si>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</si>
  <si>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</si>
  <si>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</si>
  <si>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</si>
  <si>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60.8</t>
  </si>
  <si>
    <t>18.2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</si>
  <si>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</si>
  <si>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</si>
  <si>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</si>
  <si>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</si>
  <si>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13.4</t>
  </si>
  <si>
    <t>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</si>
  <si>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</si>
  <si>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</si>
  <si>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</si>
  <si>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</si>
  <si>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56.7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</si>
  <si>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</si>
  <si>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Erlandsson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</si>
  <si>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</si>
  <si>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</si>
  <si>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</si>
  <si>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</si>
  <si>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</si>
  <si>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</si>
  <si>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36.2</t>
  </si>
  <si>
    <t>10.9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</si>
  <si>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</si>
  <si>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Gísli Eyjólfsson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</si>
  <si>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</si>
  <si>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</si>
  <si>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t>57.7</t>
  </si>
  <si>
    <t>17.3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</si>
  <si>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</si>
  <si>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Fagerström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</si>
  <si>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</si>
  <si>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</si>
  <si>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</si>
  <si>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</si>
  <si>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</si>
  <si>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</si>
  <si>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</si>
  <si>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Fannar Baldursson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</si>
  <si>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</si>
  <si>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</si>
  <si>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50.7</t>
  </si>
  <si>
    <t>15.2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</si>
  <si>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</si>
  <si>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Lamine Fanne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</si>
  <si>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</si>
  <si>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AIK Stockholm</t>
    </r>
  </si>
  <si>
    <t>57.4</t>
  </si>
  <si>
    <t>17.2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</si>
  <si>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</si>
  <si>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Ahmad Faqa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</si>
  <si>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</si>
  <si>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AIK Stockholm</t>
    </r>
  </si>
  <si>
    <t>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</si>
  <si>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</si>
  <si>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</si>
  <si>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</si>
  <si>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</si>
  <si>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</si>
  <si>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</si>
  <si>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</si>
  <si>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</si>
  <si>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17.8</t>
  </si>
  <si>
    <t>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</si>
  <si>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</si>
  <si>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Frej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</si>
  <si>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</si>
  <si>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</si>
  <si>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43.6</t>
  </si>
  <si>
    <t>13.1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</si>
  <si>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</si>
  <si>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Hlynur Freyr Karlsson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</si>
  <si>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</si>
  <si>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Brommapojkarna</t>
    </r>
  </si>
  <si>
    <t>32.3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</si>
  <si>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</si>
  <si>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</si>
  <si>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</si>
  <si>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</si>
  <si>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</si>
  <si>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</si>
  <si>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</si>
  <si>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</si>
  <si>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20.6</t>
  </si>
  <si>
    <t>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</si>
  <si>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</si>
  <si>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Richard Friday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</si>
  <si>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</si>
  <si>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GAIS</t>
    </r>
  </si>
  <si>
    <t>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</si>
  <si>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</si>
  <si>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Fritzson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</si>
  <si>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</si>
  <si>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</si>
  <si>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94.8</t>
  </si>
  <si>
    <t>28.4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</si>
  <si>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</si>
  <si>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Gashi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</si>
  <si>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</si>
  <si>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</si>
  <si>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</si>
  <si>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Gefvert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</si>
  <si>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</si>
  <si>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</si>
  <si>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32.4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</si>
  <si>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</si>
  <si>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Gersbach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</si>
  <si>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</si>
  <si>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Kalmar</t>
    </r>
  </si>
  <si>
    <t>39.0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</si>
  <si>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</si>
  <si>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Gojani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</si>
  <si>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</si>
  <si>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</si>
  <si>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72.2</t>
  </si>
  <si>
    <t>21.7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</si>
  <si>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</si>
  <si>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Gono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</si>
  <si>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</si>
  <si>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</si>
  <si>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</si>
  <si>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</si>
  <si>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</si>
  <si>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</si>
  <si>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</si>
  <si>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</si>
  <si>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</si>
  <si>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</si>
  <si>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</si>
  <si>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</si>
  <si>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</si>
  <si>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</si>
  <si>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</si>
  <si>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42.0</t>
  </si>
  <si>
    <t>12.6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</si>
  <si>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</si>
  <si>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</si>
  <si>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</si>
  <si>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</si>
  <si>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71.7</t>
  </si>
  <si>
    <t>21.5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</si>
  <si>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</si>
  <si>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Grozdanic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</si>
  <si>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</si>
  <si>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</si>
  <si>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</si>
  <si>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Daníel Gudjohnsen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</si>
  <si>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</si>
  <si>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</si>
  <si>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</si>
  <si>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</si>
  <si>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</si>
  <si>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</si>
  <si>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10.6</t>
  </si>
  <si>
    <t>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</si>
  <si>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</si>
  <si>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Gül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</si>
  <si>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</si>
  <si>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Hammarby</t>
    </r>
  </si>
  <si>
    <t>34.9</t>
  </si>
  <si>
    <t>10.5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</si>
  <si>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</si>
  <si>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Gulliksen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</si>
  <si>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</si>
  <si>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</si>
  <si>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</si>
  <si>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Gunnarsson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</si>
  <si>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</si>
  <si>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</si>
  <si>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</si>
  <si>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</si>
  <si>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</si>
  <si>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</si>
  <si>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</si>
  <si>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</si>
  <si>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</si>
  <si>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</si>
  <si>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</si>
  <si>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</si>
  <si>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</si>
  <si>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</si>
  <si>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71.3</t>
  </si>
  <si>
    <t>21.4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</si>
  <si>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</si>
  <si>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</si>
  <si>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</si>
  <si>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</si>
  <si>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96.0</t>
  </si>
  <si>
    <t>28.8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</si>
  <si>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</si>
  <si>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Kingsley Gyamfi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</si>
  <si>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</si>
  <si>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</si>
  <si>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t>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</si>
  <si>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</si>
  <si>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Santeri Haarala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</si>
  <si>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</si>
  <si>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</si>
  <si>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</si>
  <si>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</si>
  <si>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</si>
  <si>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</si>
  <si>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26.7</t>
  </si>
  <si>
    <t>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</si>
  <si>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</si>
  <si>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</si>
  <si>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</si>
  <si>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</si>
  <si>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</si>
  <si>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</si>
  <si>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</si>
  <si>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</si>
  <si>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</si>
  <si>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Hall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</si>
  <si>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</si>
  <si>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</si>
  <si>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</si>
  <si>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Hallberg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</si>
  <si>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</si>
  <si>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</si>
  <si>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75.2</t>
  </si>
  <si>
    <t>22.6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</si>
  <si>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</si>
  <si>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</si>
  <si>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</si>
  <si>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</si>
  <si>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31.7</t>
  </si>
  <si>
    <t>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</si>
  <si>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</si>
  <si>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Hammer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</si>
  <si>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</si>
  <si>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</si>
  <si>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54.0</t>
  </si>
  <si>
    <t>16.2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</si>
  <si>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</si>
  <si>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Vito Hammershøy-Mistrati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</si>
  <si>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</si>
  <si>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</si>
  <si>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t>36.1</t>
  </si>
  <si>
    <t>10.8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</si>
  <si>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</si>
  <si>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</si>
  <si>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</si>
  <si>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</si>
  <si>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t>98.3</t>
  </si>
  <si>
    <t>29.5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</si>
  <si>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</si>
  <si>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Hartzell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</si>
  <si>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</si>
  <si>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</si>
  <si>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</si>
  <si>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Hasic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</si>
  <si>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</si>
  <si>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</si>
  <si>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</si>
  <si>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Hausner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</si>
  <si>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</si>
  <si>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</si>
  <si>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34.7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</si>
  <si>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</si>
  <si>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</si>
  <si>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</si>
  <si>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</si>
  <si>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15.5</t>
  </si>
  <si>
    <t>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</si>
  <si>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</si>
  <si>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</si>
  <si>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</si>
  <si>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</si>
  <si>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74.3</t>
  </si>
  <si>
    <t>22.3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</si>
  <si>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</si>
  <si>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Torbjørn Heggem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</si>
  <si>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</si>
  <si>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</si>
  <si>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</si>
  <si>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</si>
  <si>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</si>
  <si>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</si>
  <si>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80.7</t>
  </si>
  <si>
    <t>24.2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</si>
  <si>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</si>
  <si>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</si>
  <si>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</si>
  <si>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</si>
  <si>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58.0</t>
  </si>
  <si>
    <t>17.4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</si>
  <si>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</si>
  <si>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</si>
  <si>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</si>
  <si>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</si>
  <si>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63.9</t>
  </si>
  <si>
    <t>19.2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</si>
  <si>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</si>
  <si>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Hjalmar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</si>
  <si>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</si>
  <si>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</si>
  <si>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</si>
  <si>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</si>
  <si>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</si>
  <si>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</si>
  <si>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</si>
  <si>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</si>
  <si>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</si>
  <si>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</si>
  <si>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</si>
  <si>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</si>
  <si>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</si>
  <si>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</si>
  <si>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</si>
  <si>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72.5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</si>
  <si>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</si>
  <si>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Holten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</si>
  <si>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</si>
  <si>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</si>
  <si>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</si>
  <si>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</si>
  <si>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Höög-Jansson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</si>
  <si>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</si>
  <si>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</si>
  <si>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</si>
  <si>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</si>
  <si>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</si>
  <si>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</si>
  <si>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t>69.3</t>
  </si>
  <si>
    <t>20.8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</si>
  <si>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</si>
  <si>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Srđan Hrstić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</si>
  <si>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</si>
  <si>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</si>
  <si>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t>9.8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</si>
  <si>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</si>
  <si>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</si>
  <si>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</si>
  <si>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</si>
  <si>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73.0</t>
  </si>
  <si>
    <t>21.9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</si>
  <si>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</si>
  <si>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Hummet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</si>
  <si>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</si>
  <si>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Djurgården</t>
    </r>
  </si>
  <si>
    <t>83.4</t>
  </si>
  <si>
    <t>25.0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</si>
  <si>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</si>
  <si>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Harun Ibrahim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</si>
  <si>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</si>
  <si>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</si>
  <si>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70.1</t>
  </si>
  <si>
    <t>21.0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</si>
  <si>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</si>
  <si>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Birnir Ingason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</si>
  <si>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</si>
  <si>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</si>
  <si>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</si>
  <si>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</si>
  <si>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</si>
  <si>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</si>
  <si>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81.9</t>
  </si>
  <si>
    <t>24.6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</si>
  <si>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</si>
  <si>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Zeidane Inoussa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</si>
  <si>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</si>
  <si>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</si>
  <si>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61.1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</si>
  <si>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</si>
  <si>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Inzoudine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</si>
  <si>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</si>
  <si>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</si>
  <si>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</si>
  <si>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</si>
  <si>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</si>
  <si>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</si>
  <si>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</si>
  <si>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Daleho Irandust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</si>
  <si>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</si>
  <si>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</si>
  <si>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</si>
  <si>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Isa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</si>
  <si>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</si>
  <si>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</si>
  <si>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</si>
  <si>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</si>
  <si>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</si>
  <si>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</si>
  <si>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</si>
  <si>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Isherwood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</si>
  <si>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</si>
  <si>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</si>
  <si>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</si>
  <si>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Islamović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</si>
  <si>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</si>
  <si>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Kalmar</t>
    </r>
  </si>
  <si>
    <t>83.9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</si>
  <si>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</si>
  <si>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</si>
  <si>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</si>
  <si>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</si>
  <si>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47.8</t>
  </si>
  <si>
    <t>14.3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</si>
  <si>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</si>
  <si>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Jakob Thomasen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</si>
  <si>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</si>
  <si>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</si>
  <si>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29.6</t>
  </si>
  <si>
    <t>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</si>
  <si>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</si>
  <si>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Jakobsen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</si>
  <si>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</si>
  <si>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</si>
  <si>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53.8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</si>
  <si>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</si>
  <si>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Budimir Janošević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</si>
  <si>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</si>
  <si>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</si>
  <si>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</si>
  <si>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</si>
  <si>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</si>
  <si>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</si>
  <si>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</si>
  <si>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</si>
  <si>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</si>
  <si>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</si>
  <si>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</si>
  <si>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</si>
  <si>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</si>
  <si>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</si>
  <si>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</si>
  <si>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Rony Jansson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</si>
  <si>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</si>
  <si>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</si>
  <si>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t>31.9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</si>
  <si>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</si>
  <si>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Sigge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</si>
  <si>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</si>
  <si>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</si>
  <si>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</si>
  <si>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Järeteg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</si>
  <si>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</si>
  <si>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</si>
  <si>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</si>
  <si>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Camil Jebara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</si>
  <si>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</si>
  <si>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</si>
  <si>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</si>
  <si>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</si>
  <si>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Camil Jebara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</si>
  <si>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</si>
  <si>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</si>
  <si>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</si>
  <si>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</si>
  <si>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Malcolm Jeng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</si>
  <si>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</si>
  <si>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</si>
  <si>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94.1</t>
  </si>
  <si>
    <t>28.2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</si>
  <si>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</si>
  <si>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</si>
  <si>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</si>
  <si>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</si>
  <si>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100.0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</si>
  <si>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</si>
  <si>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</si>
  <si>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</si>
  <si>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</si>
  <si>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</si>
  <si>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</si>
  <si>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</si>
  <si>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</si>
  <si>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</si>
  <si>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37.3</t>
  </si>
  <si>
    <t>11.2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</si>
  <si>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</si>
  <si>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</si>
  <si>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</si>
  <si>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</si>
  <si>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</si>
  <si>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</si>
  <si>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</si>
  <si>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</si>
  <si>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53.3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</si>
  <si>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</si>
  <si>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Calle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</si>
  <si>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</si>
  <si>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</si>
  <si>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</si>
  <si>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</si>
  <si>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</si>
  <si>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</si>
  <si>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</si>
  <si>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</si>
  <si>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</si>
  <si>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</si>
  <si>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</si>
  <si>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</si>
  <si>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</si>
  <si>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</si>
  <si>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</si>
  <si>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</si>
  <si>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</si>
  <si>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</si>
  <si>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</si>
  <si>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</si>
  <si>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</si>
  <si>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</si>
  <si>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</si>
  <si>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83.1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</si>
  <si>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</si>
  <si>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</si>
  <si>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</si>
  <si>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</si>
  <si>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</si>
  <si>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</si>
  <si>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</si>
  <si>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</si>
  <si>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</si>
  <si>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</si>
  <si>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Johnson</t>
    </r>
  </si>
  <si>
    <r>
      <rPr>
        <rFont val="Verdana, sans-serif"/>
        <color rgb="FF1155CC"/>
        <u/>
      </rPr>
      <t>Mjällby</t>
    </r>
  </si>
  <si>
    <t>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</si>
  <si>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</si>
  <si>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</si>
  <si>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</si>
  <si>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</si>
  <si>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</si>
  <si>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</si>
  <si>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</si>
  <si>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</si>
  <si>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</si>
  <si>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</si>
  <si>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Jordan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</si>
  <si>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</si>
  <si>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</si>
  <si>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</si>
  <si>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Juhlin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</si>
  <si>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</si>
  <si>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</si>
  <si>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</si>
  <si>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</si>
  <si>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</si>
  <si>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</si>
  <si>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17.9</t>
  </si>
  <si>
    <t>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</si>
  <si>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</si>
  <si>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Kaastrup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</si>
  <si>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</si>
  <si>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</si>
  <si>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</si>
  <si>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Kåhed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</si>
  <si>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</si>
  <si>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</si>
  <si>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</si>
  <si>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</si>
  <si>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</si>
  <si>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Elfsborg</t>
    </r>
  </si>
  <si>
    <t>35.0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</si>
  <si>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</si>
  <si>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Yahya Kalley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</si>
  <si>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</si>
  <si>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</si>
  <si>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</si>
  <si>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Johnbosco Kalu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</si>
  <si>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</si>
  <si>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</si>
  <si>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t>54.1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</si>
  <si>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</si>
  <si>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Jardell Kanga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</si>
  <si>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</si>
  <si>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</si>
  <si>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</si>
  <si>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</si>
  <si>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</si>
  <si>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</si>
  <si>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51.3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</si>
  <si>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</si>
  <si>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</si>
  <si>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</si>
  <si>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</si>
  <si>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58.9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</si>
  <si>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</si>
  <si>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</si>
  <si>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</si>
  <si>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</si>
  <si>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</si>
  <si>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Karlstrom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</si>
  <si>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</si>
  <si>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</si>
  <si>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46.7</t>
  </si>
  <si>
    <t>14.0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</si>
  <si>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</si>
  <si>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Kenndal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</si>
  <si>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</si>
  <si>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</si>
  <si>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</si>
  <si>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Khazeni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</si>
  <si>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</si>
  <si>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</si>
  <si>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</si>
  <si>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</si>
  <si>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</si>
  <si>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</si>
  <si>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</si>
  <si>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67.3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</si>
  <si>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</si>
  <si>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Kiilerich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</si>
  <si>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</si>
  <si>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</si>
  <si>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t>36.3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</si>
  <si>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</si>
  <si>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</si>
  <si>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</si>
  <si>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</si>
  <si>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20.3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</si>
  <si>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</si>
  <si>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Kjær Kruse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</si>
  <si>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</si>
  <si>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</si>
  <si>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</si>
  <si>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</si>
  <si>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Melvin Koliqi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</si>
  <si>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</si>
  <si>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</si>
  <si>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</si>
  <si>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Keita Kosugi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</si>
  <si>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</si>
  <si>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</si>
  <si>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</si>
  <si>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Kotto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</si>
  <si>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</si>
  <si>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Värnamo</t>
    </r>
  </si>
  <si>
    <t>45.0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</si>
  <si>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</si>
  <si>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Kralj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</si>
  <si>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</si>
  <si>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</si>
  <si>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</si>
  <si>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Krantz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</si>
  <si>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</si>
  <si>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</si>
  <si>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</si>
  <si>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Krantz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</si>
  <si>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</si>
  <si>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</si>
  <si>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</si>
  <si>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</si>
  <si>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</si>
  <si>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</si>
  <si>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</si>
  <si>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</si>
  <si>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</si>
  <si>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</si>
  <si>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</si>
  <si>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Mergim Krasniqi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</si>
  <si>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</si>
  <si>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</si>
  <si>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68.7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</si>
  <si>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</si>
  <si>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Kristiansen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</si>
  <si>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</si>
  <si>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</si>
  <si>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</si>
  <si>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</si>
  <si>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Denis Krivosic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</si>
  <si>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</si>
  <si>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</si>
  <si>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Antonio Kujundžić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</si>
  <si>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</si>
  <si>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Kalmar</t>
    </r>
  </si>
  <si>
    <t>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</si>
  <si>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</si>
  <si>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Bleon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</si>
  <si>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</si>
  <si>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</si>
  <si>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</si>
  <si>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</si>
  <si>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</si>
  <si>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</si>
  <si>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34.4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</si>
  <si>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</si>
  <si>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Manasse Kusu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</si>
  <si>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</si>
  <si>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</si>
  <si>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8.7</t>
  </si>
  <si>
    <t>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</si>
  <si>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</si>
  <si>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Lahdo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</si>
  <si>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</si>
  <si>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</si>
  <si>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</si>
  <si>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</si>
  <si>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</si>
  <si>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</si>
  <si>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39.8</t>
  </si>
  <si>
    <t>11.9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</si>
  <si>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</si>
  <si>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</si>
  <si>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</si>
  <si>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</si>
  <si>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72.0</t>
  </si>
  <si>
    <t>21.6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</si>
  <si>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</si>
  <si>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</si>
  <si>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</si>
  <si>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</si>
  <si>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94.4</t>
  </si>
  <si>
    <t>28.3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</si>
  <si>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</si>
  <si>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</si>
  <si>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</si>
  <si>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</si>
  <si>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t>51.9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</si>
  <si>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</si>
  <si>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</si>
  <si>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</si>
  <si>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</si>
  <si>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</si>
  <si>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Leandersson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</si>
  <si>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</si>
  <si>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</si>
  <si>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</si>
  <si>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</si>
  <si>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</si>
  <si>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</si>
  <si>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</si>
  <si>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</si>
  <si>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</si>
  <si>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</si>
  <si>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15.8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</si>
  <si>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</si>
  <si>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Linday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</si>
  <si>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</si>
  <si>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</si>
  <si>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88.4</t>
  </si>
  <si>
    <t>26.5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</si>
  <si>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</si>
  <si>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</si>
  <si>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</si>
  <si>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</si>
  <si>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</si>
  <si>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</si>
  <si>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</si>
  <si>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</si>
  <si>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DF,FW</t>
  </si>
  <si>
    <r>
      <rPr>
        <rFont val="Verdana, sans-serif"/>
        <color rgb="FF1155CC"/>
        <u/>
      </rPr>
      <t>BK Häcken</t>
    </r>
  </si>
  <si>
    <t>71.8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</si>
  <si>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</si>
  <si>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</si>
  <si>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</si>
  <si>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</si>
  <si>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47.3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</si>
  <si>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</si>
  <si>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Vilmer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</si>
  <si>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</si>
  <si>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</si>
  <si>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</si>
  <si>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Linde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</si>
  <si>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</si>
  <si>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</si>
  <si>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60.0</t>
  </si>
  <si>
    <t>18.0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</si>
  <si>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</si>
  <si>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Lindelöv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</si>
  <si>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</si>
  <si>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</si>
  <si>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</si>
  <si>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Linderoth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</si>
  <si>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</si>
  <si>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</si>
  <si>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</si>
  <si>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Ljungberg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</si>
  <si>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</si>
  <si>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</si>
  <si>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</si>
  <si>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</si>
  <si>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Llinares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</si>
  <si>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</si>
  <si>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Hammarby</t>
    </r>
  </si>
  <si>
    <t>12.2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</si>
  <si>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</si>
  <si>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Marius Lode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</si>
  <si>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</si>
  <si>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</si>
  <si>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t>87.1</t>
  </si>
  <si>
    <t>26.1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</si>
  <si>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</si>
  <si>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Alfons Lohake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</si>
  <si>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</si>
  <si>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</si>
  <si>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</si>
  <si>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</si>
  <si>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</si>
  <si>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</si>
  <si>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42.6</t>
  </si>
  <si>
    <t>12.8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</si>
  <si>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</si>
  <si>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 Loukili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</si>
  <si>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</si>
  <si>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</si>
  <si>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</si>
  <si>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Valgeir Lunddal Friðriksson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</si>
  <si>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</si>
  <si>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</si>
  <si>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</si>
  <si>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</si>
  <si>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</si>
  <si>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</si>
  <si>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99.6</t>
  </si>
  <si>
    <t>29.9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</si>
  <si>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</si>
  <si>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</si>
  <si>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</si>
  <si>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</si>
  <si>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</si>
  <si>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</si>
  <si>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</si>
  <si>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</si>
  <si>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75.5</t>
  </si>
  <si>
    <t>22.7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</si>
  <si>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</si>
  <si>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Ramon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</si>
  <si>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</si>
  <si>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</si>
  <si>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42.3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</si>
  <si>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</si>
  <si>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</si>
  <si>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</si>
  <si>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Norrköping</t>
    </r>
  </si>
  <si>
    <t>48.0</t>
  </si>
  <si>
    <t>14.4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</si>
  <si>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</si>
  <si>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</si>
  <si>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</si>
  <si>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</si>
  <si>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t>22.2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</si>
  <si>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</si>
  <si>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Niilo Mäenpää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</si>
  <si>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</si>
  <si>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</si>
  <si>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</si>
  <si>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Abdussalam Magashy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</si>
  <si>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</si>
  <si>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</si>
  <si>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38.9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</si>
  <si>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</si>
  <si>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</si>
  <si>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</si>
  <si>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</si>
  <si>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</si>
  <si>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</si>
  <si>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</si>
  <si>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</si>
  <si>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</si>
  <si>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Elison Makolli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</si>
  <si>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</si>
  <si>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</si>
  <si>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19.8</t>
  </si>
  <si>
    <t>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</si>
  <si>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</si>
  <si>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Malmström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</si>
  <si>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</si>
  <si>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</si>
  <si>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</si>
  <si>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Saba Mamatsashvili</t>
    </r>
  </si>
  <si>
    <r>
      <rPr>
        <rFont val="Verdana, sans-serif"/>
        <color rgb="FF1155CC"/>
        <sz val="8.0"/>
        <u/>
      </rPr>
      <t>ge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</si>
  <si>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</si>
  <si>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</si>
  <si>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Manneh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</si>
  <si>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</si>
  <si>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</si>
  <si>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</si>
  <si>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Marques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</si>
  <si>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</si>
  <si>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</si>
  <si>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</si>
  <si>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Martin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</si>
  <si>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</si>
  <si>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</si>
  <si>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</si>
  <si>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Serge-Junior Martinsson Ngouali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</si>
  <si>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</si>
  <si>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Brommapojkarna</t>
    </r>
  </si>
  <si>
    <t>28.5</t>
  </si>
  <si>
    <t>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</si>
  <si>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</si>
  <si>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Mikhail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</si>
  <si>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</si>
  <si>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</si>
  <si>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</si>
  <si>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Milleskog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</si>
  <si>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</si>
  <si>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</si>
  <si>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75.4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</si>
  <si>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</si>
  <si>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Milošević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</si>
  <si>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</si>
  <si>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</si>
  <si>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37.6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</si>
  <si>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</si>
  <si>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Milovanovic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</si>
  <si>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</si>
  <si>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</si>
  <si>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70.2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</si>
  <si>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</si>
  <si>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</si>
  <si>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</si>
  <si>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</si>
  <si>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</si>
  <si>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</si>
  <si>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</si>
  <si>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</si>
  <si>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</si>
  <si>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Moberg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</si>
  <si>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</si>
  <si>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</si>
  <si>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</si>
  <si>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</si>
  <si>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Rui Modesto</t>
    </r>
  </si>
  <si>
    <r>
      <rPr>
        <rFont val="Verdana, sans-serif"/>
        <color rgb="FF1155CC"/>
        <sz val="8.0"/>
        <u/>
      </rPr>
      <t>ao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ANG</t>
    </r>
  </si>
  <si>
    <r>
      <rPr>
        <rFont val="Verdana, sans-serif"/>
        <color rgb="FF1155CC"/>
        <u/>
      </rPr>
      <t>AIK Stockholm</t>
    </r>
  </si>
  <si>
    <t>63.4</t>
  </si>
  <si>
    <t>19.0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</si>
  <si>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</si>
  <si>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Naeem Mohammed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</si>
  <si>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</si>
  <si>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</si>
  <si>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t>34.6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</si>
  <si>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</si>
  <si>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Moisander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</si>
  <si>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</si>
  <si>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</si>
  <si>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</si>
  <si>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Arash Motaragheb Jafarpour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</si>
  <si>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</si>
  <si>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</si>
  <si>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50.6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</si>
  <si>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</si>
  <si>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Fabian Mrozek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</si>
  <si>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</si>
  <si>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</si>
  <si>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</si>
  <si>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Arbnor Mucolli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</si>
  <si>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</si>
  <si>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Göteborg</t>
    </r>
  </si>
  <si>
    <t>37.1</t>
  </si>
  <si>
    <t>11.1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</si>
  <si>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</si>
  <si>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Murbeck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</si>
  <si>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</si>
  <si>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</si>
  <si>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16.3</t>
  </si>
  <si>
    <t>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</si>
  <si>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</si>
  <si>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</si>
  <si>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</si>
  <si>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</si>
  <si>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49.3</t>
  </si>
  <si>
    <t>14.8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</si>
  <si>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</si>
  <si>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Näsström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</si>
  <si>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</si>
  <si>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</si>
  <si>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46.1</t>
  </si>
  <si>
    <t>13.8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</si>
  <si>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</si>
  <si>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Moutaz Neffati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</si>
  <si>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</si>
  <si>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Norrköping</t>
    </r>
  </si>
  <si>
    <t>49.8</t>
  </si>
  <si>
    <t>14.9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</si>
  <si>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</si>
  <si>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Nehrman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</si>
  <si>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</si>
  <si>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</si>
  <si>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Kimmen Nennesson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</si>
  <si>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</si>
  <si>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</si>
  <si>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</si>
  <si>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Tokmac Nguen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</si>
  <si>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</si>
  <si>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</si>
  <si>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</si>
  <si>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Nielsen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</si>
  <si>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</si>
  <si>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</si>
  <si>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</si>
  <si>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Jimi Dos Reis Nikko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</si>
  <si>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</si>
  <si>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</si>
  <si>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</si>
  <si>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Malkolm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</si>
  <si>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</si>
  <si>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</si>
  <si>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</si>
  <si>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Ville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</si>
  <si>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</si>
  <si>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</si>
  <si>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</si>
  <si>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Severin Nioule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</si>
  <si>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</si>
  <si>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</si>
  <si>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</si>
  <si>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Vinícius Nogueira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</si>
  <si>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</si>
  <si>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Halmstad</t>
    </r>
  </si>
  <si>
    <t>94.3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</si>
  <si>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</si>
  <si>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</si>
  <si>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</si>
  <si>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</si>
  <si>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92.7</t>
  </si>
  <si>
    <t>27.8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</si>
  <si>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</si>
  <si>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Norén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</si>
  <si>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</si>
  <si>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</si>
  <si>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83.6</t>
  </si>
  <si>
    <t>25.1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</si>
  <si>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</si>
  <si>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Norlin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</si>
  <si>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</si>
  <si>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</si>
  <si>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56.3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</si>
  <si>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</si>
  <si>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Frédéric Nsabiyumva</t>
    </r>
  </si>
  <si>
    <r>
      <rPr>
        <rFont val="Verdana, sans-serif"/>
        <color rgb="FF1155CC"/>
        <sz val="8.0"/>
        <u/>
      </rPr>
      <t>bi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BDI</t>
    </r>
  </si>
  <si>
    <r>
      <rPr>
        <rFont val="Verdana, sans-serif"/>
        <color rgb="FF1155CC"/>
        <u/>
      </rPr>
      <t>Västerås</t>
    </r>
  </si>
  <si>
    <t>85.7</t>
  </si>
  <si>
    <t>25.7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</si>
  <si>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</si>
  <si>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Nwadike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</si>
  <si>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</si>
  <si>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</si>
  <si>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56.4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</si>
  <si>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</si>
  <si>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Nwankwo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</si>
  <si>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</si>
  <si>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</si>
  <si>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</si>
  <si>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</si>
  <si>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</si>
  <si>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</si>
  <si>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75.7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</si>
  <si>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</si>
  <si>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Odefalk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</si>
  <si>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</si>
  <si>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</si>
  <si>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78.7</t>
  </si>
  <si>
    <t>23.6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</si>
  <si>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</si>
  <si>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Henry Offia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</si>
  <si>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</si>
  <si>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Västerås</t>
    </r>
  </si>
  <si>
    <t>19.4</t>
  </si>
  <si>
    <t>5.8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</si>
  <si>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</si>
  <si>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 Ofosu-Ayeh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</si>
  <si>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</si>
  <si>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</si>
  <si>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</si>
  <si>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</si>
  <si>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</si>
  <si>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</si>
  <si>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61.0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</si>
  <si>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</si>
  <si>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Öhman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</si>
  <si>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</si>
  <si>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</si>
  <si>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</si>
  <si>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Olden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</si>
  <si>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</si>
  <si>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</si>
  <si>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</si>
  <si>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</si>
  <si>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</si>
  <si>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</si>
  <si>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</si>
  <si>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</si>
  <si>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</si>
  <si>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</si>
  <si>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</si>
  <si>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57.8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</si>
  <si>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</si>
  <si>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</si>
  <si>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</si>
  <si>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</si>
  <si>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</si>
  <si>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Elton Opancar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</si>
  <si>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</si>
  <si>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</si>
  <si>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</si>
  <si>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</si>
  <si>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</si>
  <si>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</si>
  <si>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</si>
  <si>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</si>
  <si>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</si>
  <si>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</si>
  <si>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</si>
  <si>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</si>
  <si>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Östman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</si>
  <si>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</si>
  <si>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</si>
  <si>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</si>
  <si>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 Osuji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</si>
  <si>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</si>
  <si>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Kalmar</t>
    </r>
  </si>
  <si>
    <t>45.9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</si>
  <si>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</si>
  <si>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</si>
  <si>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</si>
  <si>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Elfsborg</t>
    </r>
  </si>
  <si>
    <t>52.9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</si>
  <si>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</si>
  <si>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</si>
  <si>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</si>
  <si>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</si>
  <si>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76.9</t>
  </si>
  <si>
    <t>23.1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</si>
  <si>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</si>
  <si>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Paul Dembe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</si>
  <si>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</si>
  <si>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</si>
  <si>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</si>
  <si>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Sergio Peña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</si>
  <si>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</si>
  <si>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Malmö</t>
    </r>
  </si>
  <si>
    <t>53.4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</si>
  <si>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</si>
  <si>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Persson Åhstedt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</si>
  <si>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</si>
  <si>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</si>
  <si>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</si>
  <si>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</si>
  <si>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</si>
  <si>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</si>
  <si>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49.5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</si>
  <si>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</si>
  <si>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</si>
  <si>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</si>
  <si>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</si>
  <si>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</si>
  <si>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</si>
  <si>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</si>
  <si>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</si>
  <si>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58.3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</si>
  <si>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</si>
  <si>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</si>
  <si>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</si>
  <si>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</si>
  <si>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</si>
  <si>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</si>
  <si>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</si>
  <si>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</si>
  <si>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67.8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</si>
  <si>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</si>
  <si>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Paya Pichkah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</si>
  <si>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</si>
  <si>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</si>
  <si>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</si>
  <si>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</si>
  <si>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</si>
  <si>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</si>
  <si>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t>90.7</t>
  </si>
  <si>
    <t>27.2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</si>
  <si>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</si>
  <si>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Ioannis Pittas</t>
    </r>
  </si>
  <si>
    <r>
      <rPr>
        <rFont val="Verdana, sans-serif"/>
        <color rgb="FF1155CC"/>
        <sz val="8.0"/>
        <u/>
      </rPr>
      <t>cy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CYP</t>
    </r>
  </si>
  <si>
    <r>
      <rPr>
        <rFont val="Verdana, sans-serif"/>
        <color rgb="FF1155CC"/>
        <u/>
      </rPr>
      <t>AIK Stockholm</t>
    </r>
  </si>
  <si>
    <t>96.5</t>
  </si>
  <si>
    <t>28.9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</si>
  <si>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</si>
  <si>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Prica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</si>
  <si>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</si>
  <si>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</si>
  <si>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53.0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</si>
  <si>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</si>
  <si>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Priske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</si>
  <si>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</si>
  <si>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</si>
  <si>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</si>
  <si>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</si>
  <si>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</si>
  <si>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</si>
  <si>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</si>
  <si>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</si>
  <si>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</si>
  <si>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</si>
  <si>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29.4</t>
  </si>
  <si>
    <t>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</si>
  <si>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</si>
  <si>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Qasem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</si>
  <si>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</si>
  <si>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</si>
  <si>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64.6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</si>
  <si>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</si>
  <si>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Musa Qurbanlı</t>
    </r>
  </si>
  <si>
    <r>
      <rPr>
        <rFont val="Verdana, sans-serif"/>
        <color rgb="FF1155CC"/>
        <sz val="8.0"/>
        <u/>
      </rPr>
      <t>az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AZE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</si>
  <si>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</si>
  <si>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</si>
  <si>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Radetinac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</si>
  <si>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</si>
  <si>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Djurgården</t>
    </r>
  </si>
  <si>
    <t>19.9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</si>
  <si>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</si>
  <si>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</si>
  <si>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</si>
  <si>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</si>
  <si>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</si>
  <si>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</si>
  <si>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</si>
  <si>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</si>
  <si>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</si>
  <si>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</si>
  <si>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</si>
  <si>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</si>
  <si>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</si>
  <si>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</si>
  <si>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</si>
  <si>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</si>
  <si>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</si>
  <si>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Zakarias Råvik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</si>
  <si>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</si>
  <si>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</si>
  <si>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</si>
  <si>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Reyes Rigö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</si>
  <si>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</si>
  <si>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</si>
  <si>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</si>
  <si>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Pedro Ribeiro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</si>
  <si>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</si>
  <si>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</si>
  <si>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</si>
  <si>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</si>
  <si>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</si>
  <si>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</si>
  <si>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t>33.3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</si>
  <si>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</si>
  <si>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Richtner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</si>
  <si>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</si>
  <si>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</si>
  <si>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</si>
  <si>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Søren Rieks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</si>
  <si>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</si>
  <si>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</si>
  <si>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</si>
  <si>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</si>
  <si>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</si>
  <si>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</si>
  <si>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</si>
  <si>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</si>
  <si>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</si>
  <si>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</si>
  <si>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71.4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</si>
  <si>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</si>
  <si>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</si>
  <si>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</si>
  <si>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</si>
  <si>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</si>
  <si>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Romário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</si>
  <si>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</si>
  <si>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</si>
  <si>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t>69.0</t>
  </si>
  <si>
    <t>20.7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</si>
  <si>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</si>
  <si>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</si>
  <si>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</si>
  <si>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</si>
  <si>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</si>
  <si>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Alvar Rosander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</si>
  <si>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</si>
  <si>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</si>
  <si>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</si>
  <si>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</si>
  <si>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</si>
  <si>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</si>
  <si>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41.1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</si>
  <si>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</si>
  <si>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</si>
  <si>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</si>
  <si>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</si>
  <si>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</si>
  <si>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</si>
  <si>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</si>
  <si>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</si>
  <si>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35.3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</si>
  <si>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</si>
  <si>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Mohammed Rufaai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</si>
  <si>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</si>
  <si>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</si>
  <si>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</si>
  <si>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</si>
  <si>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</si>
  <si>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</si>
  <si>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</si>
  <si>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Nicklas Røjkjær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</si>
  <si>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</si>
  <si>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</si>
  <si>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t>89.1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</si>
  <si>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</si>
  <si>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Besard Sabovic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</si>
  <si>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</si>
  <si>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</si>
  <si>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73.5</t>
  </si>
  <si>
    <t>22.0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</si>
  <si>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</si>
  <si>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</si>
  <si>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</si>
  <si>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</si>
  <si>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</si>
  <si>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</si>
  <si>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</si>
  <si>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</si>
  <si>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55.7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</si>
  <si>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</si>
  <si>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Abundance Salaou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</si>
  <si>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</si>
  <si>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</si>
  <si>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</si>
  <si>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Yousef Salech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</si>
  <si>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</si>
  <si>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</si>
  <si>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82.2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</si>
  <si>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</si>
  <si>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Salétros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</si>
  <si>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</si>
  <si>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</si>
  <si>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86.2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</si>
  <si>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</si>
  <si>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Salihovic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</si>
  <si>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</si>
  <si>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</si>
  <si>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63.6</t>
  </si>
  <si>
    <t>19.1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</si>
  <si>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</si>
  <si>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Mohammad Al Salkhadi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</si>
  <si>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</si>
  <si>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Värnamo</t>
    </r>
  </si>
  <si>
    <t>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</si>
  <si>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</si>
  <si>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Salomonsson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</si>
  <si>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</si>
  <si>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</si>
  <si>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</si>
  <si>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</si>
  <si>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</si>
  <si>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</si>
  <si>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</si>
  <si>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</si>
  <si>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Ture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</si>
  <si>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</si>
  <si>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</si>
  <si>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</si>
  <si>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Santos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</si>
  <si>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</si>
  <si>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</si>
  <si>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62.4</t>
  </si>
  <si>
    <t>18.7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</si>
  <si>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</si>
  <si>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Youssoupha Sanyang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</si>
  <si>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</si>
  <si>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</si>
  <si>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</si>
  <si>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</si>
  <si>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</si>
  <si>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</si>
  <si>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30.8</t>
  </si>
  <si>
    <t>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</si>
  <si>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</si>
  <si>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Selin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</si>
  <si>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</si>
  <si>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</si>
  <si>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</si>
  <si>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Sernelius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</si>
  <si>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</si>
  <si>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</si>
  <si>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</si>
  <si>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Kamilcan Sever</t>
    </r>
  </si>
  <si>
    <r>
      <rPr>
        <rFont val="Verdana, sans-serif"/>
        <color rgb="FF1155CC"/>
        <u/>
      </rPr>
      <t>Brommapojkarna</t>
    </r>
  </si>
  <si>
    <t>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</si>
  <si>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</si>
  <si>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</si>
  <si>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</si>
  <si>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</si>
  <si>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</si>
  <si>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Collins Sichenje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</si>
  <si>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</si>
  <si>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</si>
  <si>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</si>
  <si>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Sidklev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</si>
  <si>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</si>
  <si>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</si>
  <si>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</si>
  <si>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</si>
  <si>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</si>
  <si>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</si>
  <si>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</si>
  <si>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Sjögrell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</si>
  <si>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</si>
  <si>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</si>
  <si>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19.3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</si>
  <si>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</si>
  <si>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Sjöholm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</si>
  <si>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</si>
  <si>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</si>
  <si>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</si>
  <si>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Sjöstedt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</si>
  <si>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</si>
  <si>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</si>
  <si>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</si>
  <si>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Laurs Skjellerup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</si>
  <si>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</si>
  <si>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</si>
  <si>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</si>
  <si>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</si>
  <si>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</si>
  <si>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</si>
  <si>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78.5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</si>
  <si>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</si>
  <si>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Skogmar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</si>
  <si>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</si>
  <si>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</si>
  <si>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</si>
  <si>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</si>
  <si>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Skrabb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</si>
  <si>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</si>
  <si>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</si>
  <si>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t>84.7</t>
  </si>
  <si>
    <t>25.4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</si>
  <si>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</si>
  <si>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Floris Smand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</si>
  <si>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</si>
  <si>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</si>
  <si>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</si>
  <si>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Eskil Smidesang Edh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</si>
  <si>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</si>
  <si>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</si>
  <si>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t>62.1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</si>
  <si>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</si>
  <si>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</si>
  <si>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</si>
  <si>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</si>
  <si>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</si>
  <si>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</si>
  <si>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</si>
  <si>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</si>
  <si>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</si>
  <si>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</si>
  <si>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Söderström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</si>
  <si>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</si>
  <si>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</si>
  <si>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</si>
  <si>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</si>
  <si>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Amadeus Sögaard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</si>
  <si>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</si>
  <si>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</si>
  <si>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</si>
  <si>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Ssewankambo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</si>
  <si>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</si>
  <si>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</si>
  <si>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</si>
  <si>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</si>
  <si>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</si>
  <si>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</si>
  <si>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</si>
  <si>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</si>
  <si>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</si>
  <si>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</si>
  <si>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t>50.8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</si>
  <si>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</si>
  <si>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</si>
  <si>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</si>
  <si>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</si>
  <si>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</si>
  <si>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Steinwender</t>
    </r>
  </si>
  <si>
    <r>
      <rPr>
        <rFont val="Verdana, sans-serif"/>
        <color rgb="FF1155CC"/>
        <sz val="8.0"/>
        <u/>
      </rPr>
      <t>at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AUT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</si>
  <si>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</si>
  <si>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</si>
  <si>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</si>
  <si>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</si>
  <si>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</si>
  <si>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</si>
  <si>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</si>
  <si>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</si>
  <si>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</si>
  <si>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</si>
  <si>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Stoch Rydell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</si>
  <si>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</si>
  <si>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</si>
  <si>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</si>
  <si>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</si>
  <si>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</si>
  <si>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</si>
  <si>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</si>
  <si>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</si>
  <si>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</si>
  <si>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</si>
  <si>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</si>
  <si>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</si>
  <si>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</si>
  <si>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</si>
  <si>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74.0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</si>
  <si>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</si>
  <si>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Svedberg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</si>
  <si>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</si>
  <si>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</si>
  <si>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91.0</t>
  </si>
  <si>
    <t>27.3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</si>
  <si>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</si>
  <si>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</si>
  <si>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</si>
  <si>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</si>
  <si>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99.4</t>
  </si>
  <si>
    <t>29.8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</si>
  <si>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</si>
  <si>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</si>
  <si>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</si>
  <si>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</si>
  <si>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</si>
  <si>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</si>
  <si>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</si>
  <si>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</si>
  <si>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</si>
  <si>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</si>
  <si>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</si>
  <si>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</si>
  <si>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t>89.2</t>
  </si>
  <si>
    <t>26.8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</si>
  <si>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</si>
  <si>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Tahwildaran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</si>
  <si>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</si>
  <si>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</si>
  <si>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</si>
  <si>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Tånnander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</si>
  <si>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</si>
  <si>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</si>
  <si>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73.3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</si>
  <si>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</si>
  <si>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Divine Teah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</si>
  <si>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</si>
  <si>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</si>
  <si>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</si>
  <si>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Tesfaldet Tekie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</si>
  <si>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</si>
  <si>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</si>
  <si>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</si>
  <si>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</si>
  <si>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</si>
  <si>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</si>
  <si>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77.4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</si>
  <si>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</si>
  <si>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Therkildsen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</si>
  <si>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</si>
  <si>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</si>
  <si>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</si>
  <si>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</si>
  <si>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</si>
  <si>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</si>
  <si>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62.7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</si>
  <si>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</si>
  <si>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Thoreson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</si>
  <si>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</si>
  <si>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</si>
  <si>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</si>
  <si>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Tidstrand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</si>
  <si>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</si>
  <si>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</si>
  <si>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</si>
  <si>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</si>
  <si>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</si>
  <si>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</si>
  <si>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95.6</t>
  </si>
  <si>
    <t>28.7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</si>
  <si>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</si>
  <si>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Tinnerholm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</si>
  <si>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</si>
  <si>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</si>
  <si>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</si>
  <si>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Tolf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</si>
  <si>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</si>
  <si>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</si>
  <si>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</si>
  <si>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</si>
  <si>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</si>
  <si>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</si>
  <si>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88.3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</si>
  <si>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</si>
  <si>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Bazoumana Touré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</si>
  <si>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</si>
  <si>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</si>
  <si>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</si>
  <si>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Trenskow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</si>
  <si>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</si>
  <si>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</si>
  <si>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t>55.3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</si>
  <si>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</si>
  <si>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Trondsen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</si>
  <si>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</si>
  <si>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</si>
  <si>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57.9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</si>
  <si>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</si>
  <si>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Trpchevski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</si>
  <si>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</si>
  <si>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</si>
  <si>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</si>
  <si>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</si>
  <si>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</si>
  <si>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</si>
  <si>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</si>
  <si>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</si>
  <si>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</si>
  <si>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</si>
  <si>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</si>
  <si>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</si>
  <si>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</si>
  <si>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</si>
  <si>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</si>
  <si>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Wilson Uhrström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</si>
  <si>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</si>
  <si>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</si>
  <si>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</si>
  <si>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</si>
  <si>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</si>
  <si>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</si>
  <si>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57.3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</si>
  <si>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</si>
  <si>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Uppenberg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</si>
  <si>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</si>
  <si>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</si>
  <si>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</si>
  <si>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</si>
  <si>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</si>
  <si>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</si>
  <si>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67.2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</si>
  <si>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</si>
  <si>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Onni Valakari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</si>
  <si>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</si>
  <si>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</si>
  <si>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</si>
  <si>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Vasic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</si>
  <si>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</si>
  <si>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</si>
  <si>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85.0</t>
  </si>
  <si>
    <t>25.5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</si>
  <si>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</si>
  <si>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Stefano Vecchia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</si>
  <si>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</si>
  <si>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</si>
  <si>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</si>
  <si>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Vetkal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</si>
  <si>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</si>
  <si>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Brommapojkarna</t>
    </r>
  </si>
  <si>
    <t>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</si>
  <si>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</si>
  <si>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</si>
  <si>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</si>
  <si>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</si>
  <si>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43.2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</si>
  <si>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</si>
  <si>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</si>
  <si>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</si>
  <si>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</si>
  <si>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</si>
  <si>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Wahl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</si>
  <si>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</si>
  <si>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</si>
  <si>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</si>
  <si>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</si>
  <si>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</si>
  <si>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</si>
  <si>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</si>
  <si>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Walta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</si>
  <si>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</si>
  <si>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Sirius</t>
    </r>
  </si>
  <si>
    <t>93.5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</si>
  <si>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</si>
  <si>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</si>
  <si>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</si>
  <si>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</si>
  <si>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99.7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</si>
  <si>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</si>
  <si>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Warneryd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</si>
  <si>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</si>
  <si>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</si>
  <si>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48.8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</si>
  <si>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</si>
  <si>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Watson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</si>
  <si>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</si>
  <si>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</si>
  <si>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91.7</t>
  </si>
  <si>
    <t>27.5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</si>
  <si>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</si>
  <si>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</si>
  <si>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</si>
  <si>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</si>
  <si>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t>90.4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</si>
  <si>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</si>
  <si>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</si>
  <si>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</si>
  <si>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</si>
  <si>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58.1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</si>
  <si>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</si>
  <si>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</si>
  <si>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</si>
  <si>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</si>
  <si>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</si>
  <si>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Wernersson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</si>
  <si>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</si>
  <si>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</si>
  <si>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</si>
  <si>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Westermark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</si>
  <si>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</si>
  <si>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</si>
  <si>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</si>
  <si>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</si>
  <si>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</si>
  <si>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</si>
  <si>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</si>
  <si>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</si>
  <si>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</si>
  <si>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</si>
  <si>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81.0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</si>
  <si>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</si>
  <si>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</si>
  <si>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</si>
  <si>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</si>
  <si>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</si>
  <si>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</si>
  <si>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Wikheim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</si>
  <si>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</si>
  <si>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</si>
  <si>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45.3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</si>
  <si>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</si>
  <si>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</si>
  <si>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</si>
  <si>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</si>
  <si>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63.8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</si>
  <si>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</si>
  <si>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</si>
  <si>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</si>
  <si>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</si>
  <si>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69.1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</si>
  <si>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</si>
  <si>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Stanley Wilson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</si>
  <si>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</si>
  <si>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</si>
  <si>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</si>
  <si>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</si>
  <si>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</si>
  <si>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</si>
  <si>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48.6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</si>
  <si>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</si>
  <si>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</si>
  <si>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</si>
  <si>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</si>
  <si>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</si>
  <si>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Malick Yalcouye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</si>
  <si>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</si>
  <si>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</si>
  <si>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</si>
  <si>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</si>
  <si>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</si>
  <si>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</si>
  <si>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</si>
  <si>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Terry Yegbe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</si>
  <si>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</si>
  <si>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</si>
  <si>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</si>
  <si>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Saku Ylätupa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</si>
  <si>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</si>
  <si>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</si>
  <si>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</si>
  <si>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Youssef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</si>
  <si>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</si>
  <si>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</si>
  <si>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t>49.0</t>
  </si>
  <si>
    <t>14.7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</si>
  <si>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</si>
  <si>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Zaher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</si>
  <si>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</si>
  <si>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</si>
  <si>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</si>
  <si>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 Zätterström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</si>
  <si>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</si>
  <si>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</si>
  <si>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35.7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</si>
  <si>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</si>
  <si>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Zečević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</si>
  <si>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</si>
  <si>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</si>
  <si>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</si>
  <si>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</si>
  <si>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</si>
  <si>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</si>
  <si>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</si>
  <si>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Zemmale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</si>
  <si>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</si>
  <si>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</si>
  <si>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</si>
  <si>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</si>
  <si>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</si>
  <si>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</si>
  <si>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t>59.5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</si>
  <si>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</si>
  <si>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</si>
  <si>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</si>
  <si>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</si>
  <si>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44.6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</si>
  <si>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</si>
  <si>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Leonard Zuta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</si>
  <si>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</si>
  <si>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</si>
  <si>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</si>
  <si>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</si>
  <si>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</si>
  <si>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</si>
  <si>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t>84.0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</si>
  <si>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</si>
  <si>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Đukanović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</si>
  <si>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</si>
  <si>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</si>
  <si>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</si>
  <si>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</si>
  <si>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</si>
  <si>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</si>
  <si>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</si>
  <si>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Jabir Abdihakim</t>
    </r>
  </si>
  <si>
    <r>
      <rPr>
        <rFont val="Verdana, sans-serif"/>
        <color rgb="FF1155CC"/>
        <sz val="8.0"/>
        <u/>
      </rPr>
      <t>dj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DJI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</si>
  <si>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</si>
  <si>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</si>
  <si>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Jalal Abdulai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</si>
  <si>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</si>
  <si>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</si>
  <si>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</si>
  <si>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Suleiman Abdullahi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</si>
  <si>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</si>
  <si>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</si>
  <si>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</si>
  <si>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Joackim Åberg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</si>
  <si>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</si>
  <si>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</si>
  <si>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</si>
  <si>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Paulos Abraham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</si>
  <si>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</si>
  <si>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</si>
  <si>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</si>
  <si>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</si>
  <si>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</si>
  <si>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</si>
  <si>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</si>
  <si>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</si>
  <si>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</si>
  <si>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</si>
  <si>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</si>
  <si>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</si>
  <si>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</si>
  <si>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</si>
  <si>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</si>
  <si>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Jeremy Agbonifo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</si>
  <si>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</si>
  <si>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</si>
  <si>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</si>
  <si>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Yannick Agnero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</si>
  <si>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</si>
  <si>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</si>
  <si>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</si>
  <si>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Ahl Holmström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</si>
  <si>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</si>
  <si>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</si>
  <si>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</si>
  <si>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Matteo Ahlinvi</t>
    </r>
  </si>
  <si>
    <r>
      <rPr>
        <rFont val="Verdana, sans-serif"/>
        <color rgb="FF1155CC"/>
        <sz val="8.0"/>
        <u/>
      </rPr>
      <t>bj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BEN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</si>
  <si>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</si>
  <si>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</si>
  <si>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Ahlstrand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</si>
  <si>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</si>
  <si>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</si>
  <si>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</si>
  <si>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Abdihakin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</si>
  <si>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</si>
  <si>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</si>
  <si>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</si>
  <si>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</si>
  <si>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</si>
  <si>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</si>
  <si>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</si>
  <si>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Alsanati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</si>
  <si>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</si>
  <si>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</si>
  <si>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</si>
  <si>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Amane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</si>
  <si>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</si>
  <si>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</si>
  <si>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</si>
  <si>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Chovanie Amatkarijo</t>
    </r>
  </si>
  <si>
    <r>
      <rPr>
        <rFont val="Verdana, sans-serif"/>
        <color rgb="FF1155CC"/>
        <sz val="8.0"/>
        <u/>
      </rPr>
      <t>sx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SMA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</si>
  <si>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</si>
  <si>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</si>
  <si>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</si>
  <si>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</si>
  <si>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</si>
  <si>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</si>
  <si>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Andersen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</si>
  <si>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</si>
  <si>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</si>
  <si>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Åke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</si>
  <si>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</si>
  <si>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</si>
  <si>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</si>
  <si>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</si>
  <si>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</si>
  <si>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</si>
  <si>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</si>
  <si>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Andersson Mella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</si>
  <si>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</si>
  <si>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</si>
  <si>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</si>
  <si>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</si>
  <si>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</si>
  <si>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</si>
  <si>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</si>
  <si>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</si>
  <si>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</si>
  <si>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</si>
  <si>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</si>
  <si>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</si>
  <si>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</si>
  <si>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</si>
  <si>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75.0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</si>
  <si>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</si>
  <si>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</si>
  <si>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</si>
  <si>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</si>
  <si>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</si>
  <si>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Ísak Andri Sigurgeirsson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</si>
  <si>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</si>
  <si>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</si>
  <si>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</si>
  <si>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Antonelius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</si>
  <si>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</si>
  <si>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</si>
  <si>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</si>
  <si>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Ümit Aras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</si>
  <si>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</si>
  <si>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</si>
  <si>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</si>
  <si>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Eggert Aron Guðmundsson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</si>
  <si>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</si>
  <si>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</si>
  <si>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</si>
  <si>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Frode Aronsson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</si>
  <si>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</si>
  <si>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</si>
  <si>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</si>
  <si>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Arvidsson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</si>
  <si>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</si>
  <si>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</si>
  <si>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Ask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</si>
  <si>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</si>
  <si>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</si>
  <si>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</si>
  <si>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</si>
  <si>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</si>
  <si>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</si>
  <si>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</si>
  <si>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</si>
  <si>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</si>
  <si>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</si>
  <si>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</si>
  <si>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Asoma</t>
    </r>
  </si>
  <si>
    <r>
      <rPr>
        <rFont val="Verdana, sans-serif"/>
        <color rgb="FF1155CC"/>
        <sz val="8.0"/>
        <u/>
      </rPr>
      <t>be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BEL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</si>
  <si>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</si>
  <si>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</si>
  <si>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Alieu Atlee Manneh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</si>
  <si>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</si>
  <si>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</si>
  <si>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</si>
  <si>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August Ek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</si>
  <si>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</si>
  <si>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</si>
  <si>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</si>
  <si>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</si>
  <si>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</si>
  <si>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</si>
  <si>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</si>
  <si>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Nikolai Baden Frederiksen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</si>
  <si>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</si>
  <si>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</si>
  <si>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</si>
  <si>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Baffo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</si>
  <si>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</si>
  <si>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</si>
  <si>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</si>
  <si>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Bager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</si>
  <si>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</si>
  <si>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</si>
  <si>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</si>
  <si>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</si>
  <si>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</si>
  <si>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</si>
  <si>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</si>
  <si>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Baidoo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</si>
  <si>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</si>
  <si>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</si>
  <si>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</si>
  <si>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Barrett Laursen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</si>
  <si>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</si>
  <si>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</si>
  <si>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</si>
  <si>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Kaare Barslund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</si>
  <si>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</si>
  <si>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</si>
  <si>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</si>
  <si>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Mohamed Bawa</t>
    </r>
  </si>
  <si>
    <r>
      <rPr>
        <rFont val="Verdana, sans-serif"/>
        <color rgb="FF1155CC"/>
        <sz val="8.0"/>
        <u/>
      </rPr>
      <t>ly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LBY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</si>
  <si>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</si>
  <si>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</si>
  <si>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</si>
  <si>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</si>
  <si>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</si>
  <si>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</si>
  <si>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Beckman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</si>
  <si>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</si>
  <si>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</si>
  <si>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</si>
  <si>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Benediktsson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</si>
  <si>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</si>
  <si>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</si>
  <si>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</si>
  <si>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Lion Beqiri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</si>
  <si>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</si>
  <si>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</si>
  <si>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</si>
  <si>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Berg Johnsen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</si>
  <si>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</si>
  <si>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</si>
  <si>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</si>
  <si>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</si>
  <si>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</si>
  <si>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</si>
  <si>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</si>
  <si>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</si>
  <si>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</si>
  <si>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</si>
  <si>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</si>
  <si>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</si>
  <si>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</si>
  <si>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</si>
  <si>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</si>
  <si>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</si>
  <si>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</si>
  <si>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</si>
  <si>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</si>
  <si>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Bergström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</si>
  <si>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</si>
  <si>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</si>
  <si>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</si>
  <si>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</si>
  <si>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</si>
  <si>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</si>
  <si>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</si>
  <si>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</si>
  <si>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</si>
  <si>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</si>
  <si>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</si>
  <si>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Bergvall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</si>
  <si>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</si>
  <si>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</si>
  <si>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</si>
  <si>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</si>
  <si>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</si>
  <si>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</si>
  <si>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</si>
  <si>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</si>
  <si>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</si>
  <si>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</si>
  <si>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</si>
  <si>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Bilalovic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</si>
  <si>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</si>
  <si>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</si>
  <si>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</si>
  <si>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Egzon Binaku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</si>
  <si>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</si>
  <si>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</si>
  <si>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</si>
  <si>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</si>
  <si>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</si>
  <si>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</si>
  <si>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</si>
  <si>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Björk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</si>
  <si>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</si>
  <si>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</si>
  <si>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</si>
  <si>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Björkander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</si>
  <si>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</si>
  <si>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</si>
  <si>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</si>
  <si>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</si>
  <si>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</si>
  <si>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</si>
  <si>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</si>
  <si>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</si>
  <si>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</si>
  <si>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</si>
  <si>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</si>
  <si>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Boakye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</si>
  <si>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</si>
  <si>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</si>
  <si>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</si>
  <si>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Bolin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</si>
  <si>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</si>
  <si>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</si>
  <si>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</si>
  <si>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Stephen Bolma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</si>
  <si>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</si>
  <si>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</si>
  <si>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</si>
  <si>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</si>
  <si>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</si>
  <si>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</si>
  <si>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</si>
  <si>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</si>
  <si>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</si>
  <si>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</si>
  <si>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</si>
  <si>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Evans Botchway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</si>
  <si>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</si>
  <si>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</si>
  <si>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</si>
  <si>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Botheim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</si>
  <si>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</si>
  <si>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</si>
  <si>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</si>
  <si>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Boudri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</si>
  <si>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</si>
  <si>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</si>
  <si>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</si>
  <si>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Elyas Bouzaiene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</si>
  <si>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</si>
  <si>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</si>
  <si>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</si>
  <si>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 Bozicevic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</si>
  <si>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</si>
  <si>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</si>
  <si>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</si>
  <si>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Brantlind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</si>
  <si>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</si>
  <si>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</si>
  <si>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</si>
  <si>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Brattberg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</si>
  <si>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</si>
  <si>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</si>
  <si>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</si>
  <si>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Lius Braun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</si>
  <si>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</si>
  <si>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</si>
  <si>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</si>
  <si>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Breze Fofana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</si>
  <si>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</si>
  <si>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</si>
  <si>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</si>
  <si>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Brolin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</si>
  <si>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</si>
  <si>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</si>
  <si>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</si>
  <si>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Arvid Brorsson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</si>
  <si>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</si>
  <si>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</si>
  <si>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</si>
  <si>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Brusberg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</si>
  <si>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</si>
  <si>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</si>
  <si>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</si>
  <si>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Buhari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</si>
  <si>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</si>
  <si>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</si>
  <si>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</si>
  <si>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Bundgaard Sørensen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</si>
  <si>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</si>
  <si>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</si>
  <si>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</si>
  <si>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Busanello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</si>
  <si>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</si>
  <si>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</si>
  <si>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</si>
  <si>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Bustos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</si>
  <si>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</si>
  <si>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</si>
  <si>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</si>
  <si>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Busuladžić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</si>
  <si>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</si>
  <si>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</si>
  <si>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</si>
  <si>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Mario Butros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</si>
  <si>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</si>
  <si>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</si>
  <si>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</si>
  <si>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Calisir</t>
    </r>
  </si>
  <si>
    <r>
      <rPr>
        <rFont val="Verdana, sans-serif"/>
        <color rgb="FF1155CC"/>
        <sz val="8.0"/>
        <u/>
      </rPr>
      <t>am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ARM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</si>
  <si>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</si>
  <si>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</si>
  <si>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Anes Cardaklija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</si>
  <si>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</si>
  <si>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</si>
  <si>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</si>
  <si>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</si>
  <si>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</si>
  <si>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</si>
  <si>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</si>
  <si>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</si>
  <si>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</si>
  <si>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</si>
  <si>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</si>
  <si>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</si>
  <si>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</si>
  <si>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</si>
  <si>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</si>
  <si>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</si>
  <si>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</si>
  <si>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</si>
  <si>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</si>
  <si>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</si>
  <si>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</si>
  <si>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</si>
  <si>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</si>
  <si>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</si>
  <si>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</si>
  <si>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</si>
  <si>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</si>
  <si>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</si>
  <si>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</si>
  <si>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</si>
  <si>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</si>
  <si>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Mervan Çelik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</si>
  <si>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</si>
  <si>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</si>
  <si>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</si>
  <si>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</si>
  <si>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</si>
  <si>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</si>
  <si>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</si>
  <si>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Ismaila Cheick Coulibaly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</si>
  <si>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</si>
  <si>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</si>
  <si>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</si>
  <si>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Chisomnazu Chika Chidi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</si>
  <si>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</si>
  <si>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</si>
  <si>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</si>
  <si>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Edward Chilufya</t>
    </r>
  </si>
  <si>
    <r>
      <rPr>
        <rFont val="Verdana, sans-serif"/>
        <color rgb="FF1155CC"/>
        <sz val="8.0"/>
        <u/>
      </rPr>
      <t>zm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</si>
  <si>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</si>
  <si>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</si>
  <si>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Christensen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</si>
  <si>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</si>
  <si>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</si>
  <si>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</si>
  <si>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</si>
  <si>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</si>
  <si>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</si>
  <si>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</si>
  <si>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Clemmensen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</si>
  <si>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</si>
  <si>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</si>
  <si>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</si>
  <si>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Collander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</si>
  <si>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</si>
  <si>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</si>
  <si>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</si>
  <si>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</si>
  <si>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</si>
  <si>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</si>
  <si>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</si>
  <si>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Derek Cornelius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</si>
  <si>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</si>
  <si>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</si>
  <si>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</si>
  <si>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Aly Coulibaly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</si>
  <si>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</si>
  <si>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</si>
  <si>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</si>
  <si>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</si>
  <si>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</si>
  <si>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</si>
  <si>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</si>
  <si>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</si>
  <si>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</si>
  <si>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</si>
  <si>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</si>
  <si>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</si>
  <si>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</si>
  <si>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</si>
  <si>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</si>
  <si>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Villiam Dahlström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</si>
  <si>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</si>
  <si>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</si>
  <si>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</si>
  <si>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</si>
  <si>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</si>
  <si>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</si>
  <si>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</si>
  <si>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Arvin Davoudi-Kia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</si>
  <si>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</si>
  <si>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</si>
  <si>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</si>
  <si>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Diabaté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</si>
  <si>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</si>
  <si>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</si>
  <si>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</si>
  <si>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</si>
  <si>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</si>
  <si>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</si>
  <si>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</si>
  <si>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Douglas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</si>
  <si>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</si>
  <si>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</si>
  <si>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</si>
  <si>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</si>
  <si>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</si>
  <si>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</si>
  <si>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</si>
  <si>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Dusi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</si>
  <si>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</si>
  <si>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</si>
  <si>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</si>
  <si>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Døhr Thychosen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</si>
  <si>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</si>
  <si>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</si>
  <si>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</si>
  <si>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Eid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</si>
  <si>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</si>
  <si>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</si>
  <si>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</si>
  <si>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</si>
  <si>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</si>
  <si>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</si>
  <si>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</si>
  <si>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Otega Ekperuoh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</si>
  <si>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</si>
  <si>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</si>
  <si>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</si>
  <si>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</si>
  <si>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</si>
  <si>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</si>
  <si>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</si>
  <si>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</si>
  <si>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Gent Elezaj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</si>
  <si>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</si>
  <si>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</si>
  <si>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</si>
  <si>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Viggo Elfstrom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</si>
  <si>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</si>
  <si>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</si>
  <si>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Engvall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</si>
  <si>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</si>
  <si>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</si>
  <si>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</si>
  <si>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Johannes Engvall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</si>
  <si>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</si>
  <si>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</si>
  <si>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</si>
  <si>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</si>
  <si>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</si>
  <si>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</si>
  <si>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</si>
  <si>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</si>
  <si>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</si>
  <si>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</si>
  <si>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</si>
  <si>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</si>
  <si>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</si>
  <si>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</si>
  <si>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</si>
  <si>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</si>
  <si>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</si>
  <si>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</si>
  <si>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</si>
  <si>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Erlandsson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</si>
  <si>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</si>
  <si>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</si>
  <si>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</si>
  <si>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</si>
  <si>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</si>
  <si>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</si>
  <si>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</si>
  <si>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Gísli Eyjólfsson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</si>
  <si>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</si>
  <si>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</si>
  <si>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</si>
  <si>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Fagerström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</si>
  <si>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</si>
  <si>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</si>
  <si>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</si>
  <si>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</si>
  <si>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</si>
  <si>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</si>
  <si>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</si>
  <si>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Fannar Baldursson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</si>
  <si>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</si>
  <si>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</si>
  <si>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</si>
  <si>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Lamine Fanne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</si>
  <si>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</si>
  <si>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</si>
  <si>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</si>
  <si>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Ahmad Faqa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</si>
  <si>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</si>
  <si>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</si>
  <si>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</si>
  <si>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</si>
  <si>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</si>
  <si>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</si>
  <si>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</si>
  <si>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</si>
  <si>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</si>
  <si>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</si>
  <si>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</si>
  <si>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Frej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</si>
  <si>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</si>
  <si>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</si>
  <si>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</si>
  <si>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Hlynur Freyr Karlsson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</si>
  <si>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</si>
  <si>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</si>
  <si>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</si>
  <si>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</si>
  <si>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</si>
  <si>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</si>
  <si>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</si>
  <si>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</si>
  <si>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</si>
  <si>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</si>
  <si>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</si>
  <si>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Richard Friday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</si>
  <si>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</si>
  <si>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</si>
  <si>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</si>
  <si>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Fritzson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</si>
  <si>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</si>
  <si>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</si>
  <si>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</si>
  <si>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Gashi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</si>
  <si>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</si>
  <si>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</si>
  <si>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</si>
  <si>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Gefvert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</si>
  <si>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</si>
  <si>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</si>
  <si>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</si>
  <si>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Gersbach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</si>
  <si>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</si>
  <si>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</si>
  <si>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</si>
  <si>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Gojani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</si>
  <si>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</si>
  <si>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</si>
  <si>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</si>
  <si>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Gono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</si>
  <si>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</si>
  <si>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</si>
  <si>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</si>
  <si>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</si>
  <si>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</si>
  <si>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</si>
  <si>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</si>
  <si>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</si>
  <si>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</si>
  <si>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</si>
  <si>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</si>
  <si>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</si>
  <si>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</si>
  <si>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</si>
  <si>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</si>
  <si>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</si>
  <si>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</si>
  <si>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</si>
  <si>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</si>
  <si>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Grozdanic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</si>
  <si>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</si>
  <si>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</si>
  <si>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</si>
  <si>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Daníel Gudjohnsen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</si>
  <si>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</si>
  <si>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</si>
  <si>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</si>
  <si>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</si>
  <si>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</si>
  <si>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</si>
  <si>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</si>
  <si>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Gül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</si>
  <si>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</si>
  <si>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</si>
  <si>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</si>
  <si>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Gulliksen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</si>
  <si>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</si>
  <si>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</si>
  <si>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</si>
  <si>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Gunnarsson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</si>
  <si>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</si>
  <si>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</si>
  <si>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</si>
  <si>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</si>
  <si>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</si>
  <si>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</si>
  <si>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</si>
  <si>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</si>
  <si>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</si>
  <si>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</si>
  <si>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</si>
  <si>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</si>
  <si>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</si>
  <si>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</si>
  <si>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</si>
  <si>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</si>
  <si>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</si>
  <si>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</si>
  <si>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</si>
  <si>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Kingsley Gyamfi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</si>
  <si>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</si>
  <si>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</si>
  <si>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</si>
  <si>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Santeri Haarala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</si>
  <si>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</si>
  <si>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</si>
  <si>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</si>
  <si>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</si>
  <si>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</si>
  <si>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</si>
  <si>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</si>
  <si>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</si>
  <si>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</si>
  <si>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</si>
  <si>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</si>
  <si>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</si>
  <si>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</si>
  <si>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</si>
  <si>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</si>
  <si>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Hall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</si>
  <si>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</si>
  <si>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</si>
  <si>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</si>
  <si>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Hallberg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</si>
  <si>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</si>
  <si>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</si>
  <si>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</si>
  <si>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</si>
  <si>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</si>
  <si>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</si>
  <si>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</si>
  <si>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Hammer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</si>
  <si>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</si>
  <si>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</si>
  <si>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</si>
  <si>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Vito Hammershøy-Mistrati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</si>
  <si>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</si>
  <si>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</si>
  <si>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</si>
  <si>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</si>
  <si>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</si>
  <si>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</si>
  <si>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</si>
  <si>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Hartzell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</si>
  <si>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</si>
  <si>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</si>
  <si>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</si>
  <si>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Emin Hasic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</si>
  <si>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</si>
  <si>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</si>
  <si>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</si>
  <si>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Hausner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</si>
  <si>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</si>
  <si>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</si>
  <si>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</si>
  <si>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</si>
  <si>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</si>
  <si>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</si>
  <si>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</si>
  <si>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</si>
  <si>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</si>
  <si>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</si>
  <si>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</si>
  <si>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Torbjørn Heggem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</si>
  <si>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</si>
  <si>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</si>
  <si>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</si>
  <si>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</si>
  <si>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</si>
  <si>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</si>
  <si>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</si>
  <si>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</si>
  <si>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</si>
  <si>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</si>
  <si>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</si>
  <si>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</si>
  <si>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</si>
  <si>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</si>
  <si>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</si>
  <si>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Hjalmar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</si>
  <si>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</si>
  <si>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</si>
  <si>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</si>
  <si>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</si>
  <si>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</si>
  <si>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</si>
  <si>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</si>
  <si>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</si>
  <si>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</si>
  <si>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</si>
  <si>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</si>
  <si>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</si>
  <si>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</si>
  <si>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</si>
  <si>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</si>
  <si>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Holten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</si>
  <si>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</si>
  <si>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</si>
  <si>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</si>
  <si>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Höög-Jansson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</si>
  <si>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</si>
  <si>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</si>
  <si>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</si>
  <si>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</si>
  <si>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</si>
  <si>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</si>
  <si>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</si>
  <si>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Srđan Hrstić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</si>
  <si>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</si>
  <si>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</si>
  <si>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</si>
  <si>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</si>
  <si>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</si>
  <si>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</si>
  <si>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</si>
  <si>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Deniz Hummet</t>
    </r>
  </si>
  <si>
    <r>
      <rPr>
        <rFont val="Verdana, sans-serif"/>
        <color rgb="FF1155CC"/>
        <sz val="8.0"/>
        <u/>
      </rPr>
      <t>tr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</si>
  <si>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</si>
  <si>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</si>
  <si>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Harun Ibrahim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</si>
  <si>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</si>
  <si>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</si>
  <si>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</si>
  <si>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Birnir Ingason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</si>
  <si>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</si>
  <si>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</si>
  <si>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</si>
  <si>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</si>
  <si>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</si>
  <si>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</si>
  <si>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</si>
  <si>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Zeidane Inoussa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</si>
  <si>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</si>
  <si>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</si>
  <si>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</si>
  <si>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Inzoudine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</si>
  <si>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</si>
  <si>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</si>
  <si>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</si>
  <si>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</si>
  <si>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</si>
  <si>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</si>
  <si>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</si>
  <si>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Daleho Irandust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</si>
  <si>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</si>
  <si>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</si>
  <si>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</si>
  <si>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Isa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</si>
  <si>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</si>
  <si>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</si>
  <si>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</si>
  <si>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</si>
  <si>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</si>
  <si>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</si>
  <si>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</si>
  <si>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Isherwood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</si>
  <si>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</si>
  <si>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</si>
  <si>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</si>
  <si>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Islamović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</si>
  <si>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</si>
  <si>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</si>
  <si>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</si>
  <si>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</si>
  <si>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</si>
  <si>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</si>
  <si>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</si>
  <si>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Jakob Thomasen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</si>
  <si>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</si>
  <si>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</si>
  <si>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</si>
  <si>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Jakobsen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</si>
  <si>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</si>
  <si>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</si>
  <si>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</si>
  <si>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Budimir Janošević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</si>
  <si>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</si>
  <si>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</si>
  <si>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</si>
  <si>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</si>
  <si>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</si>
  <si>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</si>
  <si>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</si>
  <si>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</si>
  <si>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</si>
  <si>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</si>
  <si>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</si>
  <si>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</si>
  <si>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</si>
  <si>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</si>
  <si>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</si>
  <si>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Rony Jansson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</si>
  <si>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</si>
  <si>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</si>
  <si>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</si>
  <si>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Sigge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</si>
  <si>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</si>
  <si>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</si>
  <si>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</si>
  <si>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Järeteg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</si>
  <si>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</si>
  <si>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</si>
  <si>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</si>
  <si>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Camil Jebara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</si>
  <si>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</si>
  <si>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</si>
  <si>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</si>
  <si>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Camil Jebara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</si>
  <si>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</si>
  <si>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</si>
  <si>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</si>
  <si>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Malcolm Jeng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</si>
  <si>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</si>
  <si>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</si>
  <si>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</si>
  <si>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</si>
  <si>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</si>
  <si>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</si>
  <si>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</si>
  <si>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</si>
  <si>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</si>
  <si>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</si>
  <si>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</si>
  <si>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</si>
  <si>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</si>
  <si>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</si>
  <si>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</si>
  <si>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</si>
  <si>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</si>
  <si>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</si>
  <si>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</si>
  <si>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</si>
  <si>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</si>
  <si>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</si>
  <si>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</si>
  <si>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Calle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</si>
  <si>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</si>
  <si>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</si>
  <si>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</si>
  <si>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</si>
  <si>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</si>
  <si>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</si>
  <si>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</si>
  <si>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</si>
  <si>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</si>
  <si>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</si>
  <si>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</si>
  <si>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</si>
  <si>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</si>
  <si>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</si>
  <si>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</si>
  <si>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</si>
  <si>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</si>
  <si>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</si>
  <si>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</si>
  <si>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</si>
  <si>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</si>
  <si>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</si>
  <si>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</si>
  <si>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</si>
  <si>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</si>
  <si>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</si>
  <si>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</si>
  <si>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</si>
  <si>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</si>
  <si>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</si>
  <si>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</si>
  <si>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Johnson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</si>
  <si>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</si>
  <si>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</si>
  <si>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</si>
  <si>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</si>
  <si>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</si>
  <si>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</si>
  <si>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</si>
  <si>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</si>
  <si>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</si>
  <si>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</si>
  <si>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Jordan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</si>
  <si>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</si>
  <si>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</si>
  <si>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</si>
  <si>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Juhlin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</si>
  <si>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</si>
  <si>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</si>
  <si>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</si>
  <si>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Jørgensen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</si>
  <si>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</si>
  <si>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</si>
  <si>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</si>
  <si>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Kaastrup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</si>
  <si>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</si>
  <si>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</si>
  <si>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</si>
  <si>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Kåhed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</si>
  <si>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</si>
  <si>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</si>
  <si>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</si>
  <si>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</si>
  <si>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</si>
  <si>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</si>
  <si>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</si>
  <si>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Yahya Kalley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</si>
  <si>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</si>
  <si>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</si>
  <si>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</si>
  <si>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Johnbosco Kalu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</si>
  <si>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</si>
  <si>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</si>
  <si>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</si>
  <si>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Jardell Kanga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</si>
  <si>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</si>
  <si>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</si>
  <si>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</si>
  <si>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</si>
  <si>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</si>
  <si>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</si>
  <si>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</si>
  <si>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</si>
  <si>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</si>
  <si>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</si>
  <si>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</si>
  <si>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</si>
  <si>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</si>
  <si>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</si>
  <si>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</si>
  <si>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Karlstrom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</si>
  <si>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</si>
  <si>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</si>
  <si>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</si>
  <si>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Kenndal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</si>
  <si>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</si>
  <si>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</si>
  <si>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</si>
  <si>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Khazeni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</si>
  <si>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</si>
  <si>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</si>
  <si>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</si>
  <si>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</si>
  <si>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</si>
  <si>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</si>
  <si>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</si>
  <si>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Kiilerich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</si>
  <si>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</si>
  <si>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</si>
  <si>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</si>
  <si>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</si>
  <si>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</si>
  <si>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</si>
  <si>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</si>
  <si>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Kjær Kruse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</si>
  <si>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</si>
  <si>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</si>
  <si>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</si>
  <si>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Melvin Koliqi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</si>
  <si>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</si>
  <si>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</si>
  <si>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</si>
  <si>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Keita Kosugi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</si>
  <si>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</si>
  <si>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</si>
  <si>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</si>
  <si>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Kotto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</si>
  <si>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</si>
  <si>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</si>
  <si>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</si>
  <si>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Kralj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</si>
  <si>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</si>
  <si>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</si>
  <si>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</si>
  <si>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Krantz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</si>
  <si>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</si>
  <si>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</si>
  <si>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</si>
  <si>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Krantz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</si>
  <si>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</si>
  <si>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</si>
  <si>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</si>
  <si>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</si>
  <si>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</si>
  <si>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</si>
  <si>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</si>
  <si>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</si>
  <si>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</si>
  <si>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</si>
  <si>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</si>
  <si>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Mergim Krasniqi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</si>
  <si>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</si>
  <si>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</si>
  <si>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</si>
  <si>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Kristiansen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</si>
  <si>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</si>
  <si>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</si>
  <si>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</si>
  <si>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Denis Krivosic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</si>
  <si>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</si>
  <si>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</si>
  <si>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Antonio Kujundžić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</si>
  <si>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</si>
  <si>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</si>
  <si>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</si>
  <si>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Bleon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</si>
  <si>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</si>
  <si>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</si>
  <si>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</si>
  <si>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</si>
  <si>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</si>
  <si>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</si>
  <si>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</si>
  <si>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Manasse Kusu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</si>
  <si>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</si>
  <si>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</si>
  <si>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</si>
  <si>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Lahdo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</si>
  <si>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</si>
  <si>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</si>
  <si>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</si>
  <si>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</si>
  <si>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</si>
  <si>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</si>
  <si>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</si>
  <si>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</si>
  <si>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</si>
  <si>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</si>
  <si>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</si>
  <si>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</si>
  <si>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</si>
  <si>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</si>
  <si>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</si>
  <si>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</si>
  <si>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</si>
  <si>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</si>
  <si>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</si>
  <si>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</si>
  <si>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</si>
  <si>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</si>
  <si>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</si>
  <si>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Leandersson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</si>
  <si>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</si>
  <si>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</si>
  <si>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</si>
  <si>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</si>
  <si>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</si>
  <si>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</si>
  <si>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</si>
  <si>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</si>
  <si>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</si>
  <si>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</si>
  <si>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</si>
  <si>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Linday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</si>
  <si>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</si>
  <si>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</si>
  <si>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</si>
  <si>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</si>
  <si>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</si>
  <si>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</si>
  <si>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</si>
  <si>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</si>
  <si>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</si>
  <si>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</si>
  <si>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</si>
  <si>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</si>
  <si>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</si>
  <si>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</si>
  <si>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</si>
  <si>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Vilmer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</si>
  <si>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</si>
  <si>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</si>
  <si>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</si>
  <si>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Linde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</si>
  <si>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</si>
  <si>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</si>
  <si>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</si>
  <si>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Lindelöv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</si>
  <si>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</si>
  <si>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</si>
  <si>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</si>
  <si>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Linderoth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</si>
  <si>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</si>
  <si>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</si>
  <si>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190.0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</si>
  <si>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</si>
  <si>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Ljungberg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</si>
  <si>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</si>
  <si>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</si>
  <si>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</si>
  <si>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 Llinares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</si>
  <si>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</si>
  <si>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</si>
  <si>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</si>
  <si>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Marius Lode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</si>
  <si>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</si>
  <si>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</si>
  <si>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</si>
  <si>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Alfons Lohake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</si>
  <si>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</si>
  <si>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</si>
  <si>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</si>
  <si>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</si>
  <si>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</si>
  <si>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</si>
  <si>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</si>
  <si>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 Loukili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</si>
  <si>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</si>
  <si>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</si>
  <si>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</si>
  <si>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Valgeir Lunddal Friðriksson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</si>
  <si>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</si>
  <si>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</si>
  <si>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</si>
  <si>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</si>
  <si>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</si>
  <si>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</si>
  <si>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</si>
  <si>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</si>
  <si>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</si>
  <si>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</si>
  <si>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</si>
  <si>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</si>
  <si>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</si>
  <si>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</si>
  <si>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</si>
  <si>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Ramon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</si>
  <si>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</si>
  <si>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</si>
  <si>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</si>
  <si>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</si>
  <si>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</si>
  <si>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</si>
  <si>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</si>
  <si>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</si>
  <si>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</si>
  <si>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</si>
  <si>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</si>
  <si>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Niilo Mäenpää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</si>
  <si>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</si>
  <si>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</si>
  <si>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</si>
  <si>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Abdussalam Magashy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</si>
  <si>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</si>
  <si>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</si>
  <si>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</si>
  <si>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</si>
  <si>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</si>
  <si>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</si>
  <si>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</si>
  <si>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</si>
  <si>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</si>
  <si>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</si>
  <si>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</si>
  <si>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Elison Makolli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</si>
  <si>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</si>
  <si>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</si>
  <si>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</si>
  <si>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Malmström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</si>
  <si>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</si>
  <si>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</si>
  <si>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</si>
  <si>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Saba Mamatsashvili</t>
    </r>
  </si>
  <si>
    <r>
      <rPr>
        <rFont val="Verdana, sans-serif"/>
        <color rgb="FF1155CC"/>
        <sz val="8.0"/>
        <u/>
      </rPr>
      <t>ge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</si>
  <si>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</si>
  <si>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</si>
  <si>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Manneh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</si>
  <si>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</si>
  <si>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</si>
  <si>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</si>
  <si>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Marques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</si>
  <si>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</si>
  <si>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</si>
  <si>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</si>
  <si>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Martin</t>
    </r>
  </si>
  <si>
    <r>
      <rPr>
        <rFont val="Verdana, sans-serif"/>
        <color rgb="FF1155CC"/>
        <sz val="8.0"/>
        <u/>
      </rPr>
      <t>de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GER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</si>
  <si>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</si>
  <si>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</si>
  <si>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Serge-Junior Martinsson Ngouali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</si>
  <si>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</si>
  <si>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</si>
  <si>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</si>
  <si>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Mikhail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</si>
  <si>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</si>
  <si>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</si>
  <si>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</si>
  <si>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Milleskog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</si>
  <si>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</si>
  <si>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</si>
  <si>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</si>
  <si>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Milošević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</si>
  <si>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</si>
  <si>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</si>
  <si>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</si>
  <si>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Milovanovic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</si>
  <si>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</si>
  <si>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</si>
  <si>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</si>
  <si>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</si>
  <si>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</si>
  <si>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</si>
  <si>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</si>
  <si>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</si>
  <si>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</si>
  <si>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</si>
  <si>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</si>
  <si>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Moberg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</si>
  <si>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</si>
  <si>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</si>
  <si>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</si>
  <si>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Rui Modesto</t>
    </r>
  </si>
  <si>
    <r>
      <rPr>
        <rFont val="Verdana, sans-serif"/>
        <color rgb="FF1155CC"/>
        <sz val="8.0"/>
        <u/>
      </rPr>
      <t>ao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ANG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</si>
  <si>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</si>
  <si>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</si>
  <si>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Naeem Mohammed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</si>
  <si>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</si>
  <si>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</si>
  <si>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</si>
  <si>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Moisander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</si>
  <si>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</si>
  <si>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</si>
  <si>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</si>
  <si>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Arash Motaragheb Jafarpour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</si>
  <si>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</si>
  <si>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</si>
  <si>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</si>
  <si>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Fabian Mrozek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</si>
  <si>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</si>
  <si>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</si>
  <si>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</si>
  <si>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Arbnor Mucolli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</si>
  <si>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</si>
  <si>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</si>
  <si>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</si>
  <si>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Murbeck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</si>
  <si>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</si>
  <si>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</si>
  <si>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</si>
  <si>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</si>
  <si>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</si>
  <si>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</si>
  <si>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</si>
  <si>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Näsström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</si>
  <si>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</si>
  <si>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</si>
  <si>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</si>
  <si>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Moutaz Neffati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</si>
  <si>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</si>
  <si>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</si>
  <si>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</si>
  <si>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Nehrman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</si>
  <si>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</si>
  <si>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</si>
  <si>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Kimmen Nennesson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</si>
  <si>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</si>
  <si>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</si>
  <si>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</si>
  <si>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Tokmac Nguen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</si>
  <si>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</si>
  <si>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</si>
  <si>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</si>
  <si>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Nielsen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</si>
  <si>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</si>
  <si>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</si>
  <si>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</si>
  <si>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Jimi Dos Reis Nikko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</si>
  <si>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</si>
  <si>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</si>
  <si>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</si>
  <si>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Malkolm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</si>
  <si>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</si>
  <si>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</si>
  <si>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</si>
  <si>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Ville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</si>
  <si>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</si>
  <si>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</si>
  <si>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</si>
  <si>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Severin Nioule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</si>
  <si>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</si>
  <si>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</si>
  <si>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</si>
  <si>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Vinícius Nogueira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</si>
  <si>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</si>
  <si>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</si>
  <si>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</si>
  <si>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</si>
  <si>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</si>
  <si>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</si>
  <si>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</si>
  <si>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Norén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</si>
  <si>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</si>
  <si>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</si>
  <si>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</si>
  <si>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Norlin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</si>
  <si>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</si>
  <si>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</si>
  <si>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</si>
  <si>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Frédéric Nsabiyumva</t>
    </r>
  </si>
  <si>
    <r>
      <rPr>
        <rFont val="Verdana, sans-serif"/>
        <color rgb="FF1155CC"/>
        <sz val="8.0"/>
        <u/>
      </rPr>
      <t>bi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BDI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</si>
  <si>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</si>
  <si>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</si>
  <si>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Nwadike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</si>
  <si>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</si>
  <si>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</si>
  <si>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</si>
  <si>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Nwankwo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</si>
  <si>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</si>
  <si>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</si>
  <si>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</si>
  <si>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</si>
  <si>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</si>
  <si>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</si>
  <si>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</si>
  <si>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Wilmer Odefalk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</si>
  <si>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</si>
  <si>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</si>
  <si>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</si>
  <si>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Henry Offia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</si>
  <si>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</si>
  <si>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</si>
  <si>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</si>
  <si>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 Ofosu-Ayeh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</si>
  <si>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</si>
  <si>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</si>
  <si>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</si>
  <si>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</si>
  <si>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</si>
  <si>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</si>
  <si>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</si>
  <si>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Öhman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</si>
  <si>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</si>
  <si>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</si>
  <si>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</si>
  <si>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Olden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</si>
  <si>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</si>
  <si>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</si>
  <si>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</si>
  <si>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</si>
  <si>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</si>
  <si>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</si>
  <si>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</si>
  <si>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</si>
  <si>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</si>
  <si>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</si>
  <si>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</si>
  <si>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</si>
  <si>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</si>
  <si>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</si>
  <si>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</si>
  <si>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Elton Opancar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</si>
  <si>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</si>
  <si>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</si>
  <si>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</si>
  <si>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</si>
  <si>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</si>
  <si>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</si>
  <si>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</si>
  <si>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</si>
  <si>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</si>
  <si>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</si>
  <si>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</si>
  <si>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Östman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</si>
  <si>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</si>
  <si>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</si>
  <si>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</si>
  <si>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 Osuji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</si>
  <si>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</si>
  <si>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</si>
  <si>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</si>
  <si>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</si>
  <si>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</si>
  <si>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</si>
  <si>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</si>
  <si>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</si>
  <si>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</si>
  <si>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</si>
  <si>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</si>
  <si>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Paul Dembe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</si>
  <si>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</si>
  <si>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</si>
  <si>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</si>
  <si>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Sergio Peña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</si>
  <si>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</si>
  <si>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</si>
  <si>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</si>
  <si>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Persson Åhstedt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</si>
  <si>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</si>
  <si>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</si>
  <si>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</si>
  <si>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</si>
  <si>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</si>
  <si>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</si>
  <si>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</si>
  <si>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</si>
  <si>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</si>
  <si>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</si>
  <si>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</si>
  <si>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</si>
  <si>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</si>
  <si>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</si>
  <si>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</si>
  <si>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</si>
  <si>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</si>
  <si>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</si>
  <si>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</si>
  <si>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</si>
  <si>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</si>
  <si>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</si>
  <si>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</si>
  <si>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Paya Pichkah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</si>
  <si>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</si>
  <si>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</si>
  <si>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</si>
  <si>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</si>
  <si>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</si>
  <si>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</si>
  <si>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</si>
  <si>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Ioannis Pittas</t>
    </r>
  </si>
  <si>
    <r>
      <rPr>
        <rFont val="Verdana, sans-serif"/>
        <color rgb="FF1155CC"/>
        <sz val="8.0"/>
        <u/>
      </rPr>
      <t>cy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CYP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</si>
  <si>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</si>
  <si>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</si>
  <si>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Prica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</si>
  <si>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</si>
  <si>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</si>
  <si>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</si>
  <si>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Priske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</si>
  <si>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</si>
  <si>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</si>
  <si>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</si>
  <si>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</si>
  <si>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</si>
  <si>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</si>
  <si>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</si>
  <si>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Pyndt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</si>
  <si>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</si>
  <si>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</si>
  <si>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</si>
  <si>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Qasem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</si>
  <si>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</si>
  <si>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</si>
  <si>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</si>
  <si>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Musa Qurbanlı</t>
    </r>
  </si>
  <si>
    <r>
      <rPr>
        <rFont val="Verdana, sans-serif"/>
        <color rgb="FF1155CC"/>
        <sz val="8.0"/>
        <u/>
      </rPr>
      <t>az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AZE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</si>
  <si>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</si>
  <si>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</si>
  <si>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Radetinac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</si>
  <si>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</si>
  <si>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</si>
  <si>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</si>
  <si>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</si>
  <si>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</si>
  <si>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</si>
  <si>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</si>
  <si>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</si>
  <si>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</si>
  <si>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</si>
  <si>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</si>
  <si>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</si>
  <si>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</si>
  <si>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</si>
  <si>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</si>
  <si>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</si>
  <si>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</si>
  <si>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</si>
  <si>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</si>
  <si>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Zakarias Råvik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</si>
  <si>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</si>
  <si>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</si>
  <si>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</si>
  <si>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Reyes Rigö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</si>
  <si>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</si>
  <si>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</si>
  <si>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</si>
  <si>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Pedro Ribeiro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</si>
  <si>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</si>
  <si>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</si>
  <si>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</si>
  <si>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</si>
  <si>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</si>
  <si>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</si>
  <si>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</si>
  <si>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Richtner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</si>
  <si>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</si>
  <si>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</si>
  <si>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</si>
  <si>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Søren Rieks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</si>
  <si>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</si>
  <si>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</si>
  <si>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</si>
  <si>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</si>
  <si>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</si>
  <si>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</si>
  <si>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</si>
  <si>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</si>
  <si>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</si>
  <si>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</si>
  <si>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</si>
  <si>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</si>
  <si>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</si>
  <si>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</si>
  <si>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</si>
  <si>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Romário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</si>
  <si>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</si>
  <si>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</si>
  <si>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</si>
  <si>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</si>
  <si>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</si>
  <si>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</si>
  <si>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</si>
  <si>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Alvar Rosander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</si>
  <si>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</si>
  <si>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</si>
  <si>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</si>
  <si>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</si>
  <si>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</si>
  <si>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</si>
  <si>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</si>
  <si>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</si>
  <si>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</si>
  <si>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</si>
  <si>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</si>
  <si>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</si>
  <si>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</si>
  <si>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</si>
  <si>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</si>
  <si>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Mohammed Rufaai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</si>
  <si>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</si>
  <si>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</si>
  <si>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</si>
  <si>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</si>
  <si>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</si>
  <si>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</si>
  <si>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</si>
  <si>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Nicklas Røjkjær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</si>
  <si>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</si>
  <si>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</si>
  <si>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</si>
  <si>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Besard Sabovic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</si>
  <si>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</si>
  <si>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</si>
  <si>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</si>
  <si>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</si>
  <si>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</si>
  <si>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</si>
  <si>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</si>
  <si>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</si>
  <si>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</si>
  <si>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</si>
  <si>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</si>
  <si>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Abundance Salaou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</si>
  <si>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</si>
  <si>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</si>
  <si>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</si>
  <si>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Yousef Salech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</si>
  <si>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</si>
  <si>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</si>
  <si>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</si>
  <si>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Salétros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</si>
  <si>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</si>
  <si>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</si>
  <si>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</si>
  <si>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Salihovic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</si>
  <si>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</si>
  <si>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</si>
  <si>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</si>
  <si>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Mohammad Al Salkhadi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</si>
  <si>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</si>
  <si>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</si>
  <si>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</si>
  <si>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Salomonsson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</si>
  <si>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</si>
  <si>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</si>
  <si>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</si>
  <si>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</si>
  <si>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</si>
  <si>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</si>
  <si>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</si>
  <si>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Ture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</si>
  <si>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</si>
  <si>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</si>
  <si>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</si>
  <si>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Santos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</si>
  <si>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</si>
  <si>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</si>
  <si>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</si>
  <si>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Youssoupha Sanyang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</si>
  <si>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</si>
  <si>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</si>
  <si>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</si>
  <si>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</si>
  <si>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</si>
  <si>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</si>
  <si>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</si>
  <si>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Selin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</si>
  <si>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</si>
  <si>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</si>
  <si>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</si>
  <si>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Sernelius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</si>
  <si>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</si>
  <si>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</si>
  <si>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</si>
  <si>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Kamilcan Sever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</si>
  <si>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</si>
  <si>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</si>
  <si>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</si>
  <si>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</si>
  <si>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</si>
  <si>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</si>
  <si>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Collins Sichenje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</si>
  <si>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</si>
  <si>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</si>
  <si>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</si>
  <si>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Sidklev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</si>
  <si>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</si>
  <si>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</si>
  <si>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</si>
  <si>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</si>
  <si>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</si>
  <si>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</si>
  <si>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</si>
  <si>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Sjögrell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</si>
  <si>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</si>
  <si>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</si>
  <si>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</si>
  <si>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Sjöholm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</si>
  <si>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</si>
  <si>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</si>
  <si>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</si>
  <si>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Sjöstedt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</si>
  <si>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</si>
  <si>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</si>
  <si>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</si>
  <si>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Laurs Skjellerup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</si>
  <si>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</si>
  <si>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</si>
  <si>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</si>
  <si>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</si>
  <si>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</si>
  <si>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</si>
  <si>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</si>
  <si>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Skogmar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</si>
  <si>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</si>
  <si>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</si>
  <si>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</si>
  <si>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Skrabb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</si>
  <si>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</si>
  <si>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</si>
  <si>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</si>
  <si>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Floris Smand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</si>
  <si>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</si>
  <si>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</si>
  <si>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</si>
  <si>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Eskil Smidesang Edh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</si>
  <si>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</si>
  <si>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</si>
  <si>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</si>
  <si>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</si>
  <si>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</si>
  <si>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</si>
  <si>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</si>
  <si>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</si>
  <si>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</si>
  <si>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</si>
  <si>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</si>
  <si>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Söderström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</si>
  <si>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</si>
  <si>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</si>
  <si>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</si>
  <si>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Amadeus Sögaard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</si>
  <si>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</si>
  <si>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</si>
  <si>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</si>
  <si>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Ssewankambo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</si>
  <si>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</si>
  <si>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</si>
  <si>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</si>
  <si>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</si>
  <si>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</si>
  <si>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</si>
  <si>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</si>
  <si>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</si>
  <si>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</si>
  <si>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</si>
  <si>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</si>
  <si>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</si>
  <si>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</si>
  <si>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</si>
  <si>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</si>
  <si>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Steinwender</t>
    </r>
  </si>
  <si>
    <r>
      <rPr>
        <rFont val="Verdana, sans-serif"/>
        <color rgb="FF1155CC"/>
        <sz val="8.0"/>
        <u/>
      </rPr>
      <t>at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AUT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</si>
  <si>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</si>
  <si>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</si>
  <si>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</si>
  <si>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</si>
  <si>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</si>
  <si>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</si>
  <si>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</si>
  <si>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</si>
  <si>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</si>
  <si>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</si>
  <si>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Aaron Stoch Rydell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</si>
  <si>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</si>
  <si>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</si>
  <si>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70.0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</si>
  <si>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</si>
  <si>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</si>
  <si>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</si>
  <si>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</si>
  <si>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</si>
  <si>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</si>
  <si>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</si>
  <si>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</si>
  <si>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</si>
  <si>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</si>
  <si>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</si>
  <si>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</si>
  <si>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</si>
  <si>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Svedberg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</si>
  <si>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</si>
  <si>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</si>
  <si>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</si>
  <si>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</si>
  <si>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</si>
  <si>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</si>
  <si>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</si>
  <si>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</si>
  <si>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</si>
  <si>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</si>
  <si>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150.0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</si>
  <si>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</si>
  <si>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</si>
  <si>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</si>
  <si>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</si>
  <si>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</si>
  <si>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</si>
  <si>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</si>
  <si>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</si>
  <si>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</si>
  <si>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Liam Tahwildaran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</si>
  <si>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</si>
  <si>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</si>
  <si>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</si>
  <si>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Tånnander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</si>
  <si>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</si>
  <si>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</si>
  <si>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</si>
  <si>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Divine Teah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</si>
  <si>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</si>
  <si>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</si>
  <si>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</si>
  <si>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Tesfaldet Tekie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</si>
  <si>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</si>
  <si>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</si>
  <si>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</si>
  <si>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</si>
  <si>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</si>
  <si>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</si>
  <si>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</si>
  <si>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Therkildsen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</si>
  <si>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</si>
  <si>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</si>
  <si>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</si>
  <si>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</si>
  <si>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</si>
  <si>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</si>
  <si>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</si>
  <si>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Thoreson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</si>
  <si>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</si>
  <si>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</si>
  <si>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</si>
  <si>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Tidstrand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</si>
  <si>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</si>
  <si>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</si>
  <si>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</si>
  <si>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</si>
  <si>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</si>
  <si>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</si>
  <si>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</si>
  <si>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</si>
  <si>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Tinnerholm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</si>
  <si>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</si>
  <si>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</si>
  <si>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</si>
  <si>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Tolf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</si>
  <si>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</si>
  <si>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</si>
  <si>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65.0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</si>
  <si>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</si>
  <si>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</si>
  <si>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</si>
  <si>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</si>
  <si>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</si>
  <si>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Bazoumana Touré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</si>
  <si>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</si>
  <si>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</si>
  <si>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</si>
  <si>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Trenskow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</si>
  <si>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</si>
  <si>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</si>
  <si>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</si>
  <si>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Trondsen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</si>
  <si>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</si>
  <si>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</si>
  <si>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</si>
  <si>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Trpchevski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</si>
  <si>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</si>
  <si>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</si>
  <si>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</si>
  <si>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</si>
  <si>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</si>
  <si>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</si>
  <si>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</si>
  <si>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</si>
  <si>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</si>
  <si>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</si>
  <si>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</si>
  <si>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</si>
  <si>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</si>
  <si>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</si>
  <si>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</si>
  <si>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Wilson Uhrström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</si>
  <si>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</si>
  <si>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</si>
  <si>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</si>
  <si>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</si>
  <si>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</si>
  <si>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</si>
  <si>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</si>
  <si>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Uppenberg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</si>
  <si>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</si>
  <si>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</si>
  <si>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</si>
  <si>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</si>
  <si>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</si>
  <si>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</si>
  <si>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</si>
  <si>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Onni Valakari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</si>
  <si>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</si>
  <si>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</si>
  <si>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</si>
  <si>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Vasic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</si>
  <si>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</si>
  <si>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</si>
  <si>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</si>
  <si>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Stefano Vecchia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</si>
  <si>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</si>
  <si>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</si>
  <si>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</si>
  <si>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Vetkal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</si>
  <si>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</si>
  <si>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</si>
  <si>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</si>
  <si>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</si>
  <si>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</si>
  <si>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</si>
  <si>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</si>
  <si>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</si>
  <si>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</si>
  <si>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</si>
  <si>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</si>
  <si>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Wahl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</si>
  <si>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</si>
  <si>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</si>
  <si>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</si>
  <si>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</si>
  <si>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</si>
  <si>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</si>
  <si>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</si>
  <si>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Walta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</si>
  <si>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</si>
  <si>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</si>
  <si>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</si>
  <si>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</si>
  <si>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</si>
  <si>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</si>
  <si>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</si>
  <si>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Warneryd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</si>
  <si>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</si>
  <si>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</si>
  <si>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</si>
  <si>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Watson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</si>
  <si>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</si>
  <si>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</si>
  <si>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</si>
  <si>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</si>
  <si>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</si>
  <si>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</si>
  <si>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</si>
  <si>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</si>
  <si>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</si>
  <si>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</si>
  <si>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</si>
  <si>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</si>
  <si>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</si>
  <si>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</si>
  <si>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</si>
  <si>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Wernersson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</si>
  <si>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</si>
  <si>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</si>
  <si>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</si>
  <si>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Westermark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</si>
  <si>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</si>
  <si>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</si>
  <si>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</si>
  <si>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</si>
  <si>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</si>
  <si>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</si>
  <si>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</si>
  <si>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</si>
  <si>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</si>
  <si>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</si>
  <si>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</si>
  <si>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</si>
  <si>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</si>
  <si>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</si>
  <si>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</si>
  <si>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Wikheim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</si>
  <si>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</si>
  <si>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</si>
  <si>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</si>
  <si>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</si>
  <si>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</si>
  <si>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</si>
  <si>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</si>
  <si>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</si>
  <si>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</si>
  <si>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</si>
  <si>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</si>
  <si>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Stanley Wilson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</si>
  <si>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</si>
  <si>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</si>
  <si>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</si>
  <si>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</si>
  <si>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</si>
  <si>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</si>
  <si>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</si>
  <si>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</si>
  <si>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</si>
  <si>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</si>
  <si>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</si>
  <si>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Malick Yalcouye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</si>
  <si>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</si>
  <si>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</si>
  <si>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</si>
  <si>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</si>
  <si>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</si>
  <si>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</si>
  <si>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</si>
  <si>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Terry Yegbe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</si>
  <si>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</si>
  <si>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</si>
  <si>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</si>
  <si>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Saku Ylätupa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</si>
  <si>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</si>
  <si>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</si>
  <si>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</si>
  <si>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Youssef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</si>
  <si>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</si>
  <si>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</si>
  <si>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</si>
  <si>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Zaher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</si>
  <si>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</si>
  <si>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</si>
  <si>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</si>
  <si>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Nils Zätterström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</si>
  <si>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</si>
  <si>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</si>
  <si>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</si>
  <si>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Zečević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</si>
  <si>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</si>
  <si>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</si>
  <si>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</si>
  <si>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</si>
  <si>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</si>
  <si>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</si>
  <si>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</si>
  <si>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Zemmale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</si>
  <si>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</si>
  <si>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</si>
  <si>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</si>
  <si>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</si>
  <si>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</si>
  <si>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</si>
  <si>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</si>
  <si>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</si>
  <si>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</si>
  <si>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</si>
  <si>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</si>
  <si>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Leonard Zuta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</si>
  <si>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</si>
  <si>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</si>
  <si>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</si>
  <si>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</si>
  <si>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</si>
  <si>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</si>
  <si>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</si>
  <si>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Đukanović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</si>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</sst>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.mm"/>
    <numFmt numFmtId="165" formatCode="[hh].mm.ss"/>
  </numFmts>
  <fonts count="13">
    <font>
      <sz val="10.0"/>
      <color rgb="FF000000"/>
      <name val="Arial"/>
      <scheme val="minor"/>
    </font>
    <font>
      <b/>
      <color rgb="FF990000"/>
      <name val="Verdana"/>
    </font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color rgb="FF008800"/>
      <name val="Verdana"/>
    </font>
    <font>
      <color rgb="FFCC0000"/>
      <name val="Verdana"/>
    </font>
    <font>
      <u/>
      <color rgb="FF0000FF"/>
      <name val="Verdana"/>
    </font>
    <font>
      <b/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0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2" fillId="2" fontId="1" numFmtId="0" xfId="0" applyAlignment="1" applyBorder="1" applyFont="1">
      <alignment horizontal="center" shrinkToFit="0" wrapText="0"/>
    </xf>
    <xf borderId="4" fillId="3" fontId="2" numFmtId="0" xfId="0" applyAlignment="1" applyBorder="1" applyFill="1" applyFont="1">
      <alignment horizontal="right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center" readingOrder="0" shrinkToFit="0" wrapText="0"/>
    </xf>
    <xf borderId="6" fillId="3" fontId="2" numFmtId="0" xfId="0" applyAlignment="1" applyBorder="1" applyFont="1">
      <alignment horizontal="right" readingOrder="0" shrinkToFit="0" wrapText="0"/>
    </xf>
    <xf borderId="5" fillId="3" fontId="2" numFmtId="0" xfId="0" applyAlignment="1" applyBorder="1" applyFont="1">
      <alignment horizontal="right" readingOrder="0" shrinkToFit="0" wrapText="0"/>
    </xf>
    <xf borderId="5" fillId="3" fontId="5" numFmtId="0" xfId="0" applyAlignment="1" applyBorder="1" applyFont="1">
      <alignment horizontal="right" readingOrder="0" shrinkToFit="0" wrapText="0"/>
    </xf>
    <xf borderId="6" fillId="3" fontId="2" numFmtId="164" xfId="0" applyAlignment="1" applyBorder="1" applyFont="1" applyNumberFormat="1">
      <alignment horizontal="right" readingOrder="0" shrinkToFit="0" wrapText="0"/>
    </xf>
    <xf borderId="5" fillId="3" fontId="6" numFmtId="0" xfId="0" applyAlignment="1" applyBorder="1" applyFont="1">
      <alignment horizontal="right" shrinkToFit="0" wrapText="0"/>
    </xf>
    <xf borderId="5" fillId="3" fontId="7" numFmtId="165" xfId="0" applyAlignment="1" applyBorder="1" applyFont="1" applyNumberFormat="1">
      <alignment horizontal="right" readingOrder="0" shrinkToFit="0" wrapText="0"/>
    </xf>
    <xf borderId="6" fillId="0" fontId="8" numFmtId="0" xfId="0" applyAlignment="1" applyBorder="1" applyFont="1">
      <alignment horizontal="left" readingOrder="0" shrinkToFit="0" wrapText="0"/>
    </xf>
    <xf borderId="5" fillId="3" fontId="7" numFmtId="0" xfId="0" applyAlignment="1" applyBorder="1" applyFont="1">
      <alignment horizontal="right" readingOrder="0" shrinkToFit="0" wrapText="0"/>
    </xf>
    <xf borderId="6" fillId="3" fontId="5" numFmtId="0" xfId="0" applyAlignment="1" applyBorder="1" applyFont="1">
      <alignment horizontal="right" readingOrder="0" shrinkToFit="0" wrapText="0"/>
    </xf>
    <xf borderId="5" fillId="3" fontId="5" numFmtId="0" xfId="0" applyAlignment="1" applyBorder="1" applyFont="1">
      <alignment horizontal="right" shrinkToFit="0" wrapText="0"/>
    </xf>
    <xf borderId="6" fillId="3" fontId="5" numFmtId="164" xfId="0" applyAlignment="1" applyBorder="1" applyFont="1" applyNumberFormat="1">
      <alignment horizontal="right" readingOrder="0" shrinkToFit="0" wrapText="0"/>
    </xf>
    <xf borderId="5" fillId="3" fontId="5" numFmtId="164" xfId="0" applyAlignment="1" applyBorder="1" applyFont="1" applyNumberFormat="1">
      <alignment horizontal="right" readingOrder="0" shrinkToFit="0" wrapText="0"/>
    </xf>
    <xf borderId="5" fillId="3" fontId="5" numFmtId="0" xfId="0" applyAlignment="1" applyBorder="1" applyFont="1">
      <alignment horizontal="left" shrinkToFit="0" wrapText="0"/>
    </xf>
    <xf borderId="5" fillId="3" fontId="5" numFmtId="0" xfId="0" applyAlignment="1" applyBorder="1" applyFont="1">
      <alignment horizontal="center" shrinkToFit="0" wrapText="0"/>
    </xf>
    <xf borderId="6" fillId="3" fontId="5" numFmtId="0" xfId="0" applyAlignment="1" applyBorder="1" applyFont="1">
      <alignment horizontal="right" shrinkToFit="0" wrapText="0"/>
    </xf>
    <xf borderId="7" fillId="2" fontId="1" numFmtId="0" xfId="0" applyAlignment="1" applyBorder="1" applyFont="1">
      <alignment horizontal="center" readingOrder="0" shrinkToFit="0" wrapText="0"/>
    </xf>
    <xf borderId="8" fillId="2" fontId="9" numFmtId="0" xfId="0" applyAlignment="1" applyBorder="1" applyFont="1">
      <alignment horizontal="left" readingOrder="0" shrinkToFit="0" wrapText="0"/>
    </xf>
    <xf borderId="8" fillId="2" fontId="9" numFmtId="0" xfId="0" applyAlignment="1" applyBorder="1" applyFont="1">
      <alignment horizontal="center" readingOrder="0" shrinkToFit="0" wrapText="0"/>
    </xf>
    <xf borderId="9" fillId="2" fontId="9" numFmtId="0" xfId="0" applyAlignment="1" applyBorder="1" applyFont="1">
      <alignment horizontal="center" readingOrder="0" shrinkToFit="0" wrapText="0"/>
    </xf>
    <xf borderId="8" fillId="2" fontId="9" numFmtId="0" xfId="0" applyAlignment="1" applyBorder="1" applyFont="1">
      <alignment horizontal="center" shrinkToFit="0" wrapText="0"/>
    </xf>
    <xf borderId="1" fillId="4" fontId="2" numFmtId="0" xfId="0" applyAlignment="1" applyBorder="1" applyFill="1" applyFont="1">
      <alignment horizontal="right" readingOrder="0" shrinkToFit="0" wrapText="0"/>
    </xf>
    <xf borderId="2" fillId="0" fontId="10" numFmtId="0" xfId="0" applyAlignment="1" applyBorder="1" applyFont="1">
      <alignment horizontal="left" readingOrder="0" shrinkToFit="0" wrapText="0"/>
    </xf>
    <xf borderId="2" fillId="0" fontId="11" numFmtId="0" xfId="0" applyAlignment="1" applyBorder="1" applyFont="1">
      <alignment horizontal="left" readingOrder="0" shrinkToFit="0" wrapText="0"/>
    </xf>
    <xf borderId="2" fillId="4" fontId="2" numFmtId="0" xfId="0" applyAlignment="1" applyBorder="1" applyFont="1">
      <alignment horizontal="center" readingOrder="0" shrinkToFit="0" wrapText="0"/>
    </xf>
    <xf borderId="3" fillId="4" fontId="2" numFmtId="0" xfId="0" applyAlignment="1" applyBorder="1" applyFont="1">
      <alignment horizontal="right" readingOrder="0" shrinkToFit="0" wrapText="0"/>
    </xf>
    <xf borderId="2" fillId="4" fontId="2" numFmtId="0" xfId="0" applyAlignment="1" applyBorder="1" applyFont="1">
      <alignment horizontal="right" readingOrder="0" shrinkToFit="0" wrapText="0"/>
    </xf>
    <xf borderId="2" fillId="4" fontId="5" numFmtId="0" xfId="0" applyAlignment="1" applyBorder="1" applyFont="1">
      <alignment horizontal="right" readingOrder="0" shrinkToFit="0" wrapText="0"/>
    </xf>
    <xf borderId="3" fillId="4" fontId="2" numFmtId="164" xfId="0" applyAlignment="1" applyBorder="1" applyFont="1" applyNumberFormat="1">
      <alignment horizontal="right" readingOrder="0" shrinkToFit="0" wrapText="0"/>
    </xf>
    <xf borderId="2" fillId="4" fontId="6" numFmtId="0" xfId="0" applyAlignment="1" applyBorder="1" applyFont="1">
      <alignment horizontal="right" shrinkToFit="0" wrapText="0"/>
    </xf>
    <xf borderId="2" fillId="4" fontId="7" numFmtId="165" xfId="0" applyAlignment="1" applyBorder="1" applyFont="1" applyNumberFormat="1">
      <alignment horizontal="right" readingOrder="0" shrinkToFit="0" wrapText="0"/>
    </xf>
    <xf borderId="3" fillId="0" fontId="12" numFmtId="0" xfId="0" applyAlignment="1" applyBorder="1" applyFont="1">
      <alignment horizontal="left" readingOrder="0" shrinkToFit="0" wrapText="0"/>
    </xf>
    <xf borderId="6" fillId="5" fontId="2" numFmtId="164" xfId="0" applyAlignment="1" applyBorder="1" applyFill="1" applyFont="1" applyNumberFormat="1">
      <alignment horizontal="right" readingOrder="0" shrinkToFit="0" wrapText="0"/>
    </xf>
    <xf borderId="5" fillId="5" fontId="2" numFmtId="164" xfId="0" applyAlignment="1" applyBorder="1" applyFont="1" applyNumberFormat="1">
      <alignment horizontal="right" readingOrder="0" shrinkToFit="0" wrapText="0"/>
    </xf>
    <xf borderId="5" fillId="5" fontId="5" numFmtId="164" xfId="0" applyAlignment="1" applyBorder="1" applyFont="1" applyNumberFormat="1">
      <alignment horizontal="right" readingOrder="0" shrinkToFit="0" wrapText="0"/>
    </xf>
    <xf borderId="5" fillId="5" fontId="6" numFmtId="164" xfId="0" applyAlignment="1" applyBorder="1" applyFont="1" applyNumberFormat="1">
      <alignment horizontal="right" readingOrder="0" shrinkToFit="0" wrapText="0"/>
    </xf>
    <xf borderId="5" fillId="5" fontId="7" numFmtId="165" xfId="0" applyAlignment="1" applyBorder="1" applyFont="1" applyNumberFormat="1">
      <alignment horizontal="right" readingOrder="0" shrinkToFit="0" wrapText="0"/>
    </xf>
    <xf borderId="6" fillId="5" fontId="5" numFmtId="164" xfId="0" applyAlignment="1" applyBorder="1" applyFont="1" applyNumberFormat="1">
      <alignment horizontal="right" readingOrder="0" shrinkToFit="0" wrapText="0"/>
    </xf>
    <xf borderId="6" fillId="5" fontId="2" numFmtId="0" xfId="0" applyAlignment="1" applyBorder="1" applyFont="1">
      <alignment horizontal="right" readingOrder="0" shrinkToFit="0" wrapText="0"/>
    </xf>
    <xf borderId="5" fillId="5" fontId="2" numFmtId="0" xfId="0" applyAlignment="1" applyBorder="1" applyFont="1">
      <alignment horizontal="right" readingOrder="0" shrinkToFit="0" wrapText="0"/>
    </xf>
    <xf borderId="5" fillId="5" fontId="6" numFmtId="0" xfId="0" applyAlignment="1" applyBorder="1" applyFont="1">
      <alignment horizontal="right" readingOrder="0" shrinkToFit="0" wrapText="0"/>
    </xf>
    <xf borderId="1" fillId="3" fontId="2" numFmtId="0" xfId="0" applyAlignment="1" applyBorder="1" applyFont="1">
      <alignment horizontal="right" readingOrder="0" shrinkToFit="0" wrapText="0"/>
    </xf>
    <xf borderId="2" fillId="3" fontId="2" numFmtId="0" xfId="0" applyAlignment="1" applyBorder="1" applyFont="1">
      <alignment horizontal="center" readingOrder="0" shrinkToFit="0" wrapText="0"/>
    </xf>
    <xf borderId="3" fillId="3" fontId="2" numFmtId="0" xfId="0" applyAlignment="1" applyBorder="1" applyFont="1">
      <alignment horizontal="right" readingOrder="0" shrinkToFit="0" wrapText="0"/>
    </xf>
    <xf borderId="2" fillId="3" fontId="2" numFmtId="0" xfId="0" applyAlignment="1" applyBorder="1" applyFont="1">
      <alignment horizontal="right" readingOrder="0" shrinkToFit="0" wrapText="0"/>
    </xf>
    <xf borderId="3" fillId="5" fontId="2" numFmtId="164" xfId="0" applyAlignment="1" applyBorder="1" applyFont="1" applyNumberFormat="1">
      <alignment horizontal="right" readingOrder="0" shrinkToFit="0" wrapText="0"/>
    </xf>
    <xf borderId="2" fillId="5" fontId="5" numFmtId="164" xfId="0" applyAlignment="1" applyBorder="1" applyFont="1" applyNumberFormat="1">
      <alignment horizontal="right" readingOrder="0" shrinkToFit="0" wrapText="0"/>
    </xf>
    <xf borderId="2" fillId="5" fontId="2" numFmtId="164" xfId="0" applyAlignment="1" applyBorder="1" applyFont="1" applyNumberFormat="1">
      <alignment horizontal="right" readingOrder="0" shrinkToFit="0" wrapText="0"/>
    </xf>
    <xf borderId="3" fillId="3" fontId="2" numFmtId="164" xfId="0" applyAlignment="1" applyBorder="1" applyFont="1" applyNumberFormat="1">
      <alignment horizontal="right" readingOrder="0" shrinkToFit="0" wrapText="0"/>
    </xf>
    <xf borderId="2" fillId="5" fontId="6" numFmtId="164" xfId="0" applyAlignment="1" applyBorder="1" applyFont="1" applyNumberFormat="1">
      <alignment horizontal="right" readingOrder="0" shrinkToFit="0" wrapText="0"/>
    </xf>
    <xf borderId="2" fillId="3" fontId="6" numFmtId="0" xfId="0" applyAlignment="1" applyBorder="1" applyFont="1">
      <alignment horizontal="right" shrinkToFit="0" wrapText="0"/>
    </xf>
    <xf borderId="2" fillId="3" fontId="7" numFmtId="165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country/SWE/Sweden-Football" TargetMode="External"/><Relationship Id="rId391" Type="http://schemas.openxmlformats.org/officeDocument/2006/relationships/hyperlink" Target="https://fbref.com/en/players/0cc5e712/Hussein-Carneil" TargetMode="External"/><Relationship Id="rId390" Type="http://schemas.openxmlformats.org/officeDocument/2006/relationships/hyperlink" Target="https://fbref.com/en/players/36b9ab20/matchlogs/2024/summary/Linus-Carlstrand-Match-Logs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2024/Malmo-Stats" TargetMode="External"/><Relationship Id="rId4" Type="http://schemas.openxmlformats.org/officeDocument/2006/relationships/hyperlink" Target="https://fbref.com/en/players/da4b8a4e/matchlogs/2024/summary/Taha-Abdi-Ali-Match-Logs" TargetMode="External"/><Relationship Id="rId9" Type="http://schemas.openxmlformats.org/officeDocument/2006/relationships/hyperlink" Target="https://fbref.com/en/players/44e4dfab/Jalal-Abdulai" TargetMode="External"/><Relationship Id="rId385" Type="http://schemas.openxmlformats.org/officeDocument/2006/relationships/hyperlink" Target="https://fbref.com/en/squads/ef1ab26a/2024/Goteborg-Stats" TargetMode="External"/><Relationship Id="rId384" Type="http://schemas.openxmlformats.org/officeDocument/2006/relationships/hyperlink" Target="https://fbref.com/en/country/SWE/Sweden-Football" TargetMode="External"/><Relationship Id="rId383" Type="http://schemas.openxmlformats.org/officeDocument/2006/relationships/hyperlink" Target="https://fbref.com/en/players/5d2dd3fd/Adam-Carlen" TargetMode="External"/><Relationship Id="rId382" Type="http://schemas.openxmlformats.org/officeDocument/2006/relationships/hyperlink" Target="https://fbref.com/en/players/6e00b323/matchlogs/2024/summary/Anes-Cardaklija-Match-Logs" TargetMode="External"/><Relationship Id="rId5" Type="http://schemas.openxmlformats.org/officeDocument/2006/relationships/hyperlink" Target="https://fbref.com/en/players/e6f2ccc2/Jabir-Abdihakim" TargetMode="External"/><Relationship Id="rId389" Type="http://schemas.openxmlformats.org/officeDocument/2006/relationships/hyperlink" Target="https://fbref.com/en/squads/ef1ab26a/2024/Goteborg-Stats" TargetMode="External"/><Relationship Id="rId6" Type="http://schemas.openxmlformats.org/officeDocument/2006/relationships/hyperlink" Target="https://fbref.com/en/country/DJI/Djibouti-Football" TargetMode="External"/><Relationship Id="rId388" Type="http://schemas.openxmlformats.org/officeDocument/2006/relationships/hyperlink" Target="https://fbref.com/en/country/SWE/Sweden-Football" TargetMode="External"/><Relationship Id="rId7" Type="http://schemas.openxmlformats.org/officeDocument/2006/relationships/hyperlink" Target="https://fbref.com/en/squads/a8481ab9/2024/Vasteras-Stats" TargetMode="External"/><Relationship Id="rId387" Type="http://schemas.openxmlformats.org/officeDocument/2006/relationships/hyperlink" Target="https://fbref.com/en/players/36b9ab20/Linus-Carlstrand" TargetMode="External"/><Relationship Id="rId8" Type="http://schemas.openxmlformats.org/officeDocument/2006/relationships/hyperlink" Target="https://fbref.com/en/players/e6f2ccc2/matchlogs/2024/summary/Jabir-Abdihakim-Match-Logs" TargetMode="External"/><Relationship Id="rId386" Type="http://schemas.openxmlformats.org/officeDocument/2006/relationships/hyperlink" Target="https://fbref.com/en/players/5d2dd3fd/matchlogs/2024/summary/Adam-Carlen-Match-Logs" TargetMode="External"/><Relationship Id="rId381" Type="http://schemas.openxmlformats.org/officeDocument/2006/relationships/hyperlink" Target="https://fbref.com/en/squads/7c2d1adb/2024/GAIS-Stats" TargetMode="External"/><Relationship Id="rId380" Type="http://schemas.openxmlformats.org/officeDocument/2006/relationships/hyperlink" Target="https://fbref.com/en/country/BIH/Bosnia-and-Herzegovina-Football" TargetMode="External"/><Relationship Id="rId379" Type="http://schemas.openxmlformats.org/officeDocument/2006/relationships/hyperlink" Target="https://fbref.com/en/players/6e00b323/Anes-Cardaklija" TargetMode="External"/><Relationship Id="rId374" Type="http://schemas.openxmlformats.org/officeDocument/2006/relationships/hyperlink" Target="https://fbref.com/en/players/dd78642f/matchlogs/2024/summary/Mario-Butros-Match-Logs" TargetMode="External"/><Relationship Id="rId373" Type="http://schemas.openxmlformats.org/officeDocument/2006/relationships/hyperlink" Target="https://fbref.com/en/squads/bb9e11b2/2024/Brommapojkarna-Stats" TargetMode="External"/><Relationship Id="rId372" Type="http://schemas.openxmlformats.org/officeDocument/2006/relationships/hyperlink" Target="https://fbref.com/en/country/SWE/Sweden-Football" TargetMode="External"/><Relationship Id="rId371" Type="http://schemas.openxmlformats.org/officeDocument/2006/relationships/hyperlink" Target="https://fbref.com/en/players/dd78642f/Mario-Butros" TargetMode="External"/><Relationship Id="rId378" Type="http://schemas.openxmlformats.org/officeDocument/2006/relationships/hyperlink" Target="https://fbref.com/en/players/b33fa7ce/matchlogs/2024/summary/Andre-Calisir-Match-Logs" TargetMode="External"/><Relationship Id="rId377" Type="http://schemas.openxmlformats.org/officeDocument/2006/relationships/hyperlink" Target="https://fbref.com/en/squads/bb9e11b2/2024/Brommapojkarna-Stats" TargetMode="External"/><Relationship Id="rId376" Type="http://schemas.openxmlformats.org/officeDocument/2006/relationships/hyperlink" Target="https://fbref.com/en/country/ARM/Armenia-Football" TargetMode="External"/><Relationship Id="rId375" Type="http://schemas.openxmlformats.org/officeDocument/2006/relationships/hyperlink" Target="https://fbref.com/en/players/b33fa7ce/Andre-Calisir" TargetMode="External"/><Relationship Id="rId396" Type="http://schemas.openxmlformats.org/officeDocument/2006/relationships/hyperlink" Target="https://fbref.com/en/country/SWE/Sweden-Football" TargetMode="External"/><Relationship Id="rId395" Type="http://schemas.openxmlformats.org/officeDocument/2006/relationships/hyperlink" Target="https://fbref.com/en/players/ba20d6d1/Henrik-Castegren" TargetMode="External"/><Relationship Id="rId394" Type="http://schemas.openxmlformats.org/officeDocument/2006/relationships/hyperlink" Target="https://fbref.com/en/players/0cc5e712/matchlogs/2024/summary/Hussein-Carneil-Match-Logs" TargetMode="External"/><Relationship Id="rId393" Type="http://schemas.openxmlformats.org/officeDocument/2006/relationships/hyperlink" Target="https://fbref.com/en/squads/ef1ab26a/2024/Goteborg-Stats" TargetMode="External"/><Relationship Id="rId399" Type="http://schemas.openxmlformats.org/officeDocument/2006/relationships/hyperlink" Target="https://fbref.com/en/players/606c9990/Jesper-Ceesay" TargetMode="External"/><Relationship Id="rId398" Type="http://schemas.openxmlformats.org/officeDocument/2006/relationships/hyperlink" Target="https://fbref.com/en/players/ba20d6d1/matchlogs/2024/summary/Henrik-Castegren-Match-Logs" TargetMode="External"/><Relationship Id="rId397" Type="http://schemas.openxmlformats.org/officeDocument/2006/relationships/hyperlink" Target="https://fbref.com/en/squads/e9d60d0c/2024/Sirius-Stats" TargetMode="External"/><Relationship Id="rId1730" Type="http://schemas.openxmlformats.org/officeDocument/2006/relationships/hyperlink" Target="https://fbref.com/en/players/0c574b7f/Adrian-Skogmar" TargetMode="External"/><Relationship Id="rId1731" Type="http://schemas.openxmlformats.org/officeDocument/2006/relationships/hyperlink" Target="https://fbref.com/en/country/SWE/Sweden-Football" TargetMode="External"/><Relationship Id="rId1732" Type="http://schemas.openxmlformats.org/officeDocument/2006/relationships/hyperlink" Target="https://fbref.com/en/squads/f3d8c8b9/2024/Malmo-Stats" TargetMode="External"/><Relationship Id="rId1733" Type="http://schemas.openxmlformats.org/officeDocument/2006/relationships/hyperlink" Target="https://fbref.com/en/players/0c574b7f/matchlogs/2024/summary/Adrian-Skogmar-Match-Logs" TargetMode="External"/><Relationship Id="rId1734" Type="http://schemas.openxmlformats.org/officeDocument/2006/relationships/hyperlink" Target="https://fbref.com/en/players/45af5134/Simon-Skrabb" TargetMode="External"/><Relationship Id="rId1735" Type="http://schemas.openxmlformats.org/officeDocument/2006/relationships/hyperlink" Target="https://fbref.com/en/country/FIN/Finland-Football" TargetMode="External"/><Relationship Id="rId1736" Type="http://schemas.openxmlformats.org/officeDocument/2006/relationships/hyperlink" Target="https://fbref.com/en/squads/9f13771c/2024/Kalmar-Stats" TargetMode="External"/><Relationship Id="rId1737" Type="http://schemas.openxmlformats.org/officeDocument/2006/relationships/hyperlink" Target="https://fbref.com/en/players/45af5134/matchlogs/2024/summary/Simon-Skrabb-Match-Logs" TargetMode="External"/><Relationship Id="rId1738" Type="http://schemas.openxmlformats.org/officeDocument/2006/relationships/hyperlink" Target="https://fbref.com/en/players/9e1ca579/Floris-Smand" TargetMode="External"/><Relationship Id="rId1739" Type="http://schemas.openxmlformats.org/officeDocument/2006/relationships/hyperlink" Target="https://fbref.com/en/country/NED/Netherlands-Football" TargetMode="External"/><Relationship Id="rId1720" Type="http://schemas.openxmlformats.org/officeDocument/2006/relationships/hyperlink" Target="https://fbref.com/en/squads/9f13771c/2024/Kalmar-Stats" TargetMode="External"/><Relationship Id="rId1721" Type="http://schemas.openxmlformats.org/officeDocument/2006/relationships/hyperlink" Target="https://fbref.com/en/players/b8b8b314/matchlogs/2024/summary/Rasmus-Sjostedt-Match-Logs" TargetMode="External"/><Relationship Id="rId1722" Type="http://schemas.openxmlformats.org/officeDocument/2006/relationships/hyperlink" Target="https://fbref.com/en/players/5f2d3485/Laurs-Skjellerup" TargetMode="External"/><Relationship Id="rId1723" Type="http://schemas.openxmlformats.org/officeDocument/2006/relationships/hyperlink" Target="https://fbref.com/en/country/DEN/Denmark-Football" TargetMode="External"/><Relationship Id="rId1724" Type="http://schemas.openxmlformats.org/officeDocument/2006/relationships/hyperlink" Target="https://fbref.com/en/squads/ef1ab26a/2024/Goteborg-Stats" TargetMode="External"/><Relationship Id="rId1725" Type="http://schemas.openxmlformats.org/officeDocument/2006/relationships/hyperlink" Target="https://fbref.com/en/players/5f2d3485/matchlogs/2024/summary/Laurs-Skjellerup-Match-Logs" TargetMode="External"/><Relationship Id="rId1726" Type="http://schemas.openxmlformats.org/officeDocument/2006/relationships/hyperlink" Target="https://fbref.com/en/players/ce650991/Hampus-Skoglund" TargetMode="External"/><Relationship Id="rId1727" Type="http://schemas.openxmlformats.org/officeDocument/2006/relationships/hyperlink" Target="https://fbref.com/en/country/SWE/Sweden-Football" TargetMode="External"/><Relationship Id="rId1728" Type="http://schemas.openxmlformats.org/officeDocument/2006/relationships/hyperlink" Target="https://fbref.com/en/squads/92bfd7f0/2024/Hammarby-Stats" TargetMode="External"/><Relationship Id="rId1729" Type="http://schemas.openxmlformats.org/officeDocument/2006/relationships/hyperlink" Target="https://fbref.com/en/players/ce650991/matchlogs/2024/summary/Hampus-Skoglund-Match-Logs" TargetMode="External"/><Relationship Id="rId1752" Type="http://schemas.openxmlformats.org/officeDocument/2006/relationships/hyperlink" Target="https://fbref.com/en/squads/50e85bfc/2024/Elfsborg-Stats" TargetMode="External"/><Relationship Id="rId1753" Type="http://schemas.openxmlformats.org/officeDocument/2006/relationships/hyperlink" Target="https://fbref.com/en/players/23562628/matchlogs/2024/summary/Noah-Soderberg-Match-Logs" TargetMode="External"/><Relationship Id="rId1754" Type="http://schemas.openxmlformats.org/officeDocument/2006/relationships/hyperlink" Target="https://fbref.com/en/players/f162adb9/Tim-Soderstrom" TargetMode="External"/><Relationship Id="rId1755" Type="http://schemas.openxmlformats.org/officeDocument/2006/relationships/hyperlink" Target="https://fbref.com/en/country/SWE/Sweden-Football" TargetMode="External"/><Relationship Id="rId1756" Type="http://schemas.openxmlformats.org/officeDocument/2006/relationships/hyperlink" Target="https://fbref.com/en/squads/bb9e11b2/2024/Brommapojkarna-Stats" TargetMode="External"/><Relationship Id="rId1757" Type="http://schemas.openxmlformats.org/officeDocument/2006/relationships/hyperlink" Target="https://fbref.com/en/players/f162adb9/matchlogs/2024/summary/Tim-Soderstrom-Match-Logs" TargetMode="External"/><Relationship Id="rId1758" Type="http://schemas.openxmlformats.org/officeDocument/2006/relationships/hyperlink" Target="https://fbref.com/en/players/774dc73f/Amadeus-Sogaard" TargetMode="External"/><Relationship Id="rId1759" Type="http://schemas.openxmlformats.org/officeDocument/2006/relationships/hyperlink" Target="https://fbref.com/en/country/SWE/Sweden-Football" TargetMode="External"/><Relationship Id="rId808" Type="http://schemas.openxmlformats.org/officeDocument/2006/relationships/hyperlink" Target="https://fbref.com/en/squads/50e85bfc/2024/Elfsborg-Stats" TargetMode="External"/><Relationship Id="rId807" Type="http://schemas.openxmlformats.org/officeDocument/2006/relationships/hyperlink" Target="https://fbref.com/en/country/SWE/Sweden-Football" TargetMode="External"/><Relationship Id="rId806" Type="http://schemas.openxmlformats.org/officeDocument/2006/relationships/hyperlink" Target="https://fbref.com/en/players/497228f9/Niklas-Hult" TargetMode="External"/><Relationship Id="rId805" Type="http://schemas.openxmlformats.org/officeDocument/2006/relationships/hyperlink" Target="https://fbref.com/en/players/856eefa6/matchlogs/2024/summary/Srdjan-Hrstic-Match-Logs" TargetMode="External"/><Relationship Id="rId809" Type="http://schemas.openxmlformats.org/officeDocument/2006/relationships/hyperlink" Target="https://fbref.com/en/players/497228f9/matchlogs/2024/summary/Niklas-Hult-Match-Logs" TargetMode="External"/><Relationship Id="rId800" Type="http://schemas.openxmlformats.org/officeDocument/2006/relationships/hyperlink" Target="https://fbref.com/en/squads/8774e267/2024/BK-Hacken-Stats" TargetMode="External"/><Relationship Id="rId804" Type="http://schemas.openxmlformats.org/officeDocument/2006/relationships/hyperlink" Target="https://fbref.com/en/squads/8774e267/2024/BK-Hacken-Stats" TargetMode="External"/><Relationship Id="rId803" Type="http://schemas.openxmlformats.org/officeDocument/2006/relationships/hyperlink" Target="https://fbref.com/en/country/SRB/Serbia-Football" TargetMode="External"/><Relationship Id="rId802" Type="http://schemas.openxmlformats.org/officeDocument/2006/relationships/hyperlink" Target="https://fbref.com/en/players/856eefa6/Srdjan-Hrstic" TargetMode="External"/><Relationship Id="rId801" Type="http://schemas.openxmlformats.org/officeDocument/2006/relationships/hyperlink" Target="https://fbref.com/en/players/d1fea02e/matchlogs/2024/summary/Even-Hovland-Match-Logs" TargetMode="External"/><Relationship Id="rId1750" Type="http://schemas.openxmlformats.org/officeDocument/2006/relationships/hyperlink" Target="https://fbref.com/en/players/23562628/Noah-Soderberg" TargetMode="External"/><Relationship Id="rId1751" Type="http://schemas.openxmlformats.org/officeDocument/2006/relationships/hyperlink" Target="https://fbref.com/en/country/SWE/Sweden-Football" TargetMode="External"/><Relationship Id="rId1741" Type="http://schemas.openxmlformats.org/officeDocument/2006/relationships/hyperlink" Target="https://fbref.com/en/players/9e1ca579/matchlogs/2024/summary/Floris-Smand-Match-Logs" TargetMode="External"/><Relationship Id="rId1742" Type="http://schemas.openxmlformats.org/officeDocument/2006/relationships/hyperlink" Target="https://fbref.com/en/players/e3372668/Eskil-Smidesang-Edh" TargetMode="External"/><Relationship Id="rId1743" Type="http://schemas.openxmlformats.org/officeDocument/2006/relationships/hyperlink" Target="https://fbref.com/en/country/NOR/Norway-Football" TargetMode="External"/><Relationship Id="rId1744" Type="http://schemas.openxmlformats.org/officeDocument/2006/relationships/hyperlink" Target="https://fbref.com/en/squads/b0333581/2024/AIK-Stockholm-Stats" TargetMode="External"/><Relationship Id="rId1745" Type="http://schemas.openxmlformats.org/officeDocument/2006/relationships/hyperlink" Target="https://fbref.com/en/players/e3372668/matchlogs/2024/summary/Eskil-Smidesang-Edh-Match-Logs" TargetMode="External"/><Relationship Id="rId1746" Type="http://schemas.openxmlformats.org/officeDocument/2006/relationships/hyperlink" Target="https://fbref.com/en/players/23562628/Noah-Soderberg" TargetMode="External"/><Relationship Id="rId1747" Type="http://schemas.openxmlformats.org/officeDocument/2006/relationships/hyperlink" Target="https://fbref.com/en/country/SWE/Sweden-Football" TargetMode="External"/><Relationship Id="rId1748" Type="http://schemas.openxmlformats.org/officeDocument/2006/relationships/hyperlink" Target="https://fbref.com/en/squads/17366e53/2024/Halmstad-Stats" TargetMode="External"/><Relationship Id="rId1749" Type="http://schemas.openxmlformats.org/officeDocument/2006/relationships/hyperlink" Target="https://fbref.com/en/players/23562628/matchlogs/2024/summary/Noah-Soderberg-Match-Logs" TargetMode="External"/><Relationship Id="rId1740" Type="http://schemas.openxmlformats.org/officeDocument/2006/relationships/hyperlink" Target="https://fbref.com/en/squads/a8481ab9/2024/Vasteras-Stats" TargetMode="External"/><Relationship Id="rId1710" Type="http://schemas.openxmlformats.org/officeDocument/2006/relationships/hyperlink" Target="https://fbref.com/en/players/f5ea4560/Herman-Sjogrell" TargetMode="External"/><Relationship Id="rId1711" Type="http://schemas.openxmlformats.org/officeDocument/2006/relationships/hyperlink" Target="https://fbref.com/en/country/SWE/Sweden-Football" TargetMode="External"/><Relationship Id="rId1712" Type="http://schemas.openxmlformats.org/officeDocument/2006/relationships/hyperlink" Target="https://fbref.com/en/squads/e9d60d0c/2024/Sirius-Stats" TargetMode="External"/><Relationship Id="rId1713" Type="http://schemas.openxmlformats.org/officeDocument/2006/relationships/hyperlink" Target="https://fbref.com/en/players/f5ea4560/matchlogs/2024/summary/Herman-Sjogrell-Match-Logs" TargetMode="External"/><Relationship Id="rId1714" Type="http://schemas.openxmlformats.org/officeDocument/2006/relationships/hyperlink" Target="https://fbref.com/en/players/10fe6c1d/Simon-Sjoholm" TargetMode="External"/><Relationship Id="rId1715" Type="http://schemas.openxmlformats.org/officeDocument/2006/relationships/hyperlink" Target="https://fbref.com/en/country/SWE/Sweden-Football" TargetMode="External"/><Relationship Id="rId1716" Type="http://schemas.openxmlformats.org/officeDocument/2006/relationships/hyperlink" Target="https://fbref.com/en/squads/7c2d1adb/2024/GAIS-Stats" TargetMode="External"/><Relationship Id="rId1717" Type="http://schemas.openxmlformats.org/officeDocument/2006/relationships/hyperlink" Target="https://fbref.com/en/players/10fe6c1d/matchlogs/2024/summary/Simon-Sjoholm-Match-Logs" TargetMode="External"/><Relationship Id="rId1718" Type="http://schemas.openxmlformats.org/officeDocument/2006/relationships/hyperlink" Target="https://fbref.com/en/players/b8b8b314/Rasmus-Sjostedt" TargetMode="External"/><Relationship Id="rId1719" Type="http://schemas.openxmlformats.org/officeDocument/2006/relationships/hyperlink" Target="https://fbref.com/en/country/SWE/Sweden-Football" TargetMode="External"/><Relationship Id="rId1700" Type="http://schemas.openxmlformats.org/officeDocument/2006/relationships/hyperlink" Target="https://fbref.com/en/squads/b0333581/2024/AIK-Stockholm-Stats" TargetMode="External"/><Relationship Id="rId1701" Type="http://schemas.openxmlformats.org/officeDocument/2006/relationships/hyperlink" Target="https://fbref.com/en/players/2934dd4e/matchlogs/2024/summary/Collins-Sichenje-Match-Logs" TargetMode="External"/><Relationship Id="rId1702" Type="http://schemas.openxmlformats.org/officeDocument/2006/relationships/hyperlink" Target="https://fbref.com/en/players/c94b4d28/Filip-Sidklev" TargetMode="External"/><Relationship Id="rId1703" Type="http://schemas.openxmlformats.org/officeDocument/2006/relationships/hyperlink" Target="https://fbref.com/en/country/SWE/Sweden-Football" TargetMode="External"/><Relationship Id="rId1704" Type="http://schemas.openxmlformats.org/officeDocument/2006/relationships/hyperlink" Target="https://fbref.com/en/squads/bb9e11b2/2024/Brommapojkarna-Stats" TargetMode="External"/><Relationship Id="rId1705" Type="http://schemas.openxmlformats.org/officeDocument/2006/relationships/hyperlink" Target="https://fbref.com/en/players/c94b4d28/matchlogs/2024/summary/Filip-Sidklev-Match-Logs" TargetMode="External"/><Relationship Id="rId1706" Type="http://schemas.openxmlformats.org/officeDocument/2006/relationships/hyperlink" Target="https://fbref.com/en/players/7b21750a/Kees-Sims" TargetMode="External"/><Relationship Id="rId1707" Type="http://schemas.openxmlformats.org/officeDocument/2006/relationships/hyperlink" Target="https://fbref.com/en/country/NZL/New-Zealand-Football" TargetMode="External"/><Relationship Id="rId1708" Type="http://schemas.openxmlformats.org/officeDocument/2006/relationships/hyperlink" Target="https://fbref.com/en/squads/7c2d1adb/2024/GAIS-Stats" TargetMode="External"/><Relationship Id="rId1709" Type="http://schemas.openxmlformats.org/officeDocument/2006/relationships/hyperlink" Target="https://fbref.com/en/players/7b21750a/matchlogs/2024/summary/Kees-Sims-Match-Logs" TargetMode="External"/><Relationship Id="rId40" Type="http://schemas.openxmlformats.org/officeDocument/2006/relationships/hyperlink" Target="https://fbref.com/en/players/3d6aaa54/matchlogs/2024/summary/Jeremy-Agbonifo-Match-Logs" TargetMode="External"/><Relationship Id="rId1334" Type="http://schemas.openxmlformats.org/officeDocument/2006/relationships/hyperlink" Target="https://fbref.com/en/squads/d048ed60/2024/Varnamo-Stats" TargetMode="External"/><Relationship Id="rId1335" Type="http://schemas.openxmlformats.org/officeDocument/2006/relationships/hyperlink" Target="https://fbref.com/en/players/687b2185/matchlogs/2024/summary/Hampus-Nasstrom-Match-Logs" TargetMode="External"/><Relationship Id="rId42" Type="http://schemas.openxmlformats.org/officeDocument/2006/relationships/hyperlink" Target="https://fbref.com/en/country/CIV/Cote-dIvoire-Football" TargetMode="External"/><Relationship Id="rId1336" Type="http://schemas.openxmlformats.org/officeDocument/2006/relationships/hyperlink" Target="https://fbref.com/en/players/f440d45f/Moutaz-Neffati" TargetMode="External"/><Relationship Id="rId41" Type="http://schemas.openxmlformats.org/officeDocument/2006/relationships/hyperlink" Target="https://fbref.com/en/players/bc5fc7b6/Yannick-Agnero" TargetMode="External"/><Relationship Id="rId1337" Type="http://schemas.openxmlformats.org/officeDocument/2006/relationships/hyperlink" Target="https://fbref.com/en/country/TUN/Tunisia-Football" TargetMode="External"/><Relationship Id="rId44" Type="http://schemas.openxmlformats.org/officeDocument/2006/relationships/hyperlink" Target="https://fbref.com/en/players/bc5fc7b6/matchlogs/2024/summary/Yannick-Agnero-Match-Logs" TargetMode="External"/><Relationship Id="rId1338" Type="http://schemas.openxmlformats.org/officeDocument/2006/relationships/hyperlink" Target="https://fbref.com/en/squads/1d0836d6/2024/Norrkoping-Stats" TargetMode="External"/><Relationship Id="rId43" Type="http://schemas.openxmlformats.org/officeDocument/2006/relationships/hyperlink" Target="https://fbref.com/en/squads/17366e53/2024/Halmstad-Stats" TargetMode="External"/><Relationship Id="rId1339" Type="http://schemas.openxmlformats.org/officeDocument/2006/relationships/hyperlink" Target="https://fbref.com/en/players/f440d45f/matchlogs/2024/summary/Moutaz-Neffati-Match-Log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276735dd/Alexander-Ahl-Holmstrom" TargetMode="External"/><Relationship Id="rId745" Type="http://schemas.openxmlformats.org/officeDocument/2006/relationships/hyperlink" Target="https://fbref.com/en/players/2cc1e1c8/matchlogs/2024/summary/Emin-Hasic-Match-Logs" TargetMode="External"/><Relationship Id="rId744" Type="http://schemas.openxmlformats.org/officeDocument/2006/relationships/hyperlink" Target="https://fbref.com/en/squads/d048ed60/2024/Varnamo-Stats" TargetMode="External"/><Relationship Id="rId743" Type="http://schemas.openxmlformats.org/officeDocument/2006/relationships/hyperlink" Target="https://fbref.com/en/country/SWE/Sweden-Football" TargetMode="External"/><Relationship Id="rId742" Type="http://schemas.openxmlformats.org/officeDocument/2006/relationships/hyperlink" Target="https://fbref.com/en/players/2cc1e1c8/Emin-Hasic" TargetMode="External"/><Relationship Id="rId749" Type="http://schemas.openxmlformats.org/officeDocument/2006/relationships/hyperlink" Target="https://fbref.com/en/players/5ba8a86b/matchlogs/2024/summary/Sebastian-Hausner-Match-Logs" TargetMode="External"/><Relationship Id="rId748" Type="http://schemas.openxmlformats.org/officeDocument/2006/relationships/hyperlink" Target="https://fbref.com/en/squads/ef1ab26a/2024/Goteborg-Stats" TargetMode="External"/><Relationship Id="rId747" Type="http://schemas.openxmlformats.org/officeDocument/2006/relationships/hyperlink" Target="https://fbref.com/en/country/DEN/Denmark-Football" TargetMode="External"/><Relationship Id="rId746" Type="http://schemas.openxmlformats.org/officeDocument/2006/relationships/hyperlink" Target="https://fbref.com/en/players/5ba8a86b/Sebastian-Hausner" TargetMode="External"/><Relationship Id="rId48" Type="http://schemas.openxmlformats.org/officeDocument/2006/relationships/hyperlink" Target="https://fbref.com/en/players/276735dd/matchlogs/2024/summary/Alexander-Ahl-Holmstrom-Match-Logs" TargetMode="External"/><Relationship Id="rId47" Type="http://schemas.openxmlformats.org/officeDocument/2006/relationships/hyperlink" Target="https://fbref.com/en/squads/7c2d1adb/2024/GAIS-Stats" TargetMode="External"/><Relationship Id="rId49" Type="http://schemas.openxmlformats.org/officeDocument/2006/relationships/hyperlink" Target="https://fbref.com/en/players/5ea9ebd4/Matteo-Ahlinvi" TargetMode="External"/><Relationship Id="rId741" Type="http://schemas.openxmlformats.org/officeDocument/2006/relationships/hyperlink" Target="https://fbref.com/en/players/84e607b8/matchlogs/2024/summary/Tim-Hartzell-Match-Logs" TargetMode="External"/><Relationship Id="rId1330" Type="http://schemas.openxmlformats.org/officeDocument/2006/relationships/hyperlink" Target="https://fbref.com/en/squads/f3d8c8b9/2024/Malmo-Stats" TargetMode="External"/><Relationship Id="rId740" Type="http://schemas.openxmlformats.org/officeDocument/2006/relationships/hyperlink" Target="https://fbref.com/en/squads/a8481ab9/2024/Vasteras-Stats" TargetMode="External"/><Relationship Id="rId1331" Type="http://schemas.openxmlformats.org/officeDocument/2006/relationships/hyperlink" Target="https://fbref.com/en/players/ce747d2a/matchlogs/2024/summary/Sebastian-Nanasi-Match-Logs" TargetMode="External"/><Relationship Id="rId1332" Type="http://schemas.openxmlformats.org/officeDocument/2006/relationships/hyperlink" Target="https://fbref.com/en/players/687b2185/Hampus-Nasstrom" TargetMode="External"/><Relationship Id="rId1333" Type="http://schemas.openxmlformats.org/officeDocument/2006/relationships/hyperlink" Target="https://fbref.com/en/country/SWE/Sweden-Football" TargetMode="External"/><Relationship Id="rId1323" Type="http://schemas.openxmlformats.org/officeDocument/2006/relationships/hyperlink" Target="https://fbref.com/en/players/4a010ff6/matchlogs/2024/summary/Arbnor-Mucolli-Match-Logs" TargetMode="External"/><Relationship Id="rId1324" Type="http://schemas.openxmlformats.org/officeDocument/2006/relationships/hyperlink" Target="https://fbref.com/en/players/d975595d/Andreas-Murbeck" TargetMode="External"/><Relationship Id="rId31" Type="http://schemas.openxmlformats.org/officeDocument/2006/relationships/hyperlink" Target="https://fbref.com/en/squads/8774e267/2024/BK-Hacken-Stats" TargetMode="External"/><Relationship Id="rId1325" Type="http://schemas.openxmlformats.org/officeDocument/2006/relationships/hyperlink" Target="https://fbref.com/en/country/SWE/Sweden-Football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squads/e9d60d0c/2024/Sirius-Stats" TargetMode="External"/><Relationship Id="rId33" Type="http://schemas.openxmlformats.org/officeDocument/2006/relationships/hyperlink" Target="https://fbref.com/en/players/6586d884/Frank-Adjei-Jnr" TargetMode="External"/><Relationship Id="rId1327" Type="http://schemas.openxmlformats.org/officeDocument/2006/relationships/hyperlink" Target="https://fbref.com/en/players/d975595d/matchlogs/2024/summary/Andreas-Murbeck-Match-Logs" TargetMode="External"/><Relationship Id="rId32" Type="http://schemas.openxmlformats.org/officeDocument/2006/relationships/hyperlink" Target="https://fbref.com/en/players/40e57039/matchlogs/2024/summary/Peter-Abrahamsson-Match-Logs" TargetMode="External"/><Relationship Id="rId1328" Type="http://schemas.openxmlformats.org/officeDocument/2006/relationships/hyperlink" Target="https://fbref.com/en/players/ce747d2a/Sebastian-Nanasi" TargetMode="External"/><Relationship Id="rId35" Type="http://schemas.openxmlformats.org/officeDocument/2006/relationships/hyperlink" Target="https://fbref.com/en/squads/d048ed60/2024/Varnamo-Stats" TargetMode="External"/><Relationship Id="rId1329" Type="http://schemas.openxmlformats.org/officeDocument/2006/relationships/hyperlink" Target="https://fbref.com/en/country/SWE/Sweden-Football" TargetMode="External"/><Relationship Id="rId34" Type="http://schemas.openxmlformats.org/officeDocument/2006/relationships/hyperlink" Target="https://fbref.com/en/country/GHA/Ghana-Football" TargetMode="External"/><Relationship Id="rId739" Type="http://schemas.openxmlformats.org/officeDocument/2006/relationships/hyperlink" Target="https://fbref.com/en/country/SWE/Sweden-Football" TargetMode="External"/><Relationship Id="rId734" Type="http://schemas.openxmlformats.org/officeDocument/2006/relationships/hyperlink" Target="https://fbref.com/en/players/8916e76c/Benjamin-Hansen" TargetMode="External"/><Relationship Id="rId733" Type="http://schemas.openxmlformats.org/officeDocument/2006/relationships/hyperlink" Target="https://fbref.com/en/players/35676d63/matchlogs/2024/summary/Vito-Hammershoy-Mistrati-Match-Logs" TargetMode="External"/><Relationship Id="rId732" Type="http://schemas.openxmlformats.org/officeDocument/2006/relationships/hyperlink" Target="https://fbref.com/en/squads/1d0836d6/2024/Norrkoping-Stats" TargetMode="External"/><Relationship Id="rId731" Type="http://schemas.openxmlformats.org/officeDocument/2006/relationships/hyperlink" Target="https://fbref.com/en/country/DEN/Denmark-Football" TargetMode="External"/><Relationship Id="rId738" Type="http://schemas.openxmlformats.org/officeDocument/2006/relationships/hyperlink" Target="https://fbref.com/en/players/84e607b8/Tim-Hartzell" TargetMode="External"/><Relationship Id="rId737" Type="http://schemas.openxmlformats.org/officeDocument/2006/relationships/hyperlink" Target="https://fbref.com/en/players/8916e76c/matchlogs/2024/summary/Benjamin-Hansen-Match-Logs" TargetMode="External"/><Relationship Id="rId736" Type="http://schemas.openxmlformats.org/officeDocument/2006/relationships/hyperlink" Target="https://fbref.com/en/squads/b0333581/2024/AIK-Stockholm-Stats" TargetMode="External"/><Relationship Id="rId735" Type="http://schemas.openxmlformats.org/officeDocument/2006/relationships/hyperlink" Target="https://fbref.com/en/country/DEN/Denmark-Football" TargetMode="External"/><Relationship Id="rId37" Type="http://schemas.openxmlformats.org/officeDocument/2006/relationships/hyperlink" Target="https://fbref.com/en/players/3d6aaa54/Jeremy-Agbonifo" TargetMode="External"/><Relationship Id="rId36" Type="http://schemas.openxmlformats.org/officeDocument/2006/relationships/hyperlink" Target="https://fbref.com/en/players/6586d884/matchlogs/2024/summary/Frank-Adjei-Jnr-Match-Logs" TargetMode="External"/><Relationship Id="rId39" Type="http://schemas.openxmlformats.org/officeDocument/2006/relationships/hyperlink" Target="https://fbref.com/en/squads/8774e267/2024/BK-Hacken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players/35676d63/Vito-Hammershoy-Mistrati" TargetMode="External"/><Relationship Id="rId1320" Type="http://schemas.openxmlformats.org/officeDocument/2006/relationships/hyperlink" Target="https://fbref.com/en/players/4a010ff6/Arbnor-Mucolli" TargetMode="External"/><Relationship Id="rId1321" Type="http://schemas.openxmlformats.org/officeDocument/2006/relationships/hyperlink" Target="https://fbref.com/en/country/ALB/Albania-Football" TargetMode="External"/><Relationship Id="rId1322" Type="http://schemas.openxmlformats.org/officeDocument/2006/relationships/hyperlink" Target="https://fbref.com/en/squads/ef1ab26a/2024/Goteborg-Stats" TargetMode="External"/><Relationship Id="rId1356" Type="http://schemas.openxmlformats.org/officeDocument/2006/relationships/hyperlink" Target="https://fbref.com/en/country/SWE/Sweden-Football" TargetMode="External"/><Relationship Id="rId1357" Type="http://schemas.openxmlformats.org/officeDocument/2006/relationships/hyperlink" Target="https://fbref.com/en/squads/b0333581/2024/AIK-Stockholm-Stats" TargetMode="External"/><Relationship Id="rId20" Type="http://schemas.openxmlformats.org/officeDocument/2006/relationships/hyperlink" Target="https://fbref.com/en/players/24c66967/matchlogs/2024/summary/Joackim-Aberg-Match-Logs" TargetMode="External"/><Relationship Id="rId1358" Type="http://schemas.openxmlformats.org/officeDocument/2006/relationships/hyperlink" Target="https://fbref.com/en/players/75d3e825/matchlogs/2024/summary/Jimi-Dos-Reis-Nikko-Match-Logs" TargetMode="External"/><Relationship Id="rId1359" Type="http://schemas.openxmlformats.org/officeDocument/2006/relationships/hyperlink" Target="https://fbref.com/en/players/5662e81f/Malkolm-Nilsson" TargetMode="External"/><Relationship Id="rId22" Type="http://schemas.openxmlformats.org/officeDocument/2006/relationships/hyperlink" Target="https://fbref.com/en/country/SWE/Sweden-Football" TargetMode="External"/><Relationship Id="rId21" Type="http://schemas.openxmlformats.org/officeDocument/2006/relationships/hyperlink" Target="https://fbref.com/en/players/fd99de9d/Paulos-Abraham" TargetMode="External"/><Relationship Id="rId24" Type="http://schemas.openxmlformats.org/officeDocument/2006/relationships/hyperlink" Target="https://fbref.com/en/players/fd99de9d/matchlogs/2024/summary/Paulos-Abraham-Match-Logs" TargetMode="External"/><Relationship Id="rId23" Type="http://schemas.openxmlformats.org/officeDocument/2006/relationships/hyperlink" Target="https://fbref.com/en/squads/ef1ab26a/2024/Goteborg-Stats" TargetMode="External"/><Relationship Id="rId767" Type="http://schemas.openxmlformats.org/officeDocument/2006/relationships/hyperlink" Target="https://fbref.com/en/country/SWE/Sweden-Football" TargetMode="External"/><Relationship Id="rId766" Type="http://schemas.openxmlformats.org/officeDocument/2006/relationships/hyperlink" Target="https://fbref.com/en/players/aec890b7/Axel-Henriksson" TargetMode="External"/><Relationship Id="rId765" Type="http://schemas.openxmlformats.org/officeDocument/2006/relationships/hyperlink" Target="https://fbref.com/en/players/80b597fd/matchlogs/2024/summary/Melker-Heier-Match-Logs" TargetMode="External"/><Relationship Id="rId764" Type="http://schemas.openxmlformats.org/officeDocument/2006/relationships/hyperlink" Target="https://fbref.com/en/squads/e9d60d0c/2024/Sirius-Stats" TargetMode="External"/><Relationship Id="rId769" Type="http://schemas.openxmlformats.org/officeDocument/2006/relationships/hyperlink" Target="https://fbref.com/en/players/aec890b7/matchlogs/2024/summary/Axel-Henriksson-Match-Logs" TargetMode="External"/><Relationship Id="rId768" Type="http://schemas.openxmlformats.org/officeDocument/2006/relationships/hyperlink" Target="https://fbref.com/en/squads/7c2d1adb/2024/GAIS-Stat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f9496774/Alexander-Abrahamsson" TargetMode="External"/><Relationship Id="rId28" Type="http://schemas.openxmlformats.org/officeDocument/2006/relationships/hyperlink" Target="https://fbref.com/en/players/f9496774/matchlogs/2024/summary/Alexander-Abrahamsson-Match-Logs" TargetMode="External"/><Relationship Id="rId1350" Type="http://schemas.openxmlformats.org/officeDocument/2006/relationships/hyperlink" Target="https://fbref.com/en/players/36a79857/matchlogs/2024/summary/Tokmac-Nguen-Match-Logs" TargetMode="External"/><Relationship Id="rId27" Type="http://schemas.openxmlformats.org/officeDocument/2006/relationships/hyperlink" Target="https://fbref.com/en/squads/bb9e11b2/2024/Brommapojkarna-Stats" TargetMode="External"/><Relationship Id="rId1351" Type="http://schemas.openxmlformats.org/officeDocument/2006/relationships/hyperlink" Target="https://fbref.com/en/players/bff104a0/Alexander-Nielsen" TargetMode="External"/><Relationship Id="rId763" Type="http://schemas.openxmlformats.org/officeDocument/2006/relationships/hyperlink" Target="https://fbref.com/en/country/SWE/Sweden-Football" TargetMode="External"/><Relationship Id="rId1352" Type="http://schemas.openxmlformats.org/officeDocument/2006/relationships/hyperlink" Target="https://fbref.com/en/country/SWE/Sweden-Football" TargetMode="External"/><Relationship Id="rId29" Type="http://schemas.openxmlformats.org/officeDocument/2006/relationships/hyperlink" Target="https://fbref.com/en/players/40e57039/Peter-Abrahamsson" TargetMode="External"/><Relationship Id="rId762" Type="http://schemas.openxmlformats.org/officeDocument/2006/relationships/hyperlink" Target="https://fbref.com/en/players/80b597fd/Melker-Heier" TargetMode="External"/><Relationship Id="rId1353" Type="http://schemas.openxmlformats.org/officeDocument/2006/relationships/hyperlink" Target="https://fbref.com/en/squads/17366e53/2024/Halmstad-Stats" TargetMode="External"/><Relationship Id="rId761" Type="http://schemas.openxmlformats.org/officeDocument/2006/relationships/hyperlink" Target="https://fbref.com/en/players/834fea76/matchlogs/2024/summary/Torbjorn-Heggem-Match-Logs" TargetMode="External"/><Relationship Id="rId1354" Type="http://schemas.openxmlformats.org/officeDocument/2006/relationships/hyperlink" Target="https://fbref.com/en/players/bff104a0/matchlogs/2024/summary/Alexander-Nielsen-Match-Logs" TargetMode="External"/><Relationship Id="rId760" Type="http://schemas.openxmlformats.org/officeDocument/2006/relationships/hyperlink" Target="https://fbref.com/en/squads/bb9e11b2/2024/Brommapojkarna-Stats" TargetMode="External"/><Relationship Id="rId1355" Type="http://schemas.openxmlformats.org/officeDocument/2006/relationships/hyperlink" Target="https://fbref.com/en/players/75d3e825/Jimi-Dos-Reis-Nikko" TargetMode="External"/><Relationship Id="rId1345" Type="http://schemas.openxmlformats.org/officeDocument/2006/relationships/hyperlink" Target="https://fbref.com/en/squads/b1a7a7b9/2024/Mjallby-Stats" TargetMode="External"/><Relationship Id="rId1346" Type="http://schemas.openxmlformats.org/officeDocument/2006/relationships/hyperlink" Target="https://fbref.com/en/players/cfa59b1d/matchlogs/2024/summary/Kimmen-Nennesson-Match-Logs" TargetMode="External"/><Relationship Id="rId1347" Type="http://schemas.openxmlformats.org/officeDocument/2006/relationships/hyperlink" Target="https://fbref.com/en/players/36a79857/Tokmac-Nguen" TargetMode="External"/><Relationship Id="rId1348" Type="http://schemas.openxmlformats.org/officeDocument/2006/relationships/hyperlink" Target="https://fbref.com/en/country/NOR/Norway-Football" TargetMode="External"/><Relationship Id="rId11" Type="http://schemas.openxmlformats.org/officeDocument/2006/relationships/hyperlink" Target="https://fbref.com/en/squads/50e85bfc/2024/Elfsborg-Stats" TargetMode="External"/><Relationship Id="rId1349" Type="http://schemas.openxmlformats.org/officeDocument/2006/relationships/hyperlink" Target="https://fbref.com/en/squads/9423c05a/2024/Djurgarden-Stats" TargetMode="External"/><Relationship Id="rId10" Type="http://schemas.openxmlformats.org/officeDocument/2006/relationships/hyperlink" Target="https://fbref.com/en/country/GHA/Ghana-Football" TargetMode="External"/><Relationship Id="rId13" Type="http://schemas.openxmlformats.org/officeDocument/2006/relationships/hyperlink" Target="https://fbref.com/en/players/abf0cad0/Suleiman-Abdullahi" TargetMode="External"/><Relationship Id="rId12" Type="http://schemas.openxmlformats.org/officeDocument/2006/relationships/hyperlink" Target="https://fbref.com/en/players/44e4dfab/matchlogs/2024/summary/Jalal-Abdulai-Match-Logs" TargetMode="External"/><Relationship Id="rId756" Type="http://schemas.openxmlformats.org/officeDocument/2006/relationships/hyperlink" Target="https://fbref.com/en/squads/50e85bfc/2024/Elfsborg-Stats" TargetMode="External"/><Relationship Id="rId755" Type="http://schemas.openxmlformats.org/officeDocument/2006/relationships/hyperlink" Target="https://fbref.com/en/country/SWE/Sweden-Football" TargetMode="External"/><Relationship Id="rId754" Type="http://schemas.openxmlformats.org/officeDocument/2006/relationships/hyperlink" Target="https://fbref.com/en/players/5e167a35/Simon-Hedlund" TargetMode="External"/><Relationship Id="rId753" Type="http://schemas.openxmlformats.org/officeDocument/2006/relationships/hyperlink" Target="https://fbref.com/en/players/c14ee243/matchlogs/2024/summary/Lucas-Hedlund-Match-Logs" TargetMode="External"/><Relationship Id="rId759" Type="http://schemas.openxmlformats.org/officeDocument/2006/relationships/hyperlink" Target="https://fbref.com/en/country/NOR/Norway-Football" TargetMode="External"/><Relationship Id="rId758" Type="http://schemas.openxmlformats.org/officeDocument/2006/relationships/hyperlink" Target="https://fbref.com/en/players/834fea76/Torbjorn-Heggem" TargetMode="External"/><Relationship Id="rId757" Type="http://schemas.openxmlformats.org/officeDocument/2006/relationships/hyperlink" Target="https://fbref.com/en/players/5e167a35/matchlogs/2024/summary/Simon-Hedlund-Match-Logs" TargetMode="External"/><Relationship Id="rId15" Type="http://schemas.openxmlformats.org/officeDocument/2006/relationships/hyperlink" Target="https://fbref.com/en/squads/ef1ab26a/2024/Goteborg-Stats" TargetMode="External"/><Relationship Id="rId14" Type="http://schemas.openxmlformats.org/officeDocument/2006/relationships/hyperlink" Target="https://fbref.com/en/country/NGA/Nigeria-Football" TargetMode="External"/><Relationship Id="rId17" Type="http://schemas.openxmlformats.org/officeDocument/2006/relationships/hyperlink" Target="https://fbref.com/en/players/24c66967/Joackim-Aberg" TargetMode="External"/><Relationship Id="rId16" Type="http://schemas.openxmlformats.org/officeDocument/2006/relationships/hyperlink" Target="https://fbref.com/en/players/abf0cad0/matchlogs/2024/summary/Suleiman-Abdullahi-Match-Logs" TargetMode="External"/><Relationship Id="rId1340" Type="http://schemas.openxmlformats.org/officeDocument/2006/relationships/hyperlink" Target="https://fbref.com/en/players/e63e519f/Rasmus-Nehrman" TargetMode="External"/><Relationship Id="rId19" Type="http://schemas.openxmlformats.org/officeDocument/2006/relationships/hyperlink" Target="https://fbref.com/en/squads/7c2d1adb/2024/GAIS-Stats" TargetMode="External"/><Relationship Id="rId752" Type="http://schemas.openxmlformats.org/officeDocument/2006/relationships/hyperlink" Target="https://fbref.com/en/squads/7c2d1adb/2024/GAIS-Stats" TargetMode="External"/><Relationship Id="rId1341" Type="http://schemas.openxmlformats.org/officeDocument/2006/relationships/hyperlink" Target="https://fbref.com/en/squads/9423c05a/2024/Djurgarden-Stats" TargetMode="External"/><Relationship Id="rId18" Type="http://schemas.openxmlformats.org/officeDocument/2006/relationships/hyperlink" Target="https://fbref.com/en/country/SWE/Sweden-Football" TargetMode="External"/><Relationship Id="rId751" Type="http://schemas.openxmlformats.org/officeDocument/2006/relationships/hyperlink" Target="https://fbref.com/en/country/SWE/Sweden-Football" TargetMode="External"/><Relationship Id="rId1342" Type="http://schemas.openxmlformats.org/officeDocument/2006/relationships/hyperlink" Target="https://fbref.com/en/players/e63e519f/matchlogs/2024/summary/Rasmus-Nehrman-Match-Logs" TargetMode="External"/><Relationship Id="rId750" Type="http://schemas.openxmlformats.org/officeDocument/2006/relationships/hyperlink" Target="https://fbref.com/en/players/c14ee243/Lucas-Hedlund" TargetMode="External"/><Relationship Id="rId1343" Type="http://schemas.openxmlformats.org/officeDocument/2006/relationships/hyperlink" Target="https://fbref.com/en/players/cfa59b1d/Kimmen-Nennesson" TargetMode="External"/><Relationship Id="rId1344" Type="http://schemas.openxmlformats.org/officeDocument/2006/relationships/hyperlink" Target="https://fbref.com/en/country/SWE/Sweden-Football" TargetMode="External"/><Relationship Id="rId84" Type="http://schemas.openxmlformats.org/officeDocument/2006/relationships/hyperlink" Target="https://fbref.com/en/players/96a7a831/Ake-Andersson" TargetMode="External"/><Relationship Id="rId1774" Type="http://schemas.openxmlformats.org/officeDocument/2006/relationships/hyperlink" Target="https://fbref.com/en/players/6fb7edd3/Timo-Stavitski" TargetMode="External"/><Relationship Id="rId83" Type="http://schemas.openxmlformats.org/officeDocument/2006/relationships/hyperlink" Target="https://fbref.com/en/players/8fd85f11/matchlogs/2024/summary/Isak-Andersen-Match-Logs" TargetMode="External"/><Relationship Id="rId1775" Type="http://schemas.openxmlformats.org/officeDocument/2006/relationships/hyperlink" Target="https://fbref.com/en/country/FIN/Finland-Football" TargetMode="External"/><Relationship Id="rId86" Type="http://schemas.openxmlformats.org/officeDocument/2006/relationships/hyperlink" Target="https://fbref.com/en/squads/1d0836d6/2024/Norrkoping-Stats" TargetMode="External"/><Relationship Id="rId1776" Type="http://schemas.openxmlformats.org/officeDocument/2006/relationships/hyperlink" Target="https://fbref.com/en/squads/b1a7a7b9/2024/Mjallby-Stats" TargetMode="External"/><Relationship Id="rId85" Type="http://schemas.openxmlformats.org/officeDocument/2006/relationships/hyperlink" Target="https://fbref.com/en/country/SWE/Sweden-Football" TargetMode="External"/><Relationship Id="rId1777" Type="http://schemas.openxmlformats.org/officeDocument/2006/relationships/hyperlink" Target="https://fbref.com/en/players/6fb7edd3/matchlogs/2024/summary/Timo-Stavitski-Match-Logs" TargetMode="External"/><Relationship Id="rId88" Type="http://schemas.openxmlformats.org/officeDocument/2006/relationships/hyperlink" Target="https://fbref.com/en/players/1771aa56/David-Andersson" TargetMode="External"/><Relationship Id="rId1778" Type="http://schemas.openxmlformats.org/officeDocument/2006/relationships/hyperlink" Target="https://fbref.com/en/players/ebf64b84/Michael-Steinwender" TargetMode="External"/><Relationship Id="rId87" Type="http://schemas.openxmlformats.org/officeDocument/2006/relationships/hyperlink" Target="https://fbref.com/en/players/96a7a831/matchlogs/2024/summary/Ake-Andersson-Match-Logs" TargetMode="External"/><Relationship Id="rId1779" Type="http://schemas.openxmlformats.org/officeDocument/2006/relationships/hyperlink" Target="https://fbref.com/en/country/AUT/Austria-Football" TargetMode="External"/><Relationship Id="rId89" Type="http://schemas.openxmlformats.org/officeDocument/2006/relationships/hyperlink" Target="https://fbref.com/en/country/SWE/Sweden-Football" TargetMode="External"/><Relationship Id="rId709" Type="http://schemas.openxmlformats.org/officeDocument/2006/relationships/hyperlink" Target="https://fbref.com/en/players/4117e3f3/matchlogs/2024/summary/Warner-Hahn-Match-Logs" TargetMode="External"/><Relationship Id="rId708" Type="http://schemas.openxmlformats.org/officeDocument/2006/relationships/hyperlink" Target="https://fbref.com/en/squads/92bfd7f0/2024/Hammarby-Stats" TargetMode="External"/><Relationship Id="rId707" Type="http://schemas.openxmlformats.org/officeDocument/2006/relationships/hyperlink" Target="https://fbref.com/en/country/SUR/Suriname-Football" TargetMode="External"/><Relationship Id="rId706" Type="http://schemas.openxmlformats.org/officeDocument/2006/relationships/hyperlink" Target="https://fbref.com/en/players/4117e3f3/Warner-Hahn" TargetMode="External"/><Relationship Id="rId80" Type="http://schemas.openxmlformats.org/officeDocument/2006/relationships/hyperlink" Target="https://fbref.com/en/players/9f65be73/matchlogs/2024/summary/Amir-Al-Ammari-Match-Logs" TargetMode="External"/><Relationship Id="rId82" Type="http://schemas.openxmlformats.org/officeDocument/2006/relationships/hyperlink" Target="https://fbref.com/en/squads/b1a7a7b9/2024/Mjallby-Stats" TargetMode="External"/><Relationship Id="rId81" Type="http://schemas.openxmlformats.org/officeDocument/2006/relationships/hyperlink" Target="https://fbref.com/en/players/8fd85f11/Isak-Andersen" TargetMode="External"/><Relationship Id="rId701" Type="http://schemas.openxmlformats.org/officeDocument/2006/relationships/hyperlink" Target="https://fbref.com/en/players/2e18f55b/matchlogs/2024/summary/Santeri-Haarala-Match-Logs" TargetMode="External"/><Relationship Id="rId700" Type="http://schemas.openxmlformats.org/officeDocument/2006/relationships/hyperlink" Target="https://fbref.com/en/squads/9423c05a/2024/Djurgarden-Stats" TargetMode="External"/><Relationship Id="rId705" Type="http://schemas.openxmlformats.org/officeDocument/2006/relationships/hyperlink" Target="https://fbref.com/en/players/0e014062/matchlogs/2024/summary/Lucas-Hagg-Johansson-Match-Logs" TargetMode="External"/><Relationship Id="rId704" Type="http://schemas.openxmlformats.org/officeDocument/2006/relationships/hyperlink" Target="https://fbref.com/en/squads/bb9e11b2/2024/Brommapojkarna-Stats" TargetMode="External"/><Relationship Id="rId703" Type="http://schemas.openxmlformats.org/officeDocument/2006/relationships/hyperlink" Target="https://fbref.com/en/country/SWE/Sweden-Football" TargetMode="External"/><Relationship Id="rId702" Type="http://schemas.openxmlformats.org/officeDocument/2006/relationships/hyperlink" Target="https://fbref.com/en/players/0e014062/Lucas-Hagg-Johansson" TargetMode="External"/><Relationship Id="rId1770" Type="http://schemas.openxmlformats.org/officeDocument/2006/relationships/hyperlink" Target="https://fbref.com/en/players/840207c9/Adam-Stahl" TargetMode="External"/><Relationship Id="rId1771" Type="http://schemas.openxmlformats.org/officeDocument/2006/relationships/hyperlink" Target="https://fbref.com/en/country/FIN/Finland-Football" TargetMode="External"/><Relationship Id="rId1772" Type="http://schemas.openxmlformats.org/officeDocument/2006/relationships/hyperlink" Target="https://fbref.com/en/squads/b1a7a7b9/2024/Mjallby-Stats" TargetMode="External"/><Relationship Id="rId1773" Type="http://schemas.openxmlformats.org/officeDocument/2006/relationships/hyperlink" Target="https://fbref.com/en/players/840207c9/matchlogs/2024/summary/Adam-Stahl-Match-Logs" TargetMode="External"/><Relationship Id="rId73" Type="http://schemas.openxmlformats.org/officeDocument/2006/relationships/hyperlink" Target="https://fbref.com/en/players/09522a17/Chovanie-Amatkarijo" TargetMode="External"/><Relationship Id="rId1763" Type="http://schemas.openxmlformats.org/officeDocument/2006/relationships/hyperlink" Target="https://fbref.com/en/country/SWE/Sweden-Football" TargetMode="External"/><Relationship Id="rId72" Type="http://schemas.openxmlformats.org/officeDocument/2006/relationships/hyperlink" Target="https://fbref.com/en/players/e134b9f9/matchlogs/2024/summary/Romeo-Amane-Match-Logs" TargetMode="External"/><Relationship Id="rId1764" Type="http://schemas.openxmlformats.org/officeDocument/2006/relationships/hyperlink" Target="https://fbref.com/en/squads/1d0836d6/2024/Norrkoping-Stats" TargetMode="External"/><Relationship Id="rId75" Type="http://schemas.openxmlformats.org/officeDocument/2006/relationships/hyperlink" Target="https://fbref.com/en/squads/7c2d1adb/2024/GAIS-Stats" TargetMode="External"/><Relationship Id="rId1765" Type="http://schemas.openxmlformats.org/officeDocument/2006/relationships/hyperlink" Target="https://fbref.com/en/players/d457def7/matchlogs/2024/summary/Isak-Ssewankambo-Match-Logs" TargetMode="External"/><Relationship Id="rId74" Type="http://schemas.openxmlformats.org/officeDocument/2006/relationships/hyperlink" Target="https://fbref.com/en/country/SMA/Sint-Maarten-Football" TargetMode="External"/><Relationship Id="rId1766" Type="http://schemas.openxmlformats.org/officeDocument/2006/relationships/hyperlink" Target="https://fbref.com/en/players/840207c9/Adam-Stahl" TargetMode="External"/><Relationship Id="rId77" Type="http://schemas.openxmlformats.org/officeDocument/2006/relationships/hyperlink" Target="https://fbref.com/en/players/9f65be73/Amir-Al-Ammari" TargetMode="External"/><Relationship Id="rId1767" Type="http://schemas.openxmlformats.org/officeDocument/2006/relationships/hyperlink" Target="https://fbref.com/en/country/FIN/Finland-Football" TargetMode="External"/><Relationship Id="rId76" Type="http://schemas.openxmlformats.org/officeDocument/2006/relationships/hyperlink" Target="https://fbref.com/en/players/09522a17/matchlogs/2024/summary/Chovanie-Amatkarijo-Match-Logs" TargetMode="External"/><Relationship Id="rId1768" Type="http://schemas.openxmlformats.org/officeDocument/2006/relationships/hyperlink" Target="https://fbref.com/en/squads/9423c05a/2024/Djurgarden-Stats" TargetMode="External"/><Relationship Id="rId79" Type="http://schemas.openxmlformats.org/officeDocument/2006/relationships/hyperlink" Target="https://fbref.com/en/squads/17366e53/2024/Halmstad-Stats" TargetMode="External"/><Relationship Id="rId1769" Type="http://schemas.openxmlformats.org/officeDocument/2006/relationships/hyperlink" Target="https://fbref.com/en/players/840207c9/matchlogs/2024/summary/Adam-Stahl-Match-Logs" TargetMode="External"/><Relationship Id="rId78" Type="http://schemas.openxmlformats.org/officeDocument/2006/relationships/hyperlink" Target="https://fbref.com/en/country/IRQ/Iraq-Football" TargetMode="External"/><Relationship Id="rId71" Type="http://schemas.openxmlformats.org/officeDocument/2006/relationships/hyperlink" Target="https://fbref.com/en/squads/8774e267/2024/BK-Hacken-Stats" TargetMode="External"/><Relationship Id="rId70" Type="http://schemas.openxmlformats.org/officeDocument/2006/relationships/hyperlink" Target="https://fbref.com/en/country/CIV/Cote-dIvoire-Football" TargetMode="External"/><Relationship Id="rId1760" Type="http://schemas.openxmlformats.org/officeDocument/2006/relationships/hyperlink" Target="https://fbref.com/en/squads/1d0836d6/2024/Norrkoping-Stats" TargetMode="External"/><Relationship Id="rId1761" Type="http://schemas.openxmlformats.org/officeDocument/2006/relationships/hyperlink" Target="https://fbref.com/en/players/774dc73f/matchlogs/2024/summary/Amadeus-Sogaard-Match-Logs" TargetMode="External"/><Relationship Id="rId1762" Type="http://schemas.openxmlformats.org/officeDocument/2006/relationships/hyperlink" Target="https://fbref.com/en/players/d457def7/Isak-Ssewankambo" TargetMode="External"/><Relationship Id="rId62" Type="http://schemas.openxmlformats.org/officeDocument/2006/relationships/hyperlink" Target="https://fbref.com/en/country/SWE/Sweden-Football" TargetMode="External"/><Relationship Id="rId1312" Type="http://schemas.openxmlformats.org/officeDocument/2006/relationships/hyperlink" Target="https://fbref.com/en/players/276274e4/Arash-Motaragheb-Jafarpour" TargetMode="External"/><Relationship Id="rId1796" Type="http://schemas.openxmlformats.org/officeDocument/2006/relationships/hyperlink" Target="https://fbref.com/en/squads/92bfd7f0/2024/Hammarby-Stats" TargetMode="External"/><Relationship Id="rId61" Type="http://schemas.openxmlformats.org/officeDocument/2006/relationships/hyperlink" Target="https://fbref.com/en/players/097e650b/Joel-Allansson" TargetMode="External"/><Relationship Id="rId1313" Type="http://schemas.openxmlformats.org/officeDocument/2006/relationships/hyperlink" Target="https://fbref.com/en/country/SWE/Sweden-Football" TargetMode="External"/><Relationship Id="rId1797" Type="http://schemas.openxmlformats.org/officeDocument/2006/relationships/hyperlink" Target="https://fbref.com/en/players/2df964cf/matchlogs/2024/summary/Simon-Strand-Match-Logs" TargetMode="External"/><Relationship Id="rId64" Type="http://schemas.openxmlformats.org/officeDocument/2006/relationships/hyperlink" Target="https://fbref.com/en/players/097e650b/matchlogs/2024/summary/Joel-Allansson-Match-Logs" TargetMode="External"/><Relationship Id="rId1314" Type="http://schemas.openxmlformats.org/officeDocument/2006/relationships/hyperlink" Target="https://fbref.com/en/squads/9f13771c/2024/Kalmar-Stats" TargetMode="External"/><Relationship Id="rId1798" Type="http://schemas.openxmlformats.org/officeDocument/2006/relationships/hyperlink" Target="https://fbref.com/en/players/ff11bdec/Elliot-Stroud" TargetMode="External"/><Relationship Id="rId63" Type="http://schemas.openxmlformats.org/officeDocument/2006/relationships/hyperlink" Target="https://fbref.com/en/squads/17366e53/2024/Halmstad-Stats" TargetMode="External"/><Relationship Id="rId1315" Type="http://schemas.openxmlformats.org/officeDocument/2006/relationships/hyperlink" Target="https://fbref.com/en/players/276274e4/matchlogs/2024/summary/Arash-Motaragheb-Jafarpour-Match-Logs" TargetMode="External"/><Relationship Id="rId1799" Type="http://schemas.openxmlformats.org/officeDocument/2006/relationships/hyperlink" Target="https://fbref.com/en/country/SWE/Sweden-Football" TargetMode="External"/><Relationship Id="rId66" Type="http://schemas.openxmlformats.org/officeDocument/2006/relationships/hyperlink" Target="https://fbref.com/en/country/IRQ/Iraq-Football" TargetMode="External"/><Relationship Id="rId1316" Type="http://schemas.openxmlformats.org/officeDocument/2006/relationships/hyperlink" Target="https://fbref.com/en/players/927eecf9/Fabian-Mrozek" TargetMode="External"/><Relationship Id="rId65" Type="http://schemas.openxmlformats.org/officeDocument/2006/relationships/hyperlink" Target="https://fbref.com/en/players/b1bff3da/Andre-Alsanati" TargetMode="External"/><Relationship Id="rId1317" Type="http://schemas.openxmlformats.org/officeDocument/2006/relationships/hyperlink" Target="https://fbref.com/en/country/POL/Poland-Football" TargetMode="External"/><Relationship Id="rId68" Type="http://schemas.openxmlformats.org/officeDocument/2006/relationships/hyperlink" Target="https://fbref.com/en/players/b1bff3da/matchlogs/2024/summary/Andre-Alsanati-Match-Logs" TargetMode="External"/><Relationship Id="rId1318" Type="http://schemas.openxmlformats.org/officeDocument/2006/relationships/hyperlink" Target="https://fbref.com/en/squads/bb9e11b2/2024/Brommapojkarna-Stats" TargetMode="External"/><Relationship Id="rId67" Type="http://schemas.openxmlformats.org/officeDocument/2006/relationships/hyperlink" Target="https://fbref.com/en/squads/e9d60d0c/2024/Sirius-Stats" TargetMode="External"/><Relationship Id="rId1319" Type="http://schemas.openxmlformats.org/officeDocument/2006/relationships/hyperlink" Target="https://fbref.com/en/players/927eecf9/matchlogs/2024/summary/Fabian-Mrozek-Match-Logs" TargetMode="External"/><Relationship Id="rId729" Type="http://schemas.openxmlformats.org/officeDocument/2006/relationships/hyperlink" Target="https://fbref.com/en/players/78eac916/matchlogs/2024/summary/Fredrik-Hammer-Match-Logs" TargetMode="External"/><Relationship Id="rId728" Type="http://schemas.openxmlformats.org/officeDocument/2006/relationships/hyperlink" Target="https://fbref.com/en/squads/92bfd7f0/2024/Hammarby-Stats" TargetMode="External"/><Relationship Id="rId60" Type="http://schemas.openxmlformats.org/officeDocument/2006/relationships/hyperlink" Target="https://fbref.com/en/players/12ab9e4c/matchlogs/2024/summary/Abdihakin-Ali-Match-Logs" TargetMode="External"/><Relationship Id="rId723" Type="http://schemas.openxmlformats.org/officeDocument/2006/relationships/hyperlink" Target="https://fbref.com/en/country/SWE/Sweden-Football" TargetMode="External"/><Relationship Id="rId722" Type="http://schemas.openxmlformats.org/officeDocument/2006/relationships/hyperlink" Target="https://fbref.com/en/players/9dc0fa97/Johan-Hammar" TargetMode="External"/><Relationship Id="rId721" Type="http://schemas.openxmlformats.org/officeDocument/2006/relationships/hyperlink" Target="https://fbref.com/en/players/5114ff8a/matchlogs/2024/summary/Melker-Hallberg-Match-Logs" TargetMode="External"/><Relationship Id="rId720" Type="http://schemas.openxmlformats.org/officeDocument/2006/relationships/hyperlink" Target="https://fbref.com/en/squads/9f13771c/2024/Kalmar-Stats" TargetMode="External"/><Relationship Id="rId727" Type="http://schemas.openxmlformats.org/officeDocument/2006/relationships/hyperlink" Target="https://fbref.com/en/country/SWE/Sweden-Football" TargetMode="External"/><Relationship Id="rId726" Type="http://schemas.openxmlformats.org/officeDocument/2006/relationships/hyperlink" Target="https://fbref.com/en/players/78eac916/Fredrik-Hammer" TargetMode="External"/><Relationship Id="rId725" Type="http://schemas.openxmlformats.org/officeDocument/2006/relationships/hyperlink" Target="https://fbref.com/en/players/9dc0fa97/matchlogs/2024/summary/Johan-Hammar-Match-Logs" TargetMode="External"/><Relationship Id="rId724" Type="http://schemas.openxmlformats.org/officeDocument/2006/relationships/hyperlink" Target="https://fbref.com/en/squads/8774e267/2024/BK-Hacken-Stats" TargetMode="External"/><Relationship Id="rId69" Type="http://schemas.openxmlformats.org/officeDocument/2006/relationships/hyperlink" Target="https://fbref.com/en/players/e134b9f9/Romeo-Amane" TargetMode="External"/><Relationship Id="rId1790" Type="http://schemas.openxmlformats.org/officeDocument/2006/relationships/hyperlink" Target="https://fbref.com/en/players/9872d20f/Aaron-Stoch-Rydell" TargetMode="External"/><Relationship Id="rId1791" Type="http://schemas.openxmlformats.org/officeDocument/2006/relationships/hyperlink" Target="https://fbref.com/en/country/SWE/Sweden-Football" TargetMode="External"/><Relationship Id="rId1792" Type="http://schemas.openxmlformats.org/officeDocument/2006/relationships/hyperlink" Target="https://fbref.com/en/squads/b0333581/2024/AIK-Stockholm-Stats" TargetMode="External"/><Relationship Id="rId1793" Type="http://schemas.openxmlformats.org/officeDocument/2006/relationships/hyperlink" Target="https://fbref.com/en/players/9872d20f/matchlogs/2024/summary/Aaron-Stoch-Rydell-Match-Logs" TargetMode="External"/><Relationship Id="rId1310" Type="http://schemas.openxmlformats.org/officeDocument/2006/relationships/hyperlink" Target="https://fbref.com/en/squads/f3d8c8b9/2024/Malmo-Stats" TargetMode="External"/><Relationship Id="rId1794" Type="http://schemas.openxmlformats.org/officeDocument/2006/relationships/hyperlink" Target="https://fbref.com/en/players/2df964cf/Simon-Strand" TargetMode="External"/><Relationship Id="rId1311" Type="http://schemas.openxmlformats.org/officeDocument/2006/relationships/hyperlink" Target="https://fbref.com/en/players/00844823/matchlogs/2024/summary/Niklas-Moisander-Match-Logs" TargetMode="External"/><Relationship Id="rId1795" Type="http://schemas.openxmlformats.org/officeDocument/2006/relationships/hyperlink" Target="https://fbref.com/en/country/SWE/Sweden-Football" TargetMode="External"/><Relationship Id="rId51" Type="http://schemas.openxmlformats.org/officeDocument/2006/relationships/hyperlink" Target="https://fbref.com/en/squads/a8481ab9/2024/Vasteras-Stats" TargetMode="External"/><Relationship Id="rId1301" Type="http://schemas.openxmlformats.org/officeDocument/2006/relationships/hyperlink" Target="https://fbref.com/en/country/ANG/Angola-Football" TargetMode="External"/><Relationship Id="rId1785" Type="http://schemas.openxmlformats.org/officeDocument/2006/relationships/hyperlink" Target="https://fbref.com/en/players/89baf4bf/matchlogs/2024/summary/Daniel-Stensson-Match-Logs" TargetMode="External"/><Relationship Id="rId50" Type="http://schemas.openxmlformats.org/officeDocument/2006/relationships/hyperlink" Target="https://fbref.com/en/country/BEN/Benin-Football" TargetMode="External"/><Relationship Id="rId1302" Type="http://schemas.openxmlformats.org/officeDocument/2006/relationships/hyperlink" Target="https://fbref.com/en/squads/b0333581/2024/AIK-Stockholm-Stats" TargetMode="External"/><Relationship Id="rId1786" Type="http://schemas.openxmlformats.org/officeDocument/2006/relationships/hyperlink" Target="https://fbref.com/en/players/89baf4bf/Daniel-Stensson" TargetMode="External"/><Relationship Id="rId53" Type="http://schemas.openxmlformats.org/officeDocument/2006/relationships/hyperlink" Target="https://fbref.com/en/players/4469ea11/Albin-Ahlstrand" TargetMode="External"/><Relationship Id="rId1303" Type="http://schemas.openxmlformats.org/officeDocument/2006/relationships/hyperlink" Target="https://fbref.com/en/players/4f9c2d8c/matchlogs/2024/summary/Rui-Modesto-Match-Logs" TargetMode="External"/><Relationship Id="rId1787" Type="http://schemas.openxmlformats.org/officeDocument/2006/relationships/hyperlink" Target="https://fbref.com/en/country/SWE/Sweden-Football" TargetMode="External"/><Relationship Id="rId52" Type="http://schemas.openxmlformats.org/officeDocument/2006/relationships/hyperlink" Target="https://fbref.com/en/players/5ea9ebd4/matchlogs/2024/summary/Matteo-Ahlinvi-Match-Logs" TargetMode="External"/><Relationship Id="rId1304" Type="http://schemas.openxmlformats.org/officeDocument/2006/relationships/hyperlink" Target="https://fbref.com/en/players/5932da1b/Naeem-Mohammed" TargetMode="External"/><Relationship Id="rId1788" Type="http://schemas.openxmlformats.org/officeDocument/2006/relationships/hyperlink" Target="https://fbref.com/en/squads/9423c05a/2024/Djurgarden-Stats" TargetMode="External"/><Relationship Id="rId55" Type="http://schemas.openxmlformats.org/officeDocument/2006/relationships/hyperlink" Target="https://fbref.com/en/squads/17366e53/2024/Halmstad-Stats" TargetMode="External"/><Relationship Id="rId1305" Type="http://schemas.openxmlformats.org/officeDocument/2006/relationships/hyperlink" Target="https://fbref.com/en/country/GHA/Ghana-Football" TargetMode="External"/><Relationship Id="rId1789" Type="http://schemas.openxmlformats.org/officeDocument/2006/relationships/hyperlink" Target="https://fbref.com/en/players/89baf4bf/matchlogs/2024/summary/Daniel-Stensson-Match-Logs" TargetMode="External"/><Relationship Id="rId54" Type="http://schemas.openxmlformats.org/officeDocument/2006/relationships/hyperlink" Target="https://fbref.com/en/country/SWE/Sweden-Football" TargetMode="External"/><Relationship Id="rId1306" Type="http://schemas.openxmlformats.org/officeDocument/2006/relationships/hyperlink" Target="https://fbref.com/en/squads/17366e53/2024/Halmstad-Stats" TargetMode="External"/><Relationship Id="rId57" Type="http://schemas.openxmlformats.org/officeDocument/2006/relationships/hyperlink" Target="https://fbref.com/en/players/12ab9e4c/Abdihakin-Ali" TargetMode="External"/><Relationship Id="rId1307" Type="http://schemas.openxmlformats.org/officeDocument/2006/relationships/hyperlink" Target="https://fbref.com/en/players/5932da1b/matchlogs/2024/summary/Naeem-Mohammed-Match-Logs" TargetMode="External"/><Relationship Id="rId56" Type="http://schemas.openxmlformats.org/officeDocument/2006/relationships/hyperlink" Target="https://fbref.com/en/players/4469ea11/matchlogs/2024/summary/Albin-Ahlstrand-Match-Logs" TargetMode="External"/><Relationship Id="rId1308" Type="http://schemas.openxmlformats.org/officeDocument/2006/relationships/hyperlink" Target="https://fbref.com/en/players/00844823/Niklas-Moisander" TargetMode="External"/><Relationship Id="rId1309" Type="http://schemas.openxmlformats.org/officeDocument/2006/relationships/hyperlink" Target="https://fbref.com/en/country/FIN/Finland-Football" TargetMode="External"/><Relationship Id="rId719" Type="http://schemas.openxmlformats.org/officeDocument/2006/relationships/hyperlink" Target="https://fbref.com/en/country/SWE/Sweden-Football" TargetMode="External"/><Relationship Id="rId718" Type="http://schemas.openxmlformats.org/officeDocument/2006/relationships/hyperlink" Target="https://fbref.com/en/players/5114ff8a/Melker-Hallberg" TargetMode="External"/><Relationship Id="rId717" Type="http://schemas.openxmlformats.org/officeDocument/2006/relationships/hyperlink" Target="https://fbref.com/en/players/475726eb/matchlogs/2024/summary/Alex-Hall-Match-Logs" TargetMode="External"/><Relationship Id="rId712" Type="http://schemas.openxmlformats.org/officeDocument/2006/relationships/hyperlink" Target="https://fbref.com/en/squads/f3d8c8b9/2024/Malmo-Stats" TargetMode="External"/><Relationship Id="rId711" Type="http://schemas.openxmlformats.org/officeDocument/2006/relationships/hyperlink" Target="https://fbref.com/en/country/MNE/Montenegro-Football" TargetMode="External"/><Relationship Id="rId710" Type="http://schemas.openxmlformats.org/officeDocument/2006/relationships/hyperlink" Target="https://fbref.com/en/players/d2fd7c14/Sead-Haksabanovic" TargetMode="External"/><Relationship Id="rId716" Type="http://schemas.openxmlformats.org/officeDocument/2006/relationships/hyperlink" Target="https://fbref.com/en/squads/17366e53/2024/Halmstad-Stats" TargetMode="External"/><Relationship Id="rId715" Type="http://schemas.openxmlformats.org/officeDocument/2006/relationships/hyperlink" Target="https://fbref.com/en/country/SWE/Sweden-Football" TargetMode="External"/><Relationship Id="rId714" Type="http://schemas.openxmlformats.org/officeDocument/2006/relationships/hyperlink" Target="https://fbref.com/en/players/475726eb/Alex-Hall" TargetMode="External"/><Relationship Id="rId713" Type="http://schemas.openxmlformats.org/officeDocument/2006/relationships/hyperlink" Target="https://fbref.com/en/players/d2fd7c14/matchlogs/2024/summary/Sead-Haksabanovic-Match-Logs" TargetMode="External"/><Relationship Id="rId59" Type="http://schemas.openxmlformats.org/officeDocument/2006/relationships/hyperlink" Target="https://fbref.com/en/squads/b0333581/2024/AIK-Stockholm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squads/d048ed60/2024/Varnamo-Stats" TargetMode="External"/><Relationship Id="rId1781" Type="http://schemas.openxmlformats.org/officeDocument/2006/relationships/hyperlink" Target="https://fbref.com/en/players/ebf64b84/matchlogs/2024/summary/Michael-Steinwender-Match-Logs" TargetMode="External"/><Relationship Id="rId1782" Type="http://schemas.openxmlformats.org/officeDocument/2006/relationships/hyperlink" Target="https://fbref.com/en/players/89baf4bf/Daniel-Stensson" TargetMode="External"/><Relationship Id="rId1783" Type="http://schemas.openxmlformats.org/officeDocument/2006/relationships/hyperlink" Target="https://fbref.com/en/country/SWE/Sweden-Football" TargetMode="External"/><Relationship Id="rId1300" Type="http://schemas.openxmlformats.org/officeDocument/2006/relationships/hyperlink" Target="https://fbref.com/en/players/4f9c2d8c/Rui-Modesto" TargetMode="External"/><Relationship Id="rId1784" Type="http://schemas.openxmlformats.org/officeDocument/2006/relationships/hyperlink" Target="https://fbref.com/en/squads/e9d60d0c/2024/Sirius-Stats" TargetMode="External"/><Relationship Id="rId349" Type="http://schemas.openxmlformats.org/officeDocument/2006/relationships/hyperlink" Target="https://fbref.com/en/squads/8774e267/2024/BK-Hacken-Stats" TargetMode="External"/><Relationship Id="rId348" Type="http://schemas.openxmlformats.org/officeDocument/2006/relationships/hyperlink" Target="https://fbref.com/en/country/SWE/Sweden-Football" TargetMode="External"/><Relationship Id="rId347" Type="http://schemas.openxmlformats.org/officeDocument/2006/relationships/hyperlink" Target="https://fbref.com/en/players/d68e3575/Isak-Brusberg" TargetMode="External"/><Relationship Id="rId346" Type="http://schemas.openxmlformats.org/officeDocument/2006/relationships/hyperlink" Target="https://fbref.com/en/players/9f2989f4/matchlogs/2024/summary/Arvid-Brorsson-Match-Logs" TargetMode="External"/><Relationship Id="rId341" Type="http://schemas.openxmlformats.org/officeDocument/2006/relationships/hyperlink" Target="https://fbref.com/en/squads/9f13771c/2024/Kalmar-Stats" TargetMode="External"/><Relationship Id="rId340" Type="http://schemas.openxmlformats.org/officeDocument/2006/relationships/hyperlink" Target="https://fbref.com/en/country/SWE/Sweden-Football" TargetMode="External"/><Relationship Id="rId345" Type="http://schemas.openxmlformats.org/officeDocument/2006/relationships/hyperlink" Target="https://fbref.com/en/squads/b1a7a7b9/2024/Mjallby-Stats" TargetMode="External"/><Relationship Id="rId344" Type="http://schemas.openxmlformats.org/officeDocument/2006/relationships/hyperlink" Target="https://fbref.com/en/country/SWE/Sweden-Football" TargetMode="External"/><Relationship Id="rId343" Type="http://schemas.openxmlformats.org/officeDocument/2006/relationships/hyperlink" Target="https://fbref.com/en/players/9f2989f4/Arvid-Brorsson" TargetMode="External"/><Relationship Id="rId342" Type="http://schemas.openxmlformats.org/officeDocument/2006/relationships/hyperlink" Target="https://fbref.com/en/players/82fdcbec/matchlogs/2024/summary/Samuel-Brolin-Match-Logs" TargetMode="External"/><Relationship Id="rId338" Type="http://schemas.openxmlformats.org/officeDocument/2006/relationships/hyperlink" Target="https://fbref.com/en/players/804dc5ca/matchlogs/2024/summary/Ibrahima-Breze-Fofana-Match-Logs" TargetMode="External"/><Relationship Id="rId337" Type="http://schemas.openxmlformats.org/officeDocument/2006/relationships/hyperlink" Target="https://fbref.com/en/squads/92bfd7f0/2024/Hammarby-Stats" TargetMode="External"/><Relationship Id="rId336" Type="http://schemas.openxmlformats.org/officeDocument/2006/relationships/hyperlink" Target="https://fbref.com/en/country/GUI/Guinea-Football" TargetMode="External"/><Relationship Id="rId335" Type="http://schemas.openxmlformats.org/officeDocument/2006/relationships/hyperlink" Target="https://fbref.com/en/players/804dc5ca/Ibrahima-Breze-Fofana" TargetMode="External"/><Relationship Id="rId339" Type="http://schemas.openxmlformats.org/officeDocument/2006/relationships/hyperlink" Target="https://fbref.com/en/players/82fdcbec/Samuel-Brolin" TargetMode="External"/><Relationship Id="rId330" Type="http://schemas.openxmlformats.org/officeDocument/2006/relationships/hyperlink" Target="https://fbref.com/en/players/3906ff9b/matchlogs/2024/summary/Johan-Brattberg-Match-Logs" TargetMode="External"/><Relationship Id="rId334" Type="http://schemas.openxmlformats.org/officeDocument/2006/relationships/hyperlink" Target="https://fbref.com/en/players/cc4a7624/matchlogs/2024/summary/Lius-Braun-Match-Logs" TargetMode="External"/><Relationship Id="rId333" Type="http://schemas.openxmlformats.org/officeDocument/2006/relationships/hyperlink" Target="https://fbref.com/en/squads/9f13771c/2024/Kalmar-Stats" TargetMode="External"/><Relationship Id="rId332" Type="http://schemas.openxmlformats.org/officeDocument/2006/relationships/hyperlink" Target="https://fbref.com/en/country/SWE/Sweden-Football" TargetMode="External"/><Relationship Id="rId331" Type="http://schemas.openxmlformats.org/officeDocument/2006/relationships/hyperlink" Target="https://fbref.com/en/players/cc4a7624/Lius-Braun" TargetMode="External"/><Relationship Id="rId370" Type="http://schemas.openxmlformats.org/officeDocument/2006/relationships/hyperlink" Target="https://fbref.com/en/players/f357eb9b/matchlogs/2024/summary/Kenan-Busuladzic-Match-Logs" TargetMode="External"/><Relationship Id="rId369" Type="http://schemas.openxmlformats.org/officeDocument/2006/relationships/hyperlink" Target="https://fbref.com/en/squads/f3d8c8b9/2024/Malmo-Stats" TargetMode="External"/><Relationship Id="rId368" Type="http://schemas.openxmlformats.org/officeDocument/2006/relationships/hyperlink" Target="https://fbref.com/en/country/SWE/Sweden-Football" TargetMode="External"/><Relationship Id="rId363" Type="http://schemas.openxmlformats.org/officeDocument/2006/relationships/hyperlink" Target="https://fbref.com/en/players/20f3adc2/Marco-Bustos" TargetMode="External"/><Relationship Id="rId362" Type="http://schemas.openxmlformats.org/officeDocument/2006/relationships/hyperlink" Target="https://fbref.com/en/players/788c4780/matchlogs/2024/summary/Busanello-Match-Logs" TargetMode="External"/><Relationship Id="rId361" Type="http://schemas.openxmlformats.org/officeDocument/2006/relationships/hyperlink" Target="https://fbref.com/en/squads/f3d8c8b9/2024/Malmo-Stats" TargetMode="External"/><Relationship Id="rId360" Type="http://schemas.openxmlformats.org/officeDocument/2006/relationships/hyperlink" Target="https://fbref.com/en/country/BRA/Brazil-Football" TargetMode="External"/><Relationship Id="rId367" Type="http://schemas.openxmlformats.org/officeDocument/2006/relationships/hyperlink" Target="https://fbref.com/en/players/f357eb9b/Kenan-Busuladzic" TargetMode="External"/><Relationship Id="rId366" Type="http://schemas.openxmlformats.org/officeDocument/2006/relationships/hyperlink" Target="https://fbref.com/en/players/20f3adc2/matchlogs/2024/summary/Marco-Bustos-Match-Logs" TargetMode="External"/><Relationship Id="rId365" Type="http://schemas.openxmlformats.org/officeDocument/2006/relationships/hyperlink" Target="https://fbref.com/en/squads/d048ed60/2024/Varnamo-Stats" TargetMode="External"/><Relationship Id="rId364" Type="http://schemas.openxmlformats.org/officeDocument/2006/relationships/hyperlink" Target="https://fbref.com/en/country/CAN/Canada-Football" TargetMode="External"/><Relationship Id="rId95" Type="http://schemas.openxmlformats.org/officeDocument/2006/relationships/hyperlink" Target="https://fbref.com/en/players/4200fc70/matchlogs/2024/summary/Hugo-Andersson-Mella-Match-Logs" TargetMode="External"/><Relationship Id="rId94" Type="http://schemas.openxmlformats.org/officeDocument/2006/relationships/hyperlink" Target="https://fbref.com/en/squads/e9d60d0c/2024/Sirius-Stats" TargetMode="External"/><Relationship Id="rId97" Type="http://schemas.openxmlformats.org/officeDocument/2006/relationships/hyperlink" Target="https://fbref.com/en/country/SWE/Sweden-Football" TargetMode="External"/><Relationship Id="rId96" Type="http://schemas.openxmlformats.org/officeDocument/2006/relationships/hyperlink" Target="https://fbref.com/en/players/1cedf8d8/Victor-Andersson" TargetMode="External"/><Relationship Id="rId99" Type="http://schemas.openxmlformats.org/officeDocument/2006/relationships/hyperlink" Target="https://fbref.com/en/players/1cedf8d8/matchlogs/2024/summary/Victor-Andersson-Match-Logs" TargetMode="External"/><Relationship Id="rId98" Type="http://schemas.openxmlformats.org/officeDocument/2006/relationships/hyperlink" Target="https://fbref.com/en/squads/b0333581/2024/AIK-Stockholm-Stats" TargetMode="External"/><Relationship Id="rId91" Type="http://schemas.openxmlformats.org/officeDocument/2006/relationships/hyperlink" Target="https://fbref.com/en/players/1771aa56/matchlogs/2024/summary/David-Andersson-Match-Logs" TargetMode="External"/><Relationship Id="rId90" Type="http://schemas.openxmlformats.org/officeDocument/2006/relationships/hyperlink" Target="https://fbref.com/en/squads/1d0836d6/2024/Norrkoping-Stats" TargetMode="External"/><Relationship Id="rId93" Type="http://schemas.openxmlformats.org/officeDocument/2006/relationships/hyperlink" Target="https://fbref.com/en/country/SWE/Sweden-Football" TargetMode="External"/><Relationship Id="rId92" Type="http://schemas.openxmlformats.org/officeDocument/2006/relationships/hyperlink" Target="https://fbref.com/en/players/4200fc70/Hugo-Andersson-Mella" TargetMode="External"/><Relationship Id="rId359" Type="http://schemas.openxmlformats.org/officeDocument/2006/relationships/hyperlink" Target="https://fbref.com/en/players/788c4780/Busanello" TargetMode="External"/><Relationship Id="rId358" Type="http://schemas.openxmlformats.org/officeDocument/2006/relationships/hyperlink" Target="https://fbref.com/en/players/3fff0d98/matchlogs/2024/summary/Marcus-Bundgaard-Sorensen-Match-Logs" TargetMode="External"/><Relationship Id="rId357" Type="http://schemas.openxmlformats.org/officeDocument/2006/relationships/hyperlink" Target="https://fbref.com/en/squads/50e85bfc/2024/Elfsborg-Stats" TargetMode="External"/><Relationship Id="rId352" Type="http://schemas.openxmlformats.org/officeDocument/2006/relationships/hyperlink" Target="https://fbref.com/en/country/NGA/Nigeria-Football" TargetMode="External"/><Relationship Id="rId351" Type="http://schemas.openxmlformats.org/officeDocument/2006/relationships/hyperlink" Target="https://fbref.com/en/players/3c153795/Ibrahim-Buhari" TargetMode="External"/><Relationship Id="rId350" Type="http://schemas.openxmlformats.org/officeDocument/2006/relationships/hyperlink" Target="https://fbref.com/en/players/d68e3575/matchlogs/2024/summary/Isak-Brusberg-Match-Logs" TargetMode="External"/><Relationship Id="rId356" Type="http://schemas.openxmlformats.org/officeDocument/2006/relationships/hyperlink" Target="https://fbref.com/en/country/DEN/Denmark-Football" TargetMode="External"/><Relationship Id="rId355" Type="http://schemas.openxmlformats.org/officeDocument/2006/relationships/hyperlink" Target="https://fbref.com/en/players/3fff0d98/Marcus-Bundgaard-Sorensen" TargetMode="External"/><Relationship Id="rId354" Type="http://schemas.openxmlformats.org/officeDocument/2006/relationships/hyperlink" Target="https://fbref.com/en/players/3c153795/matchlogs/2024/summary/Ibrahim-Buhari-Match-Logs" TargetMode="External"/><Relationship Id="rId353" Type="http://schemas.openxmlformats.org/officeDocument/2006/relationships/hyperlink" Target="https://fbref.com/en/squads/50e85bfc/2024/Elfsborg-Stats" TargetMode="External"/><Relationship Id="rId1378" Type="http://schemas.openxmlformats.org/officeDocument/2006/relationships/hyperlink" Target="https://fbref.com/en/players/78549904/matchlogs/2024/summary/Kristoffer-Nordfeldt-Match-Logs" TargetMode="External"/><Relationship Id="rId1379" Type="http://schemas.openxmlformats.org/officeDocument/2006/relationships/hyperlink" Target="https://fbref.com/en/players/cefa3e4b/Axel-Noren" TargetMode="External"/><Relationship Id="rId305" Type="http://schemas.openxmlformats.org/officeDocument/2006/relationships/hyperlink" Target="https://fbref.com/en/squads/bb9e11b2/2024/Brommapojkarna-Stats" TargetMode="External"/><Relationship Id="rId789" Type="http://schemas.openxmlformats.org/officeDocument/2006/relationships/hyperlink" Target="https://fbref.com/en/players/17138f9d/matchlogs/2024/summary/Sebastian-Holmen-Match-Logs" TargetMode="External"/><Relationship Id="rId304" Type="http://schemas.openxmlformats.org/officeDocument/2006/relationships/hyperlink" Target="https://fbref.com/en/country/GHA/Ghana-Football" TargetMode="External"/><Relationship Id="rId788" Type="http://schemas.openxmlformats.org/officeDocument/2006/relationships/hyperlink" Target="https://fbref.com/en/squads/50e85bfc/2024/Elfsborg-Stats" TargetMode="External"/><Relationship Id="rId303" Type="http://schemas.openxmlformats.org/officeDocument/2006/relationships/hyperlink" Target="https://fbref.com/en/players/13f7d97e/Evans-Botchway" TargetMode="External"/><Relationship Id="rId787" Type="http://schemas.openxmlformats.org/officeDocument/2006/relationships/hyperlink" Target="https://fbref.com/en/country/SWE/Sweden-Football" TargetMode="External"/><Relationship Id="rId302" Type="http://schemas.openxmlformats.org/officeDocument/2006/relationships/hyperlink" Target="https://fbref.com/en/players/5f58ba26/matchlogs/2024/summary/Andre-Boman-Match-Logs" TargetMode="External"/><Relationship Id="rId786" Type="http://schemas.openxmlformats.org/officeDocument/2006/relationships/hyperlink" Target="https://fbref.com/en/players/17138f9d/Sebastian-Holmen" TargetMode="External"/><Relationship Id="rId309" Type="http://schemas.openxmlformats.org/officeDocument/2006/relationships/hyperlink" Target="https://fbref.com/en/squads/f3d8c8b9/2024/Malmo-Stats" TargetMode="External"/><Relationship Id="rId308" Type="http://schemas.openxmlformats.org/officeDocument/2006/relationships/hyperlink" Target="https://fbref.com/en/country/NOR/Norway-Football" TargetMode="External"/><Relationship Id="rId307" Type="http://schemas.openxmlformats.org/officeDocument/2006/relationships/hyperlink" Target="https://fbref.com/en/players/3d13d9e4/Erik-Botheim" TargetMode="External"/><Relationship Id="rId306" Type="http://schemas.openxmlformats.org/officeDocument/2006/relationships/hyperlink" Target="https://fbref.com/en/players/13f7d97e/matchlogs/2024/summary/Evans-Botchway-Match-Logs" TargetMode="External"/><Relationship Id="rId781" Type="http://schemas.openxmlformats.org/officeDocument/2006/relationships/hyperlink" Target="https://fbref.com/en/players/a5c20dfb/matchlogs/2024/summary/Samuel-Holm-Match-Logs" TargetMode="External"/><Relationship Id="rId1370" Type="http://schemas.openxmlformats.org/officeDocument/2006/relationships/hyperlink" Target="https://fbref.com/en/players/66a6b154/matchlogs/2024/summary/Severin-Nioule-Match-Logs" TargetMode="External"/><Relationship Id="rId780" Type="http://schemas.openxmlformats.org/officeDocument/2006/relationships/hyperlink" Target="https://fbref.com/en/squads/8774e267/2024/BK-Hacken-Stats" TargetMode="External"/><Relationship Id="rId1371" Type="http://schemas.openxmlformats.org/officeDocument/2006/relationships/hyperlink" Target="https://fbref.com/en/players/f166b57c/Vinicius-Nogueira" TargetMode="External"/><Relationship Id="rId1372" Type="http://schemas.openxmlformats.org/officeDocument/2006/relationships/hyperlink" Target="https://fbref.com/en/country/BRA/Brazil-Football" TargetMode="External"/><Relationship Id="rId1373" Type="http://schemas.openxmlformats.org/officeDocument/2006/relationships/hyperlink" Target="https://fbref.com/en/squads/17366e53/2024/Halmstad-Stats" TargetMode="External"/><Relationship Id="rId301" Type="http://schemas.openxmlformats.org/officeDocument/2006/relationships/hyperlink" Target="https://fbref.com/en/squads/50e85bfc/2024/Elfsborg-Stats" TargetMode="External"/><Relationship Id="rId785" Type="http://schemas.openxmlformats.org/officeDocument/2006/relationships/hyperlink" Target="https://fbref.com/en/players/a5c20dfb/matchlogs/2024/summary/Samuel-Holm-Match-Logs" TargetMode="External"/><Relationship Id="rId1374" Type="http://schemas.openxmlformats.org/officeDocument/2006/relationships/hyperlink" Target="https://fbref.com/en/players/f166b57c/matchlogs/2024/summary/Vinicius-Nogueira-Match-Logs" TargetMode="External"/><Relationship Id="rId300" Type="http://schemas.openxmlformats.org/officeDocument/2006/relationships/hyperlink" Target="https://fbref.com/en/country/SWE/Sweden-Football" TargetMode="External"/><Relationship Id="rId784" Type="http://schemas.openxmlformats.org/officeDocument/2006/relationships/hyperlink" Target="https://fbref.com/en/squads/9423c05a/2024/Djurgarden-Stats" TargetMode="External"/><Relationship Id="rId1375" Type="http://schemas.openxmlformats.org/officeDocument/2006/relationships/hyperlink" Target="https://fbref.com/en/players/78549904/Kristoffer-Nordfeldt" TargetMode="External"/><Relationship Id="rId783" Type="http://schemas.openxmlformats.org/officeDocument/2006/relationships/hyperlink" Target="https://fbref.com/en/country/SWE/Sweden-Football" TargetMode="External"/><Relationship Id="rId1376" Type="http://schemas.openxmlformats.org/officeDocument/2006/relationships/hyperlink" Target="https://fbref.com/en/country/SWE/Sweden-Football" TargetMode="External"/><Relationship Id="rId782" Type="http://schemas.openxmlformats.org/officeDocument/2006/relationships/hyperlink" Target="https://fbref.com/en/players/a5c20dfb/Samuel-Holm" TargetMode="External"/><Relationship Id="rId1377" Type="http://schemas.openxmlformats.org/officeDocument/2006/relationships/hyperlink" Target="https://fbref.com/en/squads/b0333581/2024/AIK-Stockholm-Stats" TargetMode="External"/><Relationship Id="rId1367" Type="http://schemas.openxmlformats.org/officeDocument/2006/relationships/hyperlink" Target="https://fbref.com/en/players/66a6b154/Severin-Nioule" TargetMode="External"/><Relationship Id="rId1368" Type="http://schemas.openxmlformats.org/officeDocument/2006/relationships/hyperlink" Target="https://fbref.com/en/country/CIV/Cote-dIvoire-Football" TargetMode="External"/><Relationship Id="rId1369" Type="http://schemas.openxmlformats.org/officeDocument/2006/relationships/hyperlink" Target="https://fbref.com/en/squads/8774e267/2024/BK-Hacken-Stats" TargetMode="External"/><Relationship Id="rId778" Type="http://schemas.openxmlformats.org/officeDocument/2006/relationships/hyperlink" Target="https://fbref.com/en/players/a5c20dfb/Samuel-Holm" TargetMode="External"/><Relationship Id="rId777" Type="http://schemas.openxmlformats.org/officeDocument/2006/relationships/hyperlink" Target="https://fbref.com/en/players/728e6d2f/matchlogs/2024/summary/Joel-Hjalmar-Match-Logs" TargetMode="External"/><Relationship Id="rId776" Type="http://schemas.openxmlformats.org/officeDocument/2006/relationships/hyperlink" Target="https://fbref.com/en/squads/8774e267/2024/BK-Hacken-Stats" TargetMode="External"/><Relationship Id="rId775" Type="http://schemas.openxmlformats.org/officeDocument/2006/relationships/hyperlink" Target="https://fbref.com/en/country/SWE/Sweden-Football" TargetMode="External"/><Relationship Id="rId779" Type="http://schemas.openxmlformats.org/officeDocument/2006/relationships/hyperlink" Target="https://fbref.com/en/country/SWE/Sweden-Football" TargetMode="External"/><Relationship Id="rId770" Type="http://schemas.openxmlformats.org/officeDocument/2006/relationships/hyperlink" Target="https://fbref.com/en/players/c34824b1/Gustav-Henriksson" TargetMode="External"/><Relationship Id="rId1360" Type="http://schemas.openxmlformats.org/officeDocument/2006/relationships/hyperlink" Target="https://fbref.com/en/country/SWE/Sweden-Football" TargetMode="External"/><Relationship Id="rId1361" Type="http://schemas.openxmlformats.org/officeDocument/2006/relationships/hyperlink" Target="https://fbref.com/en/squads/9423c05a/2024/Djurgarden-Stats" TargetMode="External"/><Relationship Id="rId1362" Type="http://schemas.openxmlformats.org/officeDocument/2006/relationships/hyperlink" Target="https://fbref.com/en/players/5662e81f/matchlogs/2024/summary/Malkolm-Nilsson-Match-Logs" TargetMode="External"/><Relationship Id="rId774" Type="http://schemas.openxmlformats.org/officeDocument/2006/relationships/hyperlink" Target="https://fbref.com/en/players/728e6d2f/Joel-Hjalmar" TargetMode="External"/><Relationship Id="rId1363" Type="http://schemas.openxmlformats.org/officeDocument/2006/relationships/hyperlink" Target="https://fbref.com/en/players/73c38442/Ville-Nilsson" TargetMode="External"/><Relationship Id="rId773" Type="http://schemas.openxmlformats.org/officeDocument/2006/relationships/hyperlink" Target="https://fbref.com/en/players/c34824b1/matchlogs/2024/summary/Gustav-Henriksson-Match-Logs" TargetMode="External"/><Relationship Id="rId1364" Type="http://schemas.openxmlformats.org/officeDocument/2006/relationships/hyperlink" Target="https://fbref.com/en/country/SWE/Sweden-Football" TargetMode="External"/><Relationship Id="rId772" Type="http://schemas.openxmlformats.org/officeDocument/2006/relationships/hyperlink" Target="https://fbref.com/en/squads/50e85bfc/2024/Elfsborg-Stats" TargetMode="External"/><Relationship Id="rId1365" Type="http://schemas.openxmlformats.org/officeDocument/2006/relationships/hyperlink" Target="https://fbref.com/en/squads/9f13771c/2024/Kalmar-Stats" TargetMode="External"/><Relationship Id="rId771" Type="http://schemas.openxmlformats.org/officeDocument/2006/relationships/hyperlink" Target="https://fbref.com/en/country/SWE/Sweden-Football" TargetMode="External"/><Relationship Id="rId1366" Type="http://schemas.openxmlformats.org/officeDocument/2006/relationships/hyperlink" Target="https://fbref.com/en/players/73c38442/matchlogs/2024/summary/Ville-Nilsson-Match-Logs" TargetMode="External"/><Relationship Id="rId327" Type="http://schemas.openxmlformats.org/officeDocument/2006/relationships/hyperlink" Target="https://fbref.com/en/players/3906ff9b/Johan-Brattberg" TargetMode="External"/><Relationship Id="rId326" Type="http://schemas.openxmlformats.org/officeDocument/2006/relationships/hyperlink" Target="https://fbref.com/en/players/613eaf9a/matchlogs/2024/summary/Benjamin-Brantlind-Match-Logs" TargetMode="External"/><Relationship Id="rId325" Type="http://schemas.openxmlformats.org/officeDocument/2006/relationships/hyperlink" Target="https://fbref.com/en/squads/ef1ab26a/2024/Goteborg-Stats" TargetMode="External"/><Relationship Id="rId324" Type="http://schemas.openxmlformats.org/officeDocument/2006/relationships/hyperlink" Target="https://fbref.com/en/country/SWE/Sweden-Football" TargetMode="External"/><Relationship Id="rId329" Type="http://schemas.openxmlformats.org/officeDocument/2006/relationships/hyperlink" Target="https://fbref.com/en/squads/a8481ab9/2024/Vasteras-Stats" TargetMode="External"/><Relationship Id="rId1390" Type="http://schemas.openxmlformats.org/officeDocument/2006/relationships/hyperlink" Target="https://fbref.com/en/players/b9e4c11e/matchlogs/2024/summary/Frederic-Nsabiyumva-Match-Logs" TargetMode="External"/><Relationship Id="rId328" Type="http://schemas.openxmlformats.org/officeDocument/2006/relationships/hyperlink" Target="https://fbref.com/en/country/SWE/Sweden-Football" TargetMode="External"/><Relationship Id="rId1391" Type="http://schemas.openxmlformats.org/officeDocument/2006/relationships/hyperlink" Target="https://fbref.com/en/players/b2cbe3ad/Patrick-Nwadike" TargetMode="External"/><Relationship Id="rId1392" Type="http://schemas.openxmlformats.org/officeDocument/2006/relationships/hyperlink" Target="https://fbref.com/en/country/SWE/Sweden-Football" TargetMode="External"/><Relationship Id="rId1393" Type="http://schemas.openxmlformats.org/officeDocument/2006/relationships/hyperlink" Target="https://fbref.com/en/squads/e9d60d0c/2024/Sirius-Stats" TargetMode="External"/><Relationship Id="rId1394" Type="http://schemas.openxmlformats.org/officeDocument/2006/relationships/hyperlink" Target="https://fbref.com/en/players/b2cbe3ad/matchlogs/2024/summary/Patrick-Nwadike-Match-Logs" TargetMode="External"/><Relationship Id="rId1395" Type="http://schemas.openxmlformats.org/officeDocument/2006/relationships/hyperlink" Target="https://fbref.com/en/players/8cd6e788/Silas-Nwankwo" TargetMode="External"/><Relationship Id="rId323" Type="http://schemas.openxmlformats.org/officeDocument/2006/relationships/hyperlink" Target="https://fbref.com/en/players/613eaf9a/Benjamin-Brantlind" TargetMode="External"/><Relationship Id="rId1396" Type="http://schemas.openxmlformats.org/officeDocument/2006/relationships/hyperlink" Target="https://fbref.com/en/country/NGA/Nigeria-Football" TargetMode="External"/><Relationship Id="rId322" Type="http://schemas.openxmlformats.org/officeDocument/2006/relationships/hyperlink" Target="https://fbref.com/en/players/11d8f1b7/matchlogs/2024/summary/Fred-Bozicevic-Match-Logs" TargetMode="External"/><Relationship Id="rId1397" Type="http://schemas.openxmlformats.org/officeDocument/2006/relationships/hyperlink" Target="https://fbref.com/en/squads/b1a7a7b9/2024/Mjallby-Stats" TargetMode="External"/><Relationship Id="rId321" Type="http://schemas.openxmlformats.org/officeDocument/2006/relationships/hyperlink" Target="https://fbref.com/en/squads/d048ed60/2024/Varnamo-Stats" TargetMode="External"/><Relationship Id="rId1398" Type="http://schemas.openxmlformats.org/officeDocument/2006/relationships/hyperlink" Target="https://fbref.com/en/players/8cd6e788/matchlogs/2024/summary/Silas-Nwankwo-Match-Logs" TargetMode="External"/><Relationship Id="rId320" Type="http://schemas.openxmlformats.org/officeDocument/2006/relationships/hyperlink" Target="https://fbref.com/en/country/SWE/Sweden-Football" TargetMode="External"/><Relationship Id="rId1399" Type="http://schemas.openxmlformats.org/officeDocument/2006/relationships/hyperlink" Target="https://fbref.com/en/players/f9e3ef15/Christoffer-Nyman" TargetMode="External"/><Relationship Id="rId1389" Type="http://schemas.openxmlformats.org/officeDocument/2006/relationships/hyperlink" Target="https://fbref.com/en/squads/a8481ab9/2024/Vasteras-Stats" TargetMode="External"/><Relationship Id="rId316" Type="http://schemas.openxmlformats.org/officeDocument/2006/relationships/hyperlink" Target="https://fbref.com/en/country/SWE/Sweden-Football" TargetMode="External"/><Relationship Id="rId315" Type="http://schemas.openxmlformats.org/officeDocument/2006/relationships/hyperlink" Target="https://fbref.com/en/players/f5bbb514/Elyas-Bouzaiene" TargetMode="External"/><Relationship Id="rId799" Type="http://schemas.openxmlformats.org/officeDocument/2006/relationships/hyperlink" Target="https://fbref.com/en/country/NOR/Norway-Football" TargetMode="External"/><Relationship Id="rId314" Type="http://schemas.openxmlformats.org/officeDocument/2006/relationships/hyperlink" Target="https://fbref.com/en/players/8c03d809/matchlogs/2024/summary/Amin-Boudri-Match-Logs" TargetMode="External"/><Relationship Id="rId798" Type="http://schemas.openxmlformats.org/officeDocument/2006/relationships/hyperlink" Target="https://fbref.com/en/players/d1fea02e/Even-Hovland" TargetMode="External"/><Relationship Id="rId313" Type="http://schemas.openxmlformats.org/officeDocument/2006/relationships/hyperlink" Target="https://fbref.com/en/squads/7c2d1adb/2024/GAIS-Stats" TargetMode="External"/><Relationship Id="rId797" Type="http://schemas.openxmlformats.org/officeDocument/2006/relationships/hyperlink" Target="https://fbref.com/en/players/0d616c20/matchlogs/2024/summary/Kevin-Hoog-Jansson-Match-Logs" TargetMode="External"/><Relationship Id="rId319" Type="http://schemas.openxmlformats.org/officeDocument/2006/relationships/hyperlink" Target="https://fbref.com/en/players/11d8f1b7/Fred-Bozicevic" TargetMode="External"/><Relationship Id="rId318" Type="http://schemas.openxmlformats.org/officeDocument/2006/relationships/hyperlink" Target="https://fbref.com/en/players/f5bbb514/matchlogs/2024/summary/Elyas-Bouzaiene-Match-Logs" TargetMode="External"/><Relationship Id="rId317" Type="http://schemas.openxmlformats.org/officeDocument/2006/relationships/hyperlink" Target="https://fbref.com/en/squads/a8481ab9/2024/Vasteras-Stats" TargetMode="External"/><Relationship Id="rId1380" Type="http://schemas.openxmlformats.org/officeDocument/2006/relationships/hyperlink" Target="https://fbref.com/en/country/SWE/Sweden-Football" TargetMode="External"/><Relationship Id="rId792" Type="http://schemas.openxmlformats.org/officeDocument/2006/relationships/hyperlink" Target="https://fbref.com/en/squads/50e85bfc/2024/Elfsborg-Stats" TargetMode="External"/><Relationship Id="rId1381" Type="http://schemas.openxmlformats.org/officeDocument/2006/relationships/hyperlink" Target="https://fbref.com/en/squads/7c2d1adb/2024/GAIS-Stats" TargetMode="External"/><Relationship Id="rId791" Type="http://schemas.openxmlformats.org/officeDocument/2006/relationships/hyperlink" Target="https://fbref.com/en/country/DEN/Denmark-Football" TargetMode="External"/><Relationship Id="rId1382" Type="http://schemas.openxmlformats.org/officeDocument/2006/relationships/hyperlink" Target="https://fbref.com/en/players/cefa3e4b/matchlogs/2024/summary/Axel-Noren-Match-Logs" TargetMode="External"/><Relationship Id="rId790" Type="http://schemas.openxmlformats.org/officeDocument/2006/relationships/hyperlink" Target="https://fbref.com/en/players/a1d8390a/Emil-Holten" TargetMode="External"/><Relationship Id="rId1383" Type="http://schemas.openxmlformats.org/officeDocument/2006/relationships/hyperlink" Target="https://fbref.com/en/players/f4b1ae84/Gustaf-Norlin" TargetMode="External"/><Relationship Id="rId1384" Type="http://schemas.openxmlformats.org/officeDocument/2006/relationships/hyperlink" Target="https://fbref.com/en/country/SWE/Sweden-Football" TargetMode="External"/><Relationship Id="rId312" Type="http://schemas.openxmlformats.org/officeDocument/2006/relationships/hyperlink" Target="https://fbref.com/en/country/SWE/Sweden-Football" TargetMode="External"/><Relationship Id="rId796" Type="http://schemas.openxmlformats.org/officeDocument/2006/relationships/hyperlink" Target="https://fbref.com/en/squads/1d0836d6/2024/Norrkoping-Stats" TargetMode="External"/><Relationship Id="rId1385" Type="http://schemas.openxmlformats.org/officeDocument/2006/relationships/hyperlink" Target="https://fbref.com/en/squads/ef1ab26a/2024/Goteborg-Stats" TargetMode="External"/><Relationship Id="rId311" Type="http://schemas.openxmlformats.org/officeDocument/2006/relationships/hyperlink" Target="https://fbref.com/en/players/8c03d809/Amin-Boudri" TargetMode="External"/><Relationship Id="rId795" Type="http://schemas.openxmlformats.org/officeDocument/2006/relationships/hyperlink" Target="https://fbref.com/en/country/SWE/Sweden-Football" TargetMode="External"/><Relationship Id="rId1386" Type="http://schemas.openxmlformats.org/officeDocument/2006/relationships/hyperlink" Target="https://fbref.com/en/players/f4b1ae84/matchlogs/2024/summary/Gustaf-Norlin-Match-Logs" TargetMode="External"/><Relationship Id="rId310" Type="http://schemas.openxmlformats.org/officeDocument/2006/relationships/hyperlink" Target="https://fbref.com/en/players/3d13d9e4/matchlogs/2024/summary/Erik-Botheim-Match-Logs" TargetMode="External"/><Relationship Id="rId794" Type="http://schemas.openxmlformats.org/officeDocument/2006/relationships/hyperlink" Target="https://fbref.com/en/players/0d616c20/Kevin-Hoog-Jansson" TargetMode="External"/><Relationship Id="rId1387" Type="http://schemas.openxmlformats.org/officeDocument/2006/relationships/hyperlink" Target="https://fbref.com/en/players/b9e4c11e/Frederic-Nsabiyumva" TargetMode="External"/><Relationship Id="rId793" Type="http://schemas.openxmlformats.org/officeDocument/2006/relationships/hyperlink" Target="https://fbref.com/en/players/a1d8390a/matchlogs/2024/summary/Emil-Holten-Match-Logs" TargetMode="External"/><Relationship Id="rId1388" Type="http://schemas.openxmlformats.org/officeDocument/2006/relationships/hyperlink" Target="https://fbref.com/en/country/BDI/Burundi-Football" TargetMode="External"/><Relationship Id="rId297" Type="http://schemas.openxmlformats.org/officeDocument/2006/relationships/hyperlink" Target="https://fbref.com/en/squads/17366e53/2024/Halmstad-Stats" TargetMode="External"/><Relationship Id="rId296" Type="http://schemas.openxmlformats.org/officeDocument/2006/relationships/hyperlink" Target="https://fbref.com/en/country/SWE/Sweden-Football" TargetMode="External"/><Relationship Id="rId295" Type="http://schemas.openxmlformats.org/officeDocument/2006/relationships/hyperlink" Target="https://fbref.com/en/players/5f58ba26/Andre-Boman" TargetMode="External"/><Relationship Id="rId294" Type="http://schemas.openxmlformats.org/officeDocument/2006/relationships/hyperlink" Target="https://fbref.com/en/players/0680628b/matchlogs/2024/summary/Stephen-Bolma-Match-Logs" TargetMode="External"/><Relationship Id="rId299" Type="http://schemas.openxmlformats.org/officeDocument/2006/relationships/hyperlink" Target="https://fbref.com/en/players/5f58ba26/Andre-Boman" TargetMode="External"/><Relationship Id="rId298" Type="http://schemas.openxmlformats.org/officeDocument/2006/relationships/hyperlink" Target="https://fbref.com/en/players/5f58ba26/matchlogs/2024/summary/Andre-Boman-Match-Logs" TargetMode="External"/><Relationship Id="rId271" Type="http://schemas.openxmlformats.org/officeDocument/2006/relationships/hyperlink" Target="https://fbref.com/en/players/141935d3/Eric-Bjorkander" TargetMode="External"/><Relationship Id="rId270" Type="http://schemas.openxmlformats.org/officeDocument/2006/relationships/hyperlink" Target="https://fbref.com/en/players/3b2bdc7e/matchlogs/2024/summary/Carl-Bjork-Match-Logs" TargetMode="External"/><Relationship Id="rId269" Type="http://schemas.openxmlformats.org/officeDocument/2006/relationships/hyperlink" Target="https://fbref.com/en/squads/1d0836d6/2024/Norrkoping-Stats" TargetMode="External"/><Relationship Id="rId264" Type="http://schemas.openxmlformats.org/officeDocument/2006/relationships/hyperlink" Target="https://fbref.com/en/country/SWE/Sweden-Football" TargetMode="External"/><Relationship Id="rId263" Type="http://schemas.openxmlformats.org/officeDocument/2006/relationships/hyperlink" Target="https://fbref.com/en/players/53e4594b/Elis-Bishesari" TargetMode="External"/><Relationship Id="rId262" Type="http://schemas.openxmlformats.org/officeDocument/2006/relationships/hyperlink" Target="https://fbref.com/en/players/63a304f3/matchlogs/2024/summary/Egzon-Binaku-Match-Logs" TargetMode="External"/><Relationship Id="rId261" Type="http://schemas.openxmlformats.org/officeDocument/2006/relationships/hyperlink" Target="https://fbref.com/en/squads/7c2d1adb/2024/GAIS-Stats" TargetMode="External"/><Relationship Id="rId268" Type="http://schemas.openxmlformats.org/officeDocument/2006/relationships/hyperlink" Target="https://fbref.com/en/country/SWE/Sweden-Football" TargetMode="External"/><Relationship Id="rId267" Type="http://schemas.openxmlformats.org/officeDocument/2006/relationships/hyperlink" Target="https://fbref.com/en/players/3b2bdc7e/Carl-Bjork" TargetMode="External"/><Relationship Id="rId266" Type="http://schemas.openxmlformats.org/officeDocument/2006/relationships/hyperlink" Target="https://fbref.com/en/players/53e4594b/matchlogs/2024/summary/Elis-Bishesari-Match-Logs" TargetMode="External"/><Relationship Id="rId265" Type="http://schemas.openxmlformats.org/officeDocument/2006/relationships/hyperlink" Target="https://fbref.com/en/squads/ef1ab26a/2024/Goteborg-Stats" TargetMode="External"/><Relationship Id="rId260" Type="http://schemas.openxmlformats.org/officeDocument/2006/relationships/hyperlink" Target="https://fbref.com/en/country/ALB/Albania-Football" TargetMode="External"/><Relationship Id="rId259" Type="http://schemas.openxmlformats.org/officeDocument/2006/relationships/hyperlink" Target="https://fbref.com/en/players/63a304f3/Egzon-Binaku" TargetMode="External"/><Relationship Id="rId258" Type="http://schemas.openxmlformats.org/officeDocument/2006/relationships/hyperlink" Target="https://fbref.com/en/players/56b93eb3/matchlogs/2024/summary/Kenan-Bilalovic-Match-Logs" TargetMode="External"/><Relationship Id="rId253" Type="http://schemas.openxmlformats.org/officeDocument/2006/relationships/hyperlink" Target="https://fbref.com/en/squads/b0333581/2024/AIK-Stockholm-Stats" TargetMode="External"/><Relationship Id="rId252" Type="http://schemas.openxmlformats.org/officeDocument/2006/relationships/hyperlink" Target="https://fbref.com/en/country/BIH/Bosnia-and-Herzegovina-Football" TargetMode="External"/><Relationship Id="rId251" Type="http://schemas.openxmlformats.org/officeDocument/2006/relationships/hyperlink" Target="https://fbref.com/en/players/aa3f95e3/Dino-Besirovic" TargetMode="External"/><Relationship Id="rId250" Type="http://schemas.openxmlformats.org/officeDocument/2006/relationships/hyperlink" Target="https://fbref.com/en/players/2fadcd15/matchlogs/2024/summary/Nahir-Besara-Match-Logs" TargetMode="External"/><Relationship Id="rId257" Type="http://schemas.openxmlformats.org/officeDocument/2006/relationships/hyperlink" Target="https://fbref.com/en/squads/d048ed60/2024/Varnamo-Stats" TargetMode="External"/><Relationship Id="rId256" Type="http://schemas.openxmlformats.org/officeDocument/2006/relationships/hyperlink" Target="https://fbref.com/en/country/SWE/Sweden-Football" TargetMode="External"/><Relationship Id="rId255" Type="http://schemas.openxmlformats.org/officeDocument/2006/relationships/hyperlink" Target="https://fbref.com/en/players/56b93eb3/Kenan-Bilalovic" TargetMode="External"/><Relationship Id="rId254" Type="http://schemas.openxmlformats.org/officeDocument/2006/relationships/hyperlink" Target="https://fbref.com/en/players/aa3f95e3/matchlogs/2024/summary/Dino-Besirovic-Match-Logs" TargetMode="External"/><Relationship Id="rId293" Type="http://schemas.openxmlformats.org/officeDocument/2006/relationships/hyperlink" Target="https://fbref.com/en/squads/1d0836d6/2024/Norrkoping-Stats" TargetMode="External"/><Relationship Id="rId292" Type="http://schemas.openxmlformats.org/officeDocument/2006/relationships/hyperlink" Target="https://fbref.com/en/country/GHA/Ghana-Football" TargetMode="External"/><Relationship Id="rId291" Type="http://schemas.openxmlformats.org/officeDocument/2006/relationships/hyperlink" Target="https://fbref.com/en/players/0680628b/Stephen-Bolma" TargetMode="External"/><Relationship Id="rId290" Type="http://schemas.openxmlformats.org/officeDocument/2006/relationships/hyperlink" Target="https://fbref.com/en/players/63170f69/matchlogs/2024/summary/Hugo-Bolin-Match-Logs" TargetMode="External"/><Relationship Id="rId286" Type="http://schemas.openxmlformats.org/officeDocument/2006/relationships/hyperlink" Target="https://fbref.com/en/players/241bcd55/matchlogs/2024/summary/Thomas-Boakye-Match-Logs" TargetMode="External"/><Relationship Id="rId285" Type="http://schemas.openxmlformats.org/officeDocument/2006/relationships/hyperlink" Target="https://fbref.com/en/squads/17366e53/2024/Halmstad-Stats" TargetMode="External"/><Relationship Id="rId284" Type="http://schemas.openxmlformats.org/officeDocument/2006/relationships/hyperlink" Target="https://fbref.com/en/country/GHA/Ghana-Football" TargetMode="External"/><Relationship Id="rId283" Type="http://schemas.openxmlformats.org/officeDocument/2006/relationships/hyperlink" Target="https://fbref.com/en/players/241bcd55/Thomas-Boakye" TargetMode="External"/><Relationship Id="rId289" Type="http://schemas.openxmlformats.org/officeDocument/2006/relationships/hyperlink" Target="https://fbref.com/en/squads/f3d8c8b9/2024/Malmo-Stats" TargetMode="External"/><Relationship Id="rId288" Type="http://schemas.openxmlformats.org/officeDocument/2006/relationships/hyperlink" Target="https://fbref.com/en/country/SWE/Sweden-Football" TargetMode="External"/><Relationship Id="rId287" Type="http://schemas.openxmlformats.org/officeDocument/2006/relationships/hyperlink" Target="https://fbref.com/en/players/63170f69/Hugo-Bolin" TargetMode="External"/><Relationship Id="rId282" Type="http://schemas.openxmlformats.org/officeDocument/2006/relationships/hyperlink" Target="https://fbref.com/en/players/afbb68eb/matchlogs/2024/summary/Davor-Blazevic-Match-Logs" TargetMode="External"/><Relationship Id="rId281" Type="http://schemas.openxmlformats.org/officeDocument/2006/relationships/hyperlink" Target="https://fbref.com/en/squads/92bfd7f0/2024/Hammarby-Stats" TargetMode="External"/><Relationship Id="rId280" Type="http://schemas.openxmlformats.org/officeDocument/2006/relationships/hyperlink" Target="https://fbref.com/en/country/SWE/Sweden-Football" TargetMode="External"/><Relationship Id="rId275" Type="http://schemas.openxmlformats.org/officeDocument/2006/relationships/hyperlink" Target="https://fbref.com/en/players/8db38187/Axel-Bjornstrom" TargetMode="External"/><Relationship Id="rId274" Type="http://schemas.openxmlformats.org/officeDocument/2006/relationships/hyperlink" Target="https://fbref.com/en/players/141935d3/matchlogs/2024/summary/Eric-Bjorkander-Match-Logs" TargetMode="External"/><Relationship Id="rId273" Type="http://schemas.openxmlformats.org/officeDocument/2006/relationships/hyperlink" Target="https://fbref.com/en/squads/bb9e11b2/2024/Brommapojkarna-Stats" TargetMode="External"/><Relationship Id="rId272" Type="http://schemas.openxmlformats.org/officeDocument/2006/relationships/hyperlink" Target="https://fbref.com/en/country/SWE/Sweden-Football" TargetMode="External"/><Relationship Id="rId279" Type="http://schemas.openxmlformats.org/officeDocument/2006/relationships/hyperlink" Target="https://fbref.com/en/players/afbb68eb/Davor-Blazevic" TargetMode="External"/><Relationship Id="rId278" Type="http://schemas.openxmlformats.org/officeDocument/2006/relationships/hyperlink" Target="https://fbref.com/en/players/8db38187/matchlogs/2024/summary/Axel-Bjornstrom-Match-Logs" TargetMode="External"/><Relationship Id="rId277" Type="http://schemas.openxmlformats.org/officeDocument/2006/relationships/hyperlink" Target="https://fbref.com/en/squads/b0333581/2024/AIK-Stockholm-Stats" TargetMode="External"/><Relationship Id="rId276" Type="http://schemas.openxmlformats.org/officeDocument/2006/relationships/hyperlink" Target="https://fbref.com/en/country/SWE/Sweden-Football" TargetMode="External"/><Relationship Id="rId1851" Type="http://schemas.openxmlformats.org/officeDocument/2006/relationships/hyperlink" Target="https://fbref.com/en/country/SWE/Sweden-Football" TargetMode="External"/><Relationship Id="rId1852" Type="http://schemas.openxmlformats.org/officeDocument/2006/relationships/hyperlink" Target="https://fbref.com/en/squads/d048ed60/2024/Varnamo-Stats" TargetMode="External"/><Relationship Id="rId1853" Type="http://schemas.openxmlformats.org/officeDocument/2006/relationships/hyperlink" Target="https://fbref.com/en/players/3933becd/matchlogs/2024/summary/Simon-Thern-Match-Logs" TargetMode="External"/><Relationship Id="rId1854" Type="http://schemas.openxmlformats.org/officeDocument/2006/relationships/hyperlink" Target="https://fbref.com/en/players/4169f4e2/Oliver-Thoreson" TargetMode="External"/><Relationship Id="rId1855" Type="http://schemas.openxmlformats.org/officeDocument/2006/relationships/hyperlink" Target="https://fbref.com/en/country/SWE/Sweden-Football" TargetMode="External"/><Relationship Id="rId1856" Type="http://schemas.openxmlformats.org/officeDocument/2006/relationships/hyperlink" Target="https://fbref.com/en/squads/ef1ab26a/2024/Goteborg-Stats" TargetMode="External"/><Relationship Id="rId1857" Type="http://schemas.openxmlformats.org/officeDocument/2006/relationships/hyperlink" Target="https://fbref.com/en/players/4169f4e2/matchlogs/2024/summary/Oliver-Thoreson-Match-Logs" TargetMode="External"/><Relationship Id="rId1858" Type="http://schemas.openxmlformats.org/officeDocument/2006/relationships/hyperlink" Target="https://fbref.com/en/players/0193b319/Ludvig-Tidstrand" TargetMode="External"/><Relationship Id="rId1859" Type="http://schemas.openxmlformats.org/officeDocument/2006/relationships/hyperlink" Target="https://fbref.com/en/country/SWE/Sweden-Football" TargetMode="External"/><Relationship Id="rId1850" Type="http://schemas.openxmlformats.org/officeDocument/2006/relationships/hyperlink" Target="https://fbref.com/en/players/3933becd/Simon-Thern" TargetMode="External"/><Relationship Id="rId1840" Type="http://schemas.openxmlformats.org/officeDocument/2006/relationships/hyperlink" Target="https://fbref.com/en/squads/92bfd7f0/2024/Hammarby-Stats" TargetMode="External"/><Relationship Id="rId1841" Type="http://schemas.openxmlformats.org/officeDocument/2006/relationships/hyperlink" Target="https://fbref.com/en/players/ed16934e/matchlogs/2024/summary/Tesfaldet-Tekie-Match-Logs" TargetMode="External"/><Relationship Id="rId1842" Type="http://schemas.openxmlformats.org/officeDocument/2006/relationships/hyperlink" Target="https://fbref.com/en/players/2ca35213/Miro-Tenho" TargetMode="External"/><Relationship Id="rId1843" Type="http://schemas.openxmlformats.org/officeDocument/2006/relationships/hyperlink" Target="https://fbref.com/en/country/FIN/Finland-Football" TargetMode="External"/><Relationship Id="rId1844" Type="http://schemas.openxmlformats.org/officeDocument/2006/relationships/hyperlink" Target="https://fbref.com/en/squads/9423c05a/2024/Djurgarden-Stats" TargetMode="External"/><Relationship Id="rId1845" Type="http://schemas.openxmlformats.org/officeDocument/2006/relationships/hyperlink" Target="https://fbref.com/en/players/2ca35213/matchlogs/2024/summary/Miro-Tenho-Match-Logs" TargetMode="External"/><Relationship Id="rId1846" Type="http://schemas.openxmlformats.org/officeDocument/2006/relationships/hyperlink" Target="https://fbref.com/en/players/36f9e534/Peter-Therkildsen" TargetMode="External"/><Relationship Id="rId1847" Type="http://schemas.openxmlformats.org/officeDocument/2006/relationships/hyperlink" Target="https://fbref.com/en/country/DEN/Denmark-Football" TargetMode="External"/><Relationship Id="rId1848" Type="http://schemas.openxmlformats.org/officeDocument/2006/relationships/hyperlink" Target="https://fbref.com/en/squads/9423c05a/2024/Djurgarden-Stats" TargetMode="External"/><Relationship Id="rId1849" Type="http://schemas.openxmlformats.org/officeDocument/2006/relationships/hyperlink" Target="https://fbref.com/en/players/36f9e534/matchlogs/2024/summary/Peter-Therkildsen-Match-Logs" TargetMode="External"/><Relationship Id="rId1873" Type="http://schemas.openxmlformats.org/officeDocument/2006/relationships/hyperlink" Target="https://fbref.com/en/players/f7533c1a/matchlogs/2024/summary/Noah-Tolf-Match-Logs" TargetMode="External"/><Relationship Id="rId1874" Type="http://schemas.openxmlformats.org/officeDocument/2006/relationships/hyperlink" Target="https://fbref.com/en/players/6bf54cff/Noel-Tornqvist" TargetMode="External"/><Relationship Id="rId1875" Type="http://schemas.openxmlformats.org/officeDocument/2006/relationships/hyperlink" Target="https://fbref.com/en/country/SWE/Sweden-Football" TargetMode="External"/><Relationship Id="rId1876" Type="http://schemas.openxmlformats.org/officeDocument/2006/relationships/hyperlink" Target="https://fbref.com/en/squads/b1a7a7b9/2024/Mjallby-Stats" TargetMode="External"/><Relationship Id="rId1877" Type="http://schemas.openxmlformats.org/officeDocument/2006/relationships/hyperlink" Target="https://fbref.com/en/players/6bf54cff/matchlogs/2024/summary/Noel-Tornqvist-Match-Logs" TargetMode="External"/><Relationship Id="rId1878" Type="http://schemas.openxmlformats.org/officeDocument/2006/relationships/hyperlink" Target="https://fbref.com/en/players/93945a50/Bazoumana-Toure" TargetMode="External"/><Relationship Id="rId1879" Type="http://schemas.openxmlformats.org/officeDocument/2006/relationships/hyperlink" Target="https://fbref.com/en/country/CIV/Cote-dIvoire-Football" TargetMode="External"/><Relationship Id="rId1870" Type="http://schemas.openxmlformats.org/officeDocument/2006/relationships/hyperlink" Target="https://fbref.com/en/players/f7533c1a/Noah-Tolf" TargetMode="External"/><Relationship Id="rId1871" Type="http://schemas.openxmlformats.org/officeDocument/2006/relationships/hyperlink" Target="https://fbref.com/en/country/SWE/Sweden-Football" TargetMode="External"/><Relationship Id="rId1872" Type="http://schemas.openxmlformats.org/officeDocument/2006/relationships/hyperlink" Target="https://fbref.com/en/squads/ef1ab26a/2024/Goteborg-Stats" TargetMode="External"/><Relationship Id="rId1862" Type="http://schemas.openxmlformats.org/officeDocument/2006/relationships/hyperlink" Target="https://fbref.com/en/players/5e4dae5f/Alex-Timossi-Andersson" TargetMode="External"/><Relationship Id="rId1863" Type="http://schemas.openxmlformats.org/officeDocument/2006/relationships/hyperlink" Target="https://fbref.com/en/country/SWE/Sweden-Football" TargetMode="External"/><Relationship Id="rId1864" Type="http://schemas.openxmlformats.org/officeDocument/2006/relationships/hyperlink" Target="https://fbref.com/en/squads/bb9e11b2/2024/Brommapojkarna-Stats" TargetMode="External"/><Relationship Id="rId1865" Type="http://schemas.openxmlformats.org/officeDocument/2006/relationships/hyperlink" Target="https://fbref.com/en/players/5e4dae5f/matchlogs/2024/summary/Alex-Timossi-Andersson-Match-Logs" TargetMode="External"/><Relationship Id="rId1866" Type="http://schemas.openxmlformats.org/officeDocument/2006/relationships/hyperlink" Target="https://fbref.com/en/players/0fe96099/Anton-Tinnerholm" TargetMode="External"/><Relationship Id="rId1867" Type="http://schemas.openxmlformats.org/officeDocument/2006/relationships/hyperlink" Target="https://fbref.com/en/country/SWE/Sweden-Football" TargetMode="External"/><Relationship Id="rId1868" Type="http://schemas.openxmlformats.org/officeDocument/2006/relationships/hyperlink" Target="https://fbref.com/en/squads/f3d8c8b9/2024/Malmo-Stats" TargetMode="External"/><Relationship Id="rId1869" Type="http://schemas.openxmlformats.org/officeDocument/2006/relationships/hyperlink" Target="https://fbref.com/en/players/0fe96099/matchlogs/2024/summary/Anton-Tinnerholm-Match-Logs" TargetMode="External"/><Relationship Id="rId1860" Type="http://schemas.openxmlformats.org/officeDocument/2006/relationships/hyperlink" Target="https://fbref.com/en/squads/b1a7a7b9/2024/Mjallby-Stats" TargetMode="External"/><Relationship Id="rId1861" Type="http://schemas.openxmlformats.org/officeDocument/2006/relationships/hyperlink" Target="https://fbref.com/en/players/0193b319/matchlogs/2024/summary/Ludvig-Tidstrand-Match-Logs" TargetMode="External"/><Relationship Id="rId1810" Type="http://schemas.openxmlformats.org/officeDocument/2006/relationships/hyperlink" Target="https://fbref.com/en/players/733713ef/Gustav-Svensson" TargetMode="External"/><Relationship Id="rId1811" Type="http://schemas.openxmlformats.org/officeDocument/2006/relationships/hyperlink" Target="https://fbref.com/en/country/SWE/Sweden-Football" TargetMode="External"/><Relationship Id="rId1812" Type="http://schemas.openxmlformats.org/officeDocument/2006/relationships/hyperlink" Target="https://fbref.com/en/squads/ef1ab26a/2024/Goteborg-Stats" TargetMode="External"/><Relationship Id="rId1813" Type="http://schemas.openxmlformats.org/officeDocument/2006/relationships/hyperlink" Target="https://fbref.com/en/players/733713ef/matchlogs/2024/summary/Gustav-Svensson-Match-Logs" TargetMode="External"/><Relationship Id="rId1814" Type="http://schemas.openxmlformats.org/officeDocument/2006/relationships/hyperlink" Target="https://fbref.com/en/players/f8c9069b/Liam-Svensson" TargetMode="External"/><Relationship Id="rId1815" Type="http://schemas.openxmlformats.org/officeDocument/2006/relationships/hyperlink" Target="https://fbref.com/en/country/SWE/Sweden-Football" TargetMode="External"/><Relationship Id="rId1816" Type="http://schemas.openxmlformats.org/officeDocument/2006/relationships/hyperlink" Target="https://fbref.com/en/squads/b1a7a7b9/2024/Mjallby-Stats" TargetMode="External"/><Relationship Id="rId1817" Type="http://schemas.openxmlformats.org/officeDocument/2006/relationships/hyperlink" Target="https://fbref.com/en/players/f8c9069b/matchlogs/2024/summary/Liam-Svensson-Match-Logs" TargetMode="External"/><Relationship Id="rId1818" Type="http://schemas.openxmlformats.org/officeDocument/2006/relationships/hyperlink" Target="https://fbref.com/en/players/6d902017/Max-Svensson" TargetMode="External"/><Relationship Id="rId1819" Type="http://schemas.openxmlformats.org/officeDocument/2006/relationships/hyperlink" Target="https://fbref.com/en/country/SWE/Sweden-Football" TargetMode="External"/><Relationship Id="rId1800" Type="http://schemas.openxmlformats.org/officeDocument/2006/relationships/hyperlink" Target="https://fbref.com/en/squads/b1a7a7b9/2024/Mjallby-Stats" TargetMode="External"/><Relationship Id="rId1801" Type="http://schemas.openxmlformats.org/officeDocument/2006/relationships/hyperlink" Target="https://fbref.com/en/players/ff11bdec/matchlogs/2024/summary/Elliot-Stroud-Match-Logs" TargetMode="External"/><Relationship Id="rId1802" Type="http://schemas.openxmlformats.org/officeDocument/2006/relationships/hyperlink" Target="https://fbref.com/en/players/f91e81c9/Jens-Stryger-Larsen" TargetMode="External"/><Relationship Id="rId1803" Type="http://schemas.openxmlformats.org/officeDocument/2006/relationships/hyperlink" Target="https://fbref.com/en/country/DEN/Denmark-Football" TargetMode="External"/><Relationship Id="rId1804" Type="http://schemas.openxmlformats.org/officeDocument/2006/relationships/hyperlink" Target="https://fbref.com/en/squads/f3d8c8b9/2024/Malmo-Stats" TargetMode="External"/><Relationship Id="rId1805" Type="http://schemas.openxmlformats.org/officeDocument/2006/relationships/hyperlink" Target="https://fbref.com/en/players/f91e81c9/matchlogs/2024/summary/Jens-Stryger-Larsen-Match-Logs" TargetMode="External"/><Relationship Id="rId1806" Type="http://schemas.openxmlformats.org/officeDocument/2006/relationships/hyperlink" Target="https://fbref.com/en/players/b9ea2f44/Jonathan-Svedberg" TargetMode="External"/><Relationship Id="rId1807" Type="http://schemas.openxmlformats.org/officeDocument/2006/relationships/hyperlink" Target="https://fbref.com/en/country/SWE/Sweden-Football" TargetMode="External"/><Relationship Id="rId1808" Type="http://schemas.openxmlformats.org/officeDocument/2006/relationships/hyperlink" Target="https://fbref.com/en/squads/17366e53/2024/Halmstad-Stats" TargetMode="External"/><Relationship Id="rId1809" Type="http://schemas.openxmlformats.org/officeDocument/2006/relationships/hyperlink" Target="https://fbref.com/en/players/b9ea2f44/matchlogs/2024/summary/Jonathan-Svedberg-Match-Logs" TargetMode="External"/><Relationship Id="rId1830" Type="http://schemas.openxmlformats.org/officeDocument/2006/relationships/hyperlink" Target="https://fbref.com/en/players/c631ba63/Jakob-Tannander" TargetMode="External"/><Relationship Id="rId1831" Type="http://schemas.openxmlformats.org/officeDocument/2006/relationships/hyperlink" Target="https://fbref.com/en/country/SWE/Sweden-Football" TargetMode="External"/><Relationship Id="rId1832" Type="http://schemas.openxmlformats.org/officeDocument/2006/relationships/hyperlink" Target="https://fbref.com/en/squads/e9d60d0c/2024/Sirius-Stats" TargetMode="External"/><Relationship Id="rId1833" Type="http://schemas.openxmlformats.org/officeDocument/2006/relationships/hyperlink" Target="https://fbref.com/en/players/c631ba63/matchlogs/2024/summary/Jakob-Tannander-Match-Logs" TargetMode="External"/><Relationship Id="rId1834" Type="http://schemas.openxmlformats.org/officeDocument/2006/relationships/hyperlink" Target="https://fbref.com/en/players/57bc1cbc/Divine-Teah" TargetMode="External"/><Relationship Id="rId1835" Type="http://schemas.openxmlformats.org/officeDocument/2006/relationships/hyperlink" Target="https://fbref.com/en/country/LBR/Liberia-Football" TargetMode="External"/><Relationship Id="rId1836" Type="http://schemas.openxmlformats.org/officeDocument/2006/relationships/hyperlink" Target="https://fbref.com/en/squads/92bfd7f0/2024/Hammarby-Stats" TargetMode="External"/><Relationship Id="rId1837" Type="http://schemas.openxmlformats.org/officeDocument/2006/relationships/hyperlink" Target="https://fbref.com/en/players/57bc1cbc/matchlogs/2024/summary/Divine-Teah-Match-Logs" TargetMode="External"/><Relationship Id="rId1838" Type="http://schemas.openxmlformats.org/officeDocument/2006/relationships/hyperlink" Target="https://fbref.com/en/players/ed16934e/Tesfaldet-Tekie" TargetMode="External"/><Relationship Id="rId1839" Type="http://schemas.openxmlformats.org/officeDocument/2006/relationships/hyperlink" Target="https://fbref.com/en/country/SWE/Sweden-Football" TargetMode="External"/><Relationship Id="rId1820" Type="http://schemas.openxmlformats.org/officeDocument/2006/relationships/hyperlink" Target="https://fbref.com/en/squads/9f13771c/2024/Kalmar-Stats" TargetMode="External"/><Relationship Id="rId1821" Type="http://schemas.openxmlformats.org/officeDocument/2006/relationships/hyperlink" Target="https://fbref.com/en/players/6d902017/matchlogs/2024/summary/Max-Svensson-Match-Logs" TargetMode="External"/><Relationship Id="rId1822" Type="http://schemas.openxmlformats.org/officeDocument/2006/relationships/hyperlink" Target="https://fbref.com/en/players/40134a35/Lars-Saetra" TargetMode="External"/><Relationship Id="rId1823" Type="http://schemas.openxmlformats.org/officeDocument/2006/relationships/hyperlink" Target="https://fbref.com/en/country/NOR/Norway-Football" TargetMode="External"/><Relationship Id="rId1824" Type="http://schemas.openxmlformats.org/officeDocument/2006/relationships/hyperlink" Target="https://fbref.com/en/squads/9f13771c/2024/Kalmar-Stats" TargetMode="External"/><Relationship Id="rId1825" Type="http://schemas.openxmlformats.org/officeDocument/2006/relationships/hyperlink" Target="https://fbref.com/en/players/40134a35/matchlogs/2024/summary/Lars-Saetra-Match-Logs" TargetMode="External"/><Relationship Id="rId1826" Type="http://schemas.openxmlformats.org/officeDocument/2006/relationships/hyperlink" Target="https://fbref.com/en/players/e294cb83/Liam-Tahwildaran" TargetMode="External"/><Relationship Id="rId1827" Type="http://schemas.openxmlformats.org/officeDocument/2006/relationships/hyperlink" Target="https://fbref.com/en/country/SWE/Sweden-Football" TargetMode="External"/><Relationship Id="rId1828" Type="http://schemas.openxmlformats.org/officeDocument/2006/relationships/hyperlink" Target="https://fbref.com/en/squads/bb9e11b2/2024/Brommapojkarna-Stats" TargetMode="External"/><Relationship Id="rId1829" Type="http://schemas.openxmlformats.org/officeDocument/2006/relationships/hyperlink" Target="https://fbref.com/en/players/e294cb83/matchlogs/2024/summary/Liam-Tahwildaran-Match-Logs" TargetMode="External"/><Relationship Id="rId1455" Type="http://schemas.openxmlformats.org/officeDocument/2006/relationships/hyperlink" Target="https://fbref.com/en/players/106c96fe/Vince-Osuji" TargetMode="External"/><Relationship Id="rId1456" Type="http://schemas.openxmlformats.org/officeDocument/2006/relationships/hyperlink" Target="https://fbref.com/en/country/NGA/Nigeria-Football" TargetMode="External"/><Relationship Id="rId1457" Type="http://schemas.openxmlformats.org/officeDocument/2006/relationships/hyperlink" Target="https://fbref.com/en/squads/9f13771c/2024/Kalmar-Stats" TargetMode="External"/><Relationship Id="rId1458" Type="http://schemas.openxmlformats.org/officeDocument/2006/relationships/hyperlink" Target="https://fbref.com/en/players/106c96fe/matchlogs/2024/summary/Vince-Osuji-Match-Logs" TargetMode="External"/><Relationship Id="rId1459" Type="http://schemas.openxmlformats.org/officeDocument/2006/relationships/hyperlink" Target="https://fbref.com/en/players/c76c4e99/Timothy-Ouma" TargetMode="External"/><Relationship Id="rId629" Type="http://schemas.openxmlformats.org/officeDocument/2006/relationships/hyperlink" Target="https://fbref.com/en/players/494bff86/matchlogs/2024/summary/Alex-Gersbach-Match-Logs" TargetMode="External"/><Relationship Id="rId624" Type="http://schemas.openxmlformats.org/officeDocument/2006/relationships/hyperlink" Target="https://fbref.com/en/squads/a8481ab9/2024/Vasteras-Stats" TargetMode="External"/><Relationship Id="rId623" Type="http://schemas.openxmlformats.org/officeDocument/2006/relationships/hyperlink" Target="https://fbref.com/en/country/SWE/Sweden-Football" TargetMode="External"/><Relationship Id="rId622" Type="http://schemas.openxmlformats.org/officeDocument/2006/relationships/hyperlink" Target="https://fbref.com/en/players/f36e97b3/Simon-Gefvert" TargetMode="External"/><Relationship Id="rId621" Type="http://schemas.openxmlformats.org/officeDocument/2006/relationships/hyperlink" Target="https://fbref.com/en/players/22671344/matchlogs/2024/summary/Albin-Gashi-Match-Logs" TargetMode="External"/><Relationship Id="rId628" Type="http://schemas.openxmlformats.org/officeDocument/2006/relationships/hyperlink" Target="https://fbref.com/en/squads/9f13771c/2024/Kalmar-Stats" TargetMode="External"/><Relationship Id="rId627" Type="http://schemas.openxmlformats.org/officeDocument/2006/relationships/hyperlink" Target="https://fbref.com/en/country/AUS/Australia-Football" TargetMode="External"/><Relationship Id="rId626" Type="http://schemas.openxmlformats.org/officeDocument/2006/relationships/hyperlink" Target="https://fbref.com/en/players/494bff86/Alex-Gersbach" TargetMode="External"/><Relationship Id="rId625" Type="http://schemas.openxmlformats.org/officeDocument/2006/relationships/hyperlink" Target="https://fbref.com/en/players/f36e97b3/matchlogs/2024/summary/Simon-Gefvert-Match-Logs" TargetMode="External"/><Relationship Id="rId1450" Type="http://schemas.openxmlformats.org/officeDocument/2006/relationships/hyperlink" Target="https://fbref.com/en/players/e8f5c328/matchlogs/2024/summary/Jacob-Ortmark-Match-Logs" TargetMode="External"/><Relationship Id="rId620" Type="http://schemas.openxmlformats.org/officeDocument/2006/relationships/hyperlink" Target="https://fbref.com/en/squads/8774e267/2024/BK-Hacken-Stats" TargetMode="External"/><Relationship Id="rId1451" Type="http://schemas.openxmlformats.org/officeDocument/2006/relationships/hyperlink" Target="https://fbref.com/en/players/3e346e16/Leo-Ostman" TargetMode="External"/><Relationship Id="rId1452" Type="http://schemas.openxmlformats.org/officeDocument/2006/relationships/hyperlink" Target="https://fbref.com/en/country/SWE/Sweden-Football" TargetMode="External"/><Relationship Id="rId1453" Type="http://schemas.openxmlformats.org/officeDocument/2006/relationships/hyperlink" Target="https://fbref.com/en/squads/50e85bfc/2024/Elfsborg-Stats" TargetMode="External"/><Relationship Id="rId1454" Type="http://schemas.openxmlformats.org/officeDocument/2006/relationships/hyperlink" Target="https://fbref.com/en/players/3e346e16/matchlogs/2024/summary/Leo-Ostman-Match-Logs" TargetMode="External"/><Relationship Id="rId1444" Type="http://schemas.openxmlformats.org/officeDocument/2006/relationships/hyperlink" Target="https://fbref.com/en/country/SWE/Sweden-Football" TargetMode="External"/><Relationship Id="rId1445" Type="http://schemas.openxmlformats.org/officeDocument/2006/relationships/hyperlink" Target="https://fbref.com/en/squads/bb9e11b2/2024/Brommapojkarna-Stats" TargetMode="External"/><Relationship Id="rId1446" Type="http://schemas.openxmlformats.org/officeDocument/2006/relationships/hyperlink" Target="https://fbref.com/en/players/d2f11b42/matchlogs/2024/summary/Rasmus-Orqvist-Match-Logs" TargetMode="External"/><Relationship Id="rId1447" Type="http://schemas.openxmlformats.org/officeDocument/2006/relationships/hyperlink" Target="https://fbref.com/en/players/e8f5c328/Jacob-Ortmark" TargetMode="External"/><Relationship Id="rId1448" Type="http://schemas.openxmlformats.org/officeDocument/2006/relationships/hyperlink" Target="https://fbref.com/en/country/SWE/Sweden-Football" TargetMode="External"/><Relationship Id="rId1449" Type="http://schemas.openxmlformats.org/officeDocument/2006/relationships/hyperlink" Target="https://fbref.com/en/squads/1d0836d6/2024/Norrkoping-Stats" TargetMode="External"/><Relationship Id="rId619" Type="http://schemas.openxmlformats.org/officeDocument/2006/relationships/hyperlink" Target="https://fbref.com/en/country/SWE/Sweden-Football" TargetMode="External"/><Relationship Id="rId618" Type="http://schemas.openxmlformats.org/officeDocument/2006/relationships/hyperlink" Target="https://fbref.com/en/players/22671344/Albin-Gashi" TargetMode="External"/><Relationship Id="rId613" Type="http://schemas.openxmlformats.org/officeDocument/2006/relationships/hyperlink" Target="https://fbref.com/en/players/1034f1e2/matchlogs/2024/summary/Richard-Friday-Match-Logs" TargetMode="External"/><Relationship Id="rId612" Type="http://schemas.openxmlformats.org/officeDocument/2006/relationships/hyperlink" Target="https://fbref.com/en/squads/7c2d1adb/2024/GAIS-Stats" TargetMode="External"/><Relationship Id="rId611" Type="http://schemas.openxmlformats.org/officeDocument/2006/relationships/hyperlink" Target="https://fbref.com/en/country/NGA/Nigeria-Football" TargetMode="External"/><Relationship Id="rId610" Type="http://schemas.openxmlformats.org/officeDocument/2006/relationships/hyperlink" Target="https://fbref.com/en/players/1034f1e2/Richard-Friday" TargetMode="External"/><Relationship Id="rId617" Type="http://schemas.openxmlformats.org/officeDocument/2006/relationships/hyperlink" Target="https://fbref.com/en/players/768667c0/matchlogs/2024/summary/Ludvig-Fritzson-Match-Logs" TargetMode="External"/><Relationship Id="rId616" Type="http://schemas.openxmlformats.org/officeDocument/2006/relationships/hyperlink" Target="https://fbref.com/en/squads/bb9e11b2/2024/Brommapojkarna-Stats" TargetMode="External"/><Relationship Id="rId615" Type="http://schemas.openxmlformats.org/officeDocument/2006/relationships/hyperlink" Target="https://fbref.com/en/country/SWE/Sweden-Football" TargetMode="External"/><Relationship Id="rId614" Type="http://schemas.openxmlformats.org/officeDocument/2006/relationships/hyperlink" Target="https://fbref.com/en/players/768667c0/Ludvig-Fritzson" TargetMode="External"/><Relationship Id="rId1440" Type="http://schemas.openxmlformats.org/officeDocument/2006/relationships/hyperlink" Target="https://fbref.com/en/country/SWE/Sweden-Football" TargetMode="External"/><Relationship Id="rId1441" Type="http://schemas.openxmlformats.org/officeDocument/2006/relationships/hyperlink" Target="https://fbref.com/en/squads/92bfd7f0/2024/Hammarby-Stats" TargetMode="External"/><Relationship Id="rId1442" Type="http://schemas.openxmlformats.org/officeDocument/2006/relationships/hyperlink" Target="https://fbref.com/en/players/0437f092/matchlogs/2024/summary/Elton-Opancar-Match-Logs" TargetMode="External"/><Relationship Id="rId1443" Type="http://schemas.openxmlformats.org/officeDocument/2006/relationships/hyperlink" Target="https://fbref.com/en/players/d2f11b42/Rasmus-Orqvist" TargetMode="External"/><Relationship Id="rId1477" Type="http://schemas.openxmlformats.org/officeDocument/2006/relationships/hyperlink" Target="https://fbref.com/en/squads/b1a7a7b9/2024/Mjallby-Stats" TargetMode="External"/><Relationship Id="rId1478" Type="http://schemas.openxmlformats.org/officeDocument/2006/relationships/hyperlink" Target="https://fbref.com/en/players/220659a5/matchlogs/2024/summary/Johan-Persson-Ahstedt-Match-Logs" TargetMode="External"/><Relationship Id="rId1479" Type="http://schemas.openxmlformats.org/officeDocument/2006/relationships/hyperlink" Target="https://fbref.com/en/players/8092f486/Joakim-Persson" TargetMode="External"/><Relationship Id="rId646" Type="http://schemas.openxmlformats.org/officeDocument/2006/relationships/hyperlink" Target="https://fbref.com/en/players/4937cd16/Viktor-Granath" TargetMode="External"/><Relationship Id="rId645" Type="http://schemas.openxmlformats.org/officeDocument/2006/relationships/hyperlink" Target="https://fbref.com/en/players/4937cd16/matchlogs/2024/summary/Viktor-Granath-Match-Logs" TargetMode="External"/><Relationship Id="rId644" Type="http://schemas.openxmlformats.org/officeDocument/2006/relationships/hyperlink" Target="https://fbref.com/en/squads/17366e53/2024/Halmstad-Stats" TargetMode="External"/><Relationship Id="rId643" Type="http://schemas.openxmlformats.org/officeDocument/2006/relationships/hyperlink" Target="https://fbref.com/en/country/SWE/Sweden-Football" TargetMode="External"/><Relationship Id="rId649" Type="http://schemas.openxmlformats.org/officeDocument/2006/relationships/hyperlink" Target="https://fbref.com/en/players/4937cd16/matchlogs/2024/summary/Viktor-Granath-Match-Logs" TargetMode="External"/><Relationship Id="rId648" Type="http://schemas.openxmlformats.org/officeDocument/2006/relationships/hyperlink" Target="https://fbref.com/en/squads/a8481ab9/2024/Vasteras-Stats" TargetMode="External"/><Relationship Id="rId647" Type="http://schemas.openxmlformats.org/officeDocument/2006/relationships/hyperlink" Target="https://fbref.com/en/country/SWE/Sweden-Football" TargetMode="External"/><Relationship Id="rId1470" Type="http://schemas.openxmlformats.org/officeDocument/2006/relationships/hyperlink" Target="https://fbref.com/en/players/dacd983e/matchlogs/2024/summary/John-Paul-Dembe-Match-Logs" TargetMode="External"/><Relationship Id="rId1471" Type="http://schemas.openxmlformats.org/officeDocument/2006/relationships/hyperlink" Target="https://fbref.com/en/players/eda8506a/Sergio-Pena" TargetMode="External"/><Relationship Id="rId1472" Type="http://schemas.openxmlformats.org/officeDocument/2006/relationships/hyperlink" Target="https://fbref.com/en/country/PER/Peru-Football" TargetMode="External"/><Relationship Id="rId642" Type="http://schemas.openxmlformats.org/officeDocument/2006/relationships/hyperlink" Target="https://fbref.com/en/players/4937cd16/Viktor-Granath" TargetMode="External"/><Relationship Id="rId1473" Type="http://schemas.openxmlformats.org/officeDocument/2006/relationships/hyperlink" Target="https://fbref.com/en/squads/f3d8c8b9/2024/Malmo-Stats" TargetMode="External"/><Relationship Id="rId641" Type="http://schemas.openxmlformats.org/officeDocument/2006/relationships/hyperlink" Target="https://fbref.com/en/players/52cf894f/matchlogs/2024/summary/Gustav-Granath-Match-Logs" TargetMode="External"/><Relationship Id="rId1474" Type="http://schemas.openxmlformats.org/officeDocument/2006/relationships/hyperlink" Target="https://fbref.com/en/players/eda8506a/matchlogs/2024/summary/Sergio-Pena-Match-Logs" TargetMode="External"/><Relationship Id="rId640" Type="http://schemas.openxmlformats.org/officeDocument/2006/relationships/hyperlink" Target="https://fbref.com/en/squads/a8481ab9/2024/Vasteras-Stats" TargetMode="External"/><Relationship Id="rId1475" Type="http://schemas.openxmlformats.org/officeDocument/2006/relationships/hyperlink" Target="https://fbref.com/en/players/220659a5/Johan-Persson-Ahstedt" TargetMode="External"/><Relationship Id="rId1476" Type="http://schemas.openxmlformats.org/officeDocument/2006/relationships/hyperlink" Target="https://fbref.com/en/country/SWE/Sweden-Football" TargetMode="External"/><Relationship Id="rId1466" Type="http://schemas.openxmlformats.org/officeDocument/2006/relationships/hyperlink" Target="https://fbref.com/en/players/da617483/matchlogs/2024/summary/Sotirios-Papagiannopoulos-Match-Logs" TargetMode="External"/><Relationship Id="rId1467" Type="http://schemas.openxmlformats.org/officeDocument/2006/relationships/hyperlink" Target="https://fbref.com/en/players/dacd983e/John-Paul-Dembe" TargetMode="External"/><Relationship Id="rId1468" Type="http://schemas.openxmlformats.org/officeDocument/2006/relationships/hyperlink" Target="https://fbref.com/en/country/UGA/Uganda-Football" TargetMode="External"/><Relationship Id="rId1469" Type="http://schemas.openxmlformats.org/officeDocument/2006/relationships/hyperlink" Target="https://fbref.com/en/squads/8774e267/2024/BK-Hacken-Stats" TargetMode="External"/><Relationship Id="rId635" Type="http://schemas.openxmlformats.org/officeDocument/2006/relationships/hyperlink" Target="https://fbref.com/en/country/LBR/Liberia-Football" TargetMode="External"/><Relationship Id="rId634" Type="http://schemas.openxmlformats.org/officeDocument/2006/relationships/hyperlink" Target="https://fbref.com/en/players/016abc63/Emmanuel-Gono" TargetMode="External"/><Relationship Id="rId633" Type="http://schemas.openxmlformats.org/officeDocument/2006/relationships/hyperlink" Target="https://fbref.com/en/players/65465292/matchlogs/2024/summary/Robert-Gojani-Match-Logs" TargetMode="External"/><Relationship Id="rId632" Type="http://schemas.openxmlformats.org/officeDocument/2006/relationships/hyperlink" Target="https://fbref.com/en/squads/9f13771c/2024/Kalmar-Stats" TargetMode="External"/><Relationship Id="rId639" Type="http://schemas.openxmlformats.org/officeDocument/2006/relationships/hyperlink" Target="https://fbref.com/en/country/SWE/Sweden-Football" TargetMode="External"/><Relationship Id="rId638" Type="http://schemas.openxmlformats.org/officeDocument/2006/relationships/hyperlink" Target="https://fbref.com/en/players/52cf894f/Gustav-Granath" TargetMode="External"/><Relationship Id="rId637" Type="http://schemas.openxmlformats.org/officeDocument/2006/relationships/hyperlink" Target="https://fbref.com/en/players/016abc63/matchlogs/2024/summary/Emmanuel-Gono-Match-Logs" TargetMode="External"/><Relationship Id="rId636" Type="http://schemas.openxmlformats.org/officeDocument/2006/relationships/hyperlink" Target="https://fbref.com/en/squads/b0333581/2024/AIK-Stockholm-Stats" TargetMode="External"/><Relationship Id="rId1460" Type="http://schemas.openxmlformats.org/officeDocument/2006/relationships/hyperlink" Target="https://fbref.com/en/country/KEN/Kenya-Football" TargetMode="External"/><Relationship Id="rId1461" Type="http://schemas.openxmlformats.org/officeDocument/2006/relationships/hyperlink" Target="https://fbref.com/en/squads/50e85bfc/2024/Elfsborg-Stats" TargetMode="External"/><Relationship Id="rId631" Type="http://schemas.openxmlformats.org/officeDocument/2006/relationships/hyperlink" Target="https://fbref.com/en/country/SWE/Sweden-Football" TargetMode="External"/><Relationship Id="rId1462" Type="http://schemas.openxmlformats.org/officeDocument/2006/relationships/hyperlink" Target="https://fbref.com/en/players/c76c4e99/matchlogs/2024/summary/Timothy-Ouma-Match-Logs" TargetMode="External"/><Relationship Id="rId630" Type="http://schemas.openxmlformats.org/officeDocument/2006/relationships/hyperlink" Target="https://fbref.com/en/players/65465292/Robert-Gojani" TargetMode="External"/><Relationship Id="rId1463" Type="http://schemas.openxmlformats.org/officeDocument/2006/relationships/hyperlink" Target="https://fbref.com/en/players/da617483/Sotirios-Papagiannopoulos" TargetMode="External"/><Relationship Id="rId1464" Type="http://schemas.openxmlformats.org/officeDocument/2006/relationships/hyperlink" Target="https://fbref.com/en/country/SWE/Sweden-Football" TargetMode="External"/><Relationship Id="rId1465" Type="http://schemas.openxmlformats.org/officeDocument/2006/relationships/hyperlink" Target="https://fbref.com/en/squads/b0333581/2024/AIK-Stockholm-Stats" TargetMode="External"/><Relationship Id="rId1411" Type="http://schemas.openxmlformats.org/officeDocument/2006/relationships/hyperlink" Target="https://fbref.com/en/players/57467297/Phil-Ofosu-Ayeh" TargetMode="External"/><Relationship Id="rId1895" Type="http://schemas.openxmlformats.org/officeDocument/2006/relationships/hyperlink" Target="https://fbref.com/en/country/JAM/Jamaica-Football" TargetMode="External"/><Relationship Id="rId1412" Type="http://schemas.openxmlformats.org/officeDocument/2006/relationships/hyperlink" Target="https://fbref.com/en/country/GHA/Ghana-Football" TargetMode="External"/><Relationship Id="rId1896" Type="http://schemas.openxmlformats.org/officeDocument/2006/relationships/hyperlink" Target="https://fbref.com/en/squads/17366e53/2024/Halmstad-Stats" TargetMode="External"/><Relationship Id="rId1413" Type="http://schemas.openxmlformats.org/officeDocument/2006/relationships/hyperlink" Target="https://fbref.com/en/squads/17366e53/2024/Halmstad-Stats" TargetMode="External"/><Relationship Id="rId1897" Type="http://schemas.openxmlformats.org/officeDocument/2006/relationships/hyperlink" Target="https://fbref.com/en/players/2c272afa/matchlogs/2024/summary/Blair-Turgott-Match-Logs" TargetMode="External"/><Relationship Id="rId1414" Type="http://schemas.openxmlformats.org/officeDocument/2006/relationships/hyperlink" Target="https://fbref.com/en/players/57467297/matchlogs/2024/summary/Phil-Ofosu-Ayeh-Match-Logs" TargetMode="External"/><Relationship Id="rId1898" Type="http://schemas.openxmlformats.org/officeDocument/2006/relationships/hyperlink" Target="https://fbref.com/en/players/2c272afa/Blair-Turgott" TargetMode="External"/><Relationship Id="rId1415" Type="http://schemas.openxmlformats.org/officeDocument/2006/relationships/hyperlink" Target="https://fbref.com/en/players/4f4c6263/Sebastian-Ohlsson" TargetMode="External"/><Relationship Id="rId1899" Type="http://schemas.openxmlformats.org/officeDocument/2006/relationships/hyperlink" Target="https://fbref.com/en/country/JAM/Jamaica-Football" TargetMode="External"/><Relationship Id="rId1416" Type="http://schemas.openxmlformats.org/officeDocument/2006/relationships/hyperlink" Target="https://fbref.com/en/country/SWE/Sweden-Football" TargetMode="External"/><Relationship Id="rId1417" Type="http://schemas.openxmlformats.org/officeDocument/2006/relationships/hyperlink" Target="https://fbref.com/en/squads/ef1ab26a/2024/Goteborg-Stats" TargetMode="External"/><Relationship Id="rId1418" Type="http://schemas.openxmlformats.org/officeDocument/2006/relationships/hyperlink" Target="https://fbref.com/en/players/4f4c6263/matchlogs/2024/summary/Sebastian-Ohlsson-Match-Logs" TargetMode="External"/><Relationship Id="rId1419" Type="http://schemas.openxmlformats.org/officeDocument/2006/relationships/hyperlink" Target="https://fbref.com/en/players/5fb82e5f/Filip-Ohman" TargetMode="External"/><Relationship Id="rId1890" Type="http://schemas.openxmlformats.org/officeDocument/2006/relationships/hyperlink" Target="https://fbref.com/en/players/b787f0aa/Filip-Trpchevski" TargetMode="External"/><Relationship Id="rId1891" Type="http://schemas.openxmlformats.org/officeDocument/2006/relationships/hyperlink" Target="https://fbref.com/en/country/MKD/North-Macedonia-Football" TargetMode="External"/><Relationship Id="rId1892" Type="http://schemas.openxmlformats.org/officeDocument/2006/relationships/hyperlink" Target="https://fbref.com/en/squads/8774e267/2024/BK-Hacken-Stats" TargetMode="External"/><Relationship Id="rId1893" Type="http://schemas.openxmlformats.org/officeDocument/2006/relationships/hyperlink" Target="https://fbref.com/en/players/b787f0aa/matchlogs/2024/summary/Filip-Trpchevski-Match-Logs" TargetMode="External"/><Relationship Id="rId1410" Type="http://schemas.openxmlformats.org/officeDocument/2006/relationships/hyperlink" Target="https://fbref.com/en/players/58f03998/matchlogs/2024/summary/Henry-Offia-Match-Logs" TargetMode="External"/><Relationship Id="rId1894" Type="http://schemas.openxmlformats.org/officeDocument/2006/relationships/hyperlink" Target="https://fbref.com/en/players/2c272afa/Blair-Turgott" TargetMode="External"/><Relationship Id="rId1400" Type="http://schemas.openxmlformats.org/officeDocument/2006/relationships/hyperlink" Target="https://fbref.com/en/country/SWE/Sweden-Football" TargetMode="External"/><Relationship Id="rId1884" Type="http://schemas.openxmlformats.org/officeDocument/2006/relationships/hyperlink" Target="https://fbref.com/en/squads/9f13771c/2024/Kalmar-Stats" TargetMode="External"/><Relationship Id="rId1401" Type="http://schemas.openxmlformats.org/officeDocument/2006/relationships/hyperlink" Target="https://fbref.com/en/squads/1d0836d6/2024/Norrkoping-Stats" TargetMode="External"/><Relationship Id="rId1885" Type="http://schemas.openxmlformats.org/officeDocument/2006/relationships/hyperlink" Target="https://fbref.com/en/players/bcd60cb7/matchlogs/2024/summary/Jacob-Trenskow-Match-Logs" TargetMode="External"/><Relationship Id="rId1402" Type="http://schemas.openxmlformats.org/officeDocument/2006/relationships/hyperlink" Target="https://fbref.com/en/players/f9e3ef15/matchlogs/2024/summary/Christoffer-Nyman-Match-Logs" TargetMode="External"/><Relationship Id="rId1886" Type="http://schemas.openxmlformats.org/officeDocument/2006/relationships/hyperlink" Target="https://fbref.com/en/players/438ae11e/Anders-Trondsen" TargetMode="External"/><Relationship Id="rId1403" Type="http://schemas.openxmlformats.org/officeDocument/2006/relationships/hyperlink" Target="https://fbref.com/en/players/7a208c6d/Wilmer-Odefalk" TargetMode="External"/><Relationship Id="rId1887" Type="http://schemas.openxmlformats.org/officeDocument/2006/relationships/hyperlink" Target="https://fbref.com/en/country/NOR/Norway-Football" TargetMode="External"/><Relationship Id="rId1404" Type="http://schemas.openxmlformats.org/officeDocument/2006/relationships/hyperlink" Target="https://fbref.com/en/country/SWE/Sweden-Football" TargetMode="External"/><Relationship Id="rId1888" Type="http://schemas.openxmlformats.org/officeDocument/2006/relationships/hyperlink" Target="https://fbref.com/en/squads/ef1ab26a/2024/Goteborg-Stats" TargetMode="External"/><Relationship Id="rId1405" Type="http://schemas.openxmlformats.org/officeDocument/2006/relationships/hyperlink" Target="https://fbref.com/en/squads/bb9e11b2/2024/Brommapojkarna-Stats" TargetMode="External"/><Relationship Id="rId1889" Type="http://schemas.openxmlformats.org/officeDocument/2006/relationships/hyperlink" Target="https://fbref.com/en/players/438ae11e/matchlogs/2024/summary/Anders-Trondsen-Match-Logs" TargetMode="External"/><Relationship Id="rId1406" Type="http://schemas.openxmlformats.org/officeDocument/2006/relationships/hyperlink" Target="https://fbref.com/en/players/7a208c6d/matchlogs/2024/summary/Wilmer-Odefalk-Match-Logs" TargetMode="External"/><Relationship Id="rId1407" Type="http://schemas.openxmlformats.org/officeDocument/2006/relationships/hyperlink" Target="https://fbref.com/en/players/58f03998/Henry-Offia" TargetMode="External"/><Relationship Id="rId1408" Type="http://schemas.openxmlformats.org/officeDocument/2006/relationships/hyperlink" Target="https://fbref.com/en/country/NGA/Nigeria-Football" TargetMode="External"/><Relationship Id="rId1409" Type="http://schemas.openxmlformats.org/officeDocument/2006/relationships/hyperlink" Target="https://fbref.com/en/squads/a8481ab9/2024/Vasteras-Stats" TargetMode="External"/><Relationship Id="rId1880" Type="http://schemas.openxmlformats.org/officeDocument/2006/relationships/hyperlink" Target="https://fbref.com/en/squads/92bfd7f0/2024/Hammarby-Stats" TargetMode="External"/><Relationship Id="rId1881" Type="http://schemas.openxmlformats.org/officeDocument/2006/relationships/hyperlink" Target="https://fbref.com/en/players/93945a50/matchlogs/2024/summary/Bazoumana-Toure-Match-Logs" TargetMode="External"/><Relationship Id="rId1882" Type="http://schemas.openxmlformats.org/officeDocument/2006/relationships/hyperlink" Target="https://fbref.com/en/players/bcd60cb7/Jacob-Trenskow" TargetMode="External"/><Relationship Id="rId1883" Type="http://schemas.openxmlformats.org/officeDocument/2006/relationships/hyperlink" Target="https://fbref.com/en/country/DEN/Denmark-Football" TargetMode="External"/><Relationship Id="rId1433" Type="http://schemas.openxmlformats.org/officeDocument/2006/relationships/hyperlink" Target="https://fbref.com/en/squads/17366e53/2024/Halmstad-Stats" TargetMode="External"/><Relationship Id="rId1434" Type="http://schemas.openxmlformats.org/officeDocument/2006/relationships/hyperlink" Target="https://fbref.com/en/players/47e41ec8/matchlogs/2024/summary/Marcus-Olsson-Match-Logs" TargetMode="External"/><Relationship Id="rId1435" Type="http://schemas.openxmlformats.org/officeDocument/2006/relationships/hyperlink" Target="https://fbref.com/en/players/2f72f79e/Martin-Olsson" TargetMode="External"/><Relationship Id="rId1436" Type="http://schemas.openxmlformats.org/officeDocument/2006/relationships/hyperlink" Target="https://fbref.com/en/country/SWE/Sweden-Football" TargetMode="External"/><Relationship Id="rId1437" Type="http://schemas.openxmlformats.org/officeDocument/2006/relationships/hyperlink" Target="https://fbref.com/en/squads/f3d8c8b9/2024/Malmo-Stats" TargetMode="External"/><Relationship Id="rId1438" Type="http://schemas.openxmlformats.org/officeDocument/2006/relationships/hyperlink" Target="https://fbref.com/en/players/2f72f79e/matchlogs/2024/summary/Martin-Olsson-Match-Logs" TargetMode="External"/><Relationship Id="rId1439" Type="http://schemas.openxmlformats.org/officeDocument/2006/relationships/hyperlink" Target="https://fbref.com/en/players/0437f092/Elton-Opancar" TargetMode="External"/><Relationship Id="rId609" Type="http://schemas.openxmlformats.org/officeDocument/2006/relationships/hyperlink" Target="https://fbref.com/en/players/374368f1/matchlogs/2024/summary/Per-Frick-Match-Logs" TargetMode="External"/><Relationship Id="rId608" Type="http://schemas.openxmlformats.org/officeDocument/2006/relationships/hyperlink" Target="https://fbref.com/en/squads/50e85bfc/2024/Elfsborg-Stats" TargetMode="External"/><Relationship Id="rId607" Type="http://schemas.openxmlformats.org/officeDocument/2006/relationships/hyperlink" Target="https://fbref.com/en/country/SWE/Sweden-Football" TargetMode="External"/><Relationship Id="rId602" Type="http://schemas.openxmlformats.org/officeDocument/2006/relationships/hyperlink" Target="https://fbref.com/en/players/3e588bf5/Gustav-Friberg" TargetMode="External"/><Relationship Id="rId601" Type="http://schemas.openxmlformats.org/officeDocument/2006/relationships/hyperlink" Target="https://fbref.com/en/players/789b7e89/matchlogs/2024/summary/Hlynur-Freyr-Karlsson-Match-Logs" TargetMode="External"/><Relationship Id="rId600" Type="http://schemas.openxmlformats.org/officeDocument/2006/relationships/hyperlink" Target="https://fbref.com/en/squads/bb9e11b2/2024/Brommapojkarna-Stats" TargetMode="External"/><Relationship Id="rId606" Type="http://schemas.openxmlformats.org/officeDocument/2006/relationships/hyperlink" Target="https://fbref.com/en/players/374368f1/Per-Frick" TargetMode="External"/><Relationship Id="rId605" Type="http://schemas.openxmlformats.org/officeDocument/2006/relationships/hyperlink" Target="https://fbref.com/en/players/3e588bf5/matchlogs/2024/summary/Gustav-Friberg-Match-Logs" TargetMode="External"/><Relationship Id="rId604" Type="http://schemas.openxmlformats.org/officeDocument/2006/relationships/hyperlink" Target="https://fbref.com/en/squads/17366e53/2024/Halmstad-Stats" TargetMode="External"/><Relationship Id="rId603" Type="http://schemas.openxmlformats.org/officeDocument/2006/relationships/hyperlink" Target="https://fbref.com/en/country/SWE/Sweden-Football" TargetMode="External"/><Relationship Id="rId1430" Type="http://schemas.openxmlformats.org/officeDocument/2006/relationships/hyperlink" Target="https://fbref.com/en/players/03083eb8/matchlogs/2024/summary/Filip-Olsson-Match-Logs" TargetMode="External"/><Relationship Id="rId1431" Type="http://schemas.openxmlformats.org/officeDocument/2006/relationships/hyperlink" Target="https://fbref.com/en/players/47e41ec8/Marcus-Olsson" TargetMode="External"/><Relationship Id="rId1432" Type="http://schemas.openxmlformats.org/officeDocument/2006/relationships/hyperlink" Target="https://fbref.com/en/country/SWE/Sweden-Football" TargetMode="External"/><Relationship Id="rId1422" Type="http://schemas.openxmlformats.org/officeDocument/2006/relationships/hyperlink" Target="https://fbref.com/en/players/5fb82e5f/matchlogs/2024/summary/Filip-Ohman-Match-Logs" TargetMode="External"/><Relationship Id="rId1423" Type="http://schemas.openxmlformats.org/officeDocument/2006/relationships/hyperlink" Target="https://fbref.com/en/players/9e4df3ba/Lars-Olden-Larsen" TargetMode="External"/><Relationship Id="rId1424" Type="http://schemas.openxmlformats.org/officeDocument/2006/relationships/hyperlink" Target="https://fbref.com/en/country/NOR/Norway-Football" TargetMode="External"/><Relationship Id="rId1425" Type="http://schemas.openxmlformats.org/officeDocument/2006/relationships/hyperlink" Target="https://fbref.com/en/squads/8774e267/2024/BK-Hacken-Stats" TargetMode="External"/><Relationship Id="rId1426" Type="http://schemas.openxmlformats.org/officeDocument/2006/relationships/hyperlink" Target="https://fbref.com/en/players/9e4df3ba/matchlogs/2024/summary/Lars-Olden-Larsen-Match-Logs" TargetMode="External"/><Relationship Id="rId1427" Type="http://schemas.openxmlformats.org/officeDocument/2006/relationships/hyperlink" Target="https://fbref.com/en/players/03083eb8/Filip-Olsson" TargetMode="External"/><Relationship Id="rId1428" Type="http://schemas.openxmlformats.org/officeDocument/2006/relationships/hyperlink" Target="https://fbref.com/en/country/SWE/Sweden-Football" TargetMode="External"/><Relationship Id="rId1429" Type="http://schemas.openxmlformats.org/officeDocument/2006/relationships/hyperlink" Target="https://fbref.com/en/squads/e9d60d0c/2024/Sirius-Stats" TargetMode="External"/><Relationship Id="rId1420" Type="http://schemas.openxmlformats.org/officeDocument/2006/relationships/hyperlink" Target="https://fbref.com/en/country/SWE/Sweden-Football" TargetMode="External"/><Relationship Id="rId1421" Type="http://schemas.openxmlformats.org/officeDocument/2006/relationships/hyperlink" Target="https://fbref.com/en/squads/8774e267/2024/BK-Hacken-Stats" TargetMode="External"/><Relationship Id="rId1059" Type="http://schemas.openxmlformats.org/officeDocument/2006/relationships/hyperlink" Target="https://fbref.com/en/squads/d048ed60/2024/Varnamo-Stats" TargetMode="External"/><Relationship Id="rId228" Type="http://schemas.openxmlformats.org/officeDocument/2006/relationships/hyperlink" Target="https://fbref.com/en/country/SWE/Sweden-Football" TargetMode="External"/><Relationship Id="rId227" Type="http://schemas.openxmlformats.org/officeDocument/2006/relationships/hyperlink" Target="https://fbref.com/en/players/665d3deb/Jacob-Bergstrom" TargetMode="External"/><Relationship Id="rId226" Type="http://schemas.openxmlformats.org/officeDocument/2006/relationships/hyperlink" Target="https://fbref.com/en/players/b6c9898a/matchlogs/2024/summary/Viktor-Bergh-Match-Logs" TargetMode="External"/><Relationship Id="rId225" Type="http://schemas.openxmlformats.org/officeDocument/2006/relationships/hyperlink" Target="https://fbref.com/en/squads/9423c05a/2024/Djurgarden-Stats" TargetMode="External"/><Relationship Id="rId229" Type="http://schemas.openxmlformats.org/officeDocument/2006/relationships/hyperlink" Target="https://fbref.com/en/squads/b1a7a7b9/2024/Mjallby-Stats" TargetMode="External"/><Relationship Id="rId1050" Type="http://schemas.openxmlformats.org/officeDocument/2006/relationships/hyperlink" Target="https://fbref.com/en/country/SWE/Sweden-Football" TargetMode="External"/><Relationship Id="rId220" Type="http://schemas.openxmlformats.org/officeDocument/2006/relationships/hyperlink" Target="https://fbref.com/en/country/SWE/Sweden-Football" TargetMode="External"/><Relationship Id="rId1051" Type="http://schemas.openxmlformats.org/officeDocument/2006/relationships/hyperlink" Target="https://fbref.com/en/squads/ef1ab26a/2024/Goteborg-Stats" TargetMode="External"/><Relationship Id="rId1052" Type="http://schemas.openxmlformats.org/officeDocument/2006/relationships/hyperlink" Target="https://fbref.com/en/players/885bee8f/matchlogs/2024/summary/Melvin-Koliqi-Match-Logs" TargetMode="External"/><Relationship Id="rId1053" Type="http://schemas.openxmlformats.org/officeDocument/2006/relationships/hyperlink" Target="https://fbref.com/en/players/659dd009/Keita-Kosugi" TargetMode="External"/><Relationship Id="rId1054" Type="http://schemas.openxmlformats.org/officeDocument/2006/relationships/hyperlink" Target="https://fbref.com/en/country/JPN/Japan-Football" TargetMode="External"/><Relationship Id="rId224" Type="http://schemas.openxmlformats.org/officeDocument/2006/relationships/hyperlink" Target="https://fbref.com/en/country/SWE/Sweden-Football" TargetMode="External"/><Relationship Id="rId1055" Type="http://schemas.openxmlformats.org/officeDocument/2006/relationships/hyperlink" Target="https://fbref.com/en/squads/9423c05a/2024/Djurgarden-Stats" TargetMode="External"/><Relationship Id="rId223" Type="http://schemas.openxmlformats.org/officeDocument/2006/relationships/hyperlink" Target="https://fbref.com/en/players/b6c9898a/Viktor-Bergh" TargetMode="External"/><Relationship Id="rId1056" Type="http://schemas.openxmlformats.org/officeDocument/2006/relationships/hyperlink" Target="https://fbref.com/en/players/659dd009/matchlogs/2024/summary/Keita-Kosugi-Match-Logs" TargetMode="External"/><Relationship Id="rId222" Type="http://schemas.openxmlformats.org/officeDocument/2006/relationships/hyperlink" Target="https://fbref.com/en/players/b6c9898a/matchlogs/2024/summary/Viktor-Bergh-Match-Logs" TargetMode="External"/><Relationship Id="rId1057" Type="http://schemas.openxmlformats.org/officeDocument/2006/relationships/hyperlink" Target="https://fbref.com/en/players/aed4602d/Samuel-Kotto" TargetMode="External"/><Relationship Id="rId221" Type="http://schemas.openxmlformats.org/officeDocument/2006/relationships/hyperlink" Target="https://fbref.com/en/squads/d048ed60/2024/Varnamo-Stats" TargetMode="External"/><Relationship Id="rId1058" Type="http://schemas.openxmlformats.org/officeDocument/2006/relationships/hyperlink" Target="https://fbref.com/en/country/CMR/Cameroon-Football" TargetMode="External"/><Relationship Id="rId1048" Type="http://schemas.openxmlformats.org/officeDocument/2006/relationships/hyperlink" Target="https://fbref.com/en/players/b261be76/matchlogs/2024/summary/David-Kjaer-Kruse-Match-Logs" TargetMode="External"/><Relationship Id="rId1049" Type="http://schemas.openxmlformats.org/officeDocument/2006/relationships/hyperlink" Target="https://fbref.com/en/players/885bee8f/Melvin-Koliqi" TargetMode="External"/><Relationship Id="rId217" Type="http://schemas.openxmlformats.org/officeDocument/2006/relationships/hyperlink" Target="https://fbref.com/en/squads/f3d8c8b9/2024/Malmo-Stats" TargetMode="External"/><Relationship Id="rId216" Type="http://schemas.openxmlformats.org/officeDocument/2006/relationships/hyperlink" Target="https://fbref.com/en/country/NOR/Norway-Football" TargetMode="External"/><Relationship Id="rId215" Type="http://schemas.openxmlformats.org/officeDocument/2006/relationships/hyperlink" Target="https://fbref.com/en/players/6053df96/Oliver-Berg" TargetMode="External"/><Relationship Id="rId699" Type="http://schemas.openxmlformats.org/officeDocument/2006/relationships/hyperlink" Target="https://fbref.com/en/country/FIN/Finland-Football" TargetMode="External"/><Relationship Id="rId214" Type="http://schemas.openxmlformats.org/officeDocument/2006/relationships/hyperlink" Target="https://fbref.com/en/players/a0b95824/matchlogs/2024/summary/Lasse-Berg-Johnsen-Match-Logs" TargetMode="External"/><Relationship Id="rId698" Type="http://schemas.openxmlformats.org/officeDocument/2006/relationships/hyperlink" Target="https://fbref.com/en/players/2e18f55b/Santeri-Haarala" TargetMode="External"/><Relationship Id="rId219" Type="http://schemas.openxmlformats.org/officeDocument/2006/relationships/hyperlink" Target="https://fbref.com/en/players/b6c9898a/Viktor-Bergh" TargetMode="External"/><Relationship Id="rId218" Type="http://schemas.openxmlformats.org/officeDocument/2006/relationships/hyperlink" Target="https://fbref.com/en/players/6053df96/matchlogs/2024/summary/Oliver-Berg-Match-Logs" TargetMode="External"/><Relationship Id="rId693" Type="http://schemas.openxmlformats.org/officeDocument/2006/relationships/hyperlink" Target="https://fbref.com/en/players/34376913/matchlogs/2024/summary/Jesper-Gustavsson-Match-Logs" TargetMode="External"/><Relationship Id="rId1040" Type="http://schemas.openxmlformats.org/officeDocument/2006/relationships/hyperlink" Target="https://fbref.com/en/players/6962bd71/matchlogs/2024/summary/Jakob-Kiilerich-Match-Logs" TargetMode="External"/><Relationship Id="rId692" Type="http://schemas.openxmlformats.org/officeDocument/2006/relationships/hyperlink" Target="https://fbref.com/en/squads/b1a7a7b9/2024/Mjallby-Stats" TargetMode="External"/><Relationship Id="rId1041" Type="http://schemas.openxmlformats.org/officeDocument/2006/relationships/hyperlink" Target="https://fbref.com/en/players/cfdf1bfe/Jakob-Kindberg" TargetMode="External"/><Relationship Id="rId691" Type="http://schemas.openxmlformats.org/officeDocument/2006/relationships/hyperlink" Target="https://fbref.com/en/country/SWE/Sweden-Football" TargetMode="External"/><Relationship Id="rId1042" Type="http://schemas.openxmlformats.org/officeDocument/2006/relationships/hyperlink" Target="https://fbref.com/en/country/SWE/Sweden-Football" TargetMode="External"/><Relationship Id="rId690" Type="http://schemas.openxmlformats.org/officeDocument/2006/relationships/hyperlink" Target="https://fbref.com/en/players/34376913/Jesper-Gustavsson" TargetMode="External"/><Relationship Id="rId1043" Type="http://schemas.openxmlformats.org/officeDocument/2006/relationships/hyperlink" Target="https://fbref.com/en/squads/9f13771c/2024/Kalmar-Stats" TargetMode="External"/><Relationship Id="rId213" Type="http://schemas.openxmlformats.org/officeDocument/2006/relationships/hyperlink" Target="https://fbref.com/en/squads/f3d8c8b9/2024/Malmo-Stats" TargetMode="External"/><Relationship Id="rId697" Type="http://schemas.openxmlformats.org/officeDocument/2006/relationships/hyperlink" Target="https://fbref.com/en/players/316262e1/matchlogs/2024/summary/Kingsley-Gyamfi-Match-Logs" TargetMode="External"/><Relationship Id="rId1044" Type="http://schemas.openxmlformats.org/officeDocument/2006/relationships/hyperlink" Target="https://fbref.com/en/players/cfdf1bfe/matchlogs/2024/summary/Jakob-Kindberg-Match-Logs" TargetMode="External"/><Relationship Id="rId212" Type="http://schemas.openxmlformats.org/officeDocument/2006/relationships/hyperlink" Target="https://fbref.com/en/country/NOR/Norway-Football" TargetMode="External"/><Relationship Id="rId696" Type="http://schemas.openxmlformats.org/officeDocument/2006/relationships/hyperlink" Target="https://fbref.com/en/squads/92bfd7f0/2024/Hammarby-Stats" TargetMode="External"/><Relationship Id="rId1045" Type="http://schemas.openxmlformats.org/officeDocument/2006/relationships/hyperlink" Target="https://fbref.com/en/players/b261be76/David-Kjaer-Kruse" TargetMode="External"/><Relationship Id="rId211" Type="http://schemas.openxmlformats.org/officeDocument/2006/relationships/hyperlink" Target="https://fbref.com/en/players/a0b95824/Lasse-Berg-Johnsen" TargetMode="External"/><Relationship Id="rId695" Type="http://schemas.openxmlformats.org/officeDocument/2006/relationships/hyperlink" Target="https://fbref.com/en/country/GHA/Ghana-Football" TargetMode="External"/><Relationship Id="rId1046" Type="http://schemas.openxmlformats.org/officeDocument/2006/relationships/hyperlink" Target="https://fbref.com/en/country/DEN/Denmark-Football" TargetMode="External"/><Relationship Id="rId210" Type="http://schemas.openxmlformats.org/officeDocument/2006/relationships/hyperlink" Target="https://fbref.com/en/players/ce30f585/matchlogs/2024/summary/Lion-Beqiri-Match-Logs" TargetMode="External"/><Relationship Id="rId694" Type="http://schemas.openxmlformats.org/officeDocument/2006/relationships/hyperlink" Target="https://fbref.com/en/players/316262e1/Kingsley-Gyamfi" TargetMode="External"/><Relationship Id="rId1047" Type="http://schemas.openxmlformats.org/officeDocument/2006/relationships/hyperlink" Target="https://fbref.com/en/squads/ef1ab26a/2024/Goteborg-Stats" TargetMode="External"/><Relationship Id="rId249" Type="http://schemas.openxmlformats.org/officeDocument/2006/relationships/hyperlink" Target="https://fbref.com/en/squads/92bfd7f0/2024/Hammarby-Stats" TargetMode="External"/><Relationship Id="rId248" Type="http://schemas.openxmlformats.org/officeDocument/2006/relationships/hyperlink" Target="https://fbref.com/en/country/SWE/Sweden-Football" TargetMode="External"/><Relationship Id="rId247" Type="http://schemas.openxmlformats.org/officeDocument/2006/relationships/hyperlink" Target="https://fbref.com/en/players/2fadcd15/Nahir-Besara" TargetMode="External"/><Relationship Id="rId1070" Type="http://schemas.openxmlformats.org/officeDocument/2006/relationships/hyperlink" Target="https://fbref.com/en/country/SWE/Sweden-Football" TargetMode="External"/><Relationship Id="rId1071" Type="http://schemas.openxmlformats.org/officeDocument/2006/relationships/hyperlink" Target="https://fbref.com/en/squads/1d0836d6/2024/Norrkoping-Stats" TargetMode="External"/><Relationship Id="rId1072" Type="http://schemas.openxmlformats.org/officeDocument/2006/relationships/hyperlink" Target="https://fbref.com/en/players/0f4a6872/matchlogs/2024/summary/Theo-Krantz-Match-Logs" TargetMode="External"/><Relationship Id="rId242" Type="http://schemas.openxmlformats.org/officeDocument/2006/relationships/hyperlink" Target="https://fbref.com/en/players/beb11e3d/matchlogs/2024/summary/Theo-Bergvall-Match-Logs" TargetMode="External"/><Relationship Id="rId1073" Type="http://schemas.openxmlformats.org/officeDocument/2006/relationships/hyperlink" Target="https://fbref.com/en/players/5a290e60/Dion-Krasniqi" TargetMode="External"/><Relationship Id="rId241" Type="http://schemas.openxmlformats.org/officeDocument/2006/relationships/hyperlink" Target="https://fbref.com/en/squads/9423c05a/2024/Djurgarden-Stats" TargetMode="External"/><Relationship Id="rId1074" Type="http://schemas.openxmlformats.org/officeDocument/2006/relationships/hyperlink" Target="https://fbref.com/en/country/KVX/Kosovo-Football" TargetMode="External"/><Relationship Id="rId240" Type="http://schemas.openxmlformats.org/officeDocument/2006/relationships/hyperlink" Target="https://fbref.com/en/country/SWE/Sweden-Football" TargetMode="External"/><Relationship Id="rId1075" Type="http://schemas.openxmlformats.org/officeDocument/2006/relationships/hyperlink" Target="https://fbref.com/en/squads/50e85bfc/2024/Elfsborg-Stats" TargetMode="External"/><Relationship Id="rId1076" Type="http://schemas.openxmlformats.org/officeDocument/2006/relationships/hyperlink" Target="https://fbref.com/en/players/5a290e60/matchlogs/2024/summary/Dion-Krasniqi-Match-Logs" TargetMode="External"/><Relationship Id="rId246" Type="http://schemas.openxmlformats.org/officeDocument/2006/relationships/hyperlink" Target="https://fbref.com/en/players/beb11e3d/matchlogs/2024/summary/Theo-Bergvall-Match-Logs" TargetMode="External"/><Relationship Id="rId1077" Type="http://schemas.openxmlformats.org/officeDocument/2006/relationships/hyperlink" Target="https://fbref.com/en/players/5a290e60/Dion-Krasniqi" TargetMode="External"/><Relationship Id="rId245" Type="http://schemas.openxmlformats.org/officeDocument/2006/relationships/hyperlink" Target="https://fbref.com/en/squads/bb9e11b2/2024/Brommapojkarna-Stats" TargetMode="External"/><Relationship Id="rId1078" Type="http://schemas.openxmlformats.org/officeDocument/2006/relationships/hyperlink" Target="https://fbref.com/en/country/KVX/Kosovo-Football" TargetMode="External"/><Relationship Id="rId244" Type="http://schemas.openxmlformats.org/officeDocument/2006/relationships/hyperlink" Target="https://fbref.com/en/country/SWE/Sweden-Football" TargetMode="External"/><Relationship Id="rId1079" Type="http://schemas.openxmlformats.org/officeDocument/2006/relationships/hyperlink" Target="https://fbref.com/en/squads/9f13771c/2024/Kalmar-Stats" TargetMode="External"/><Relationship Id="rId243" Type="http://schemas.openxmlformats.org/officeDocument/2006/relationships/hyperlink" Target="https://fbref.com/en/players/beb11e3d/Theo-Bergvall" TargetMode="External"/><Relationship Id="rId239" Type="http://schemas.openxmlformats.org/officeDocument/2006/relationships/hyperlink" Target="https://fbref.com/en/players/beb11e3d/Theo-Bergvall" TargetMode="External"/><Relationship Id="rId238" Type="http://schemas.openxmlformats.org/officeDocument/2006/relationships/hyperlink" Target="https://fbref.com/en/players/a109e5c8/matchlogs/2024/summary/Lucas-Bergvall-Match-Logs" TargetMode="External"/><Relationship Id="rId237" Type="http://schemas.openxmlformats.org/officeDocument/2006/relationships/hyperlink" Target="https://fbref.com/en/squads/9423c05a/2024/Djurgarden-Stats" TargetMode="External"/><Relationship Id="rId236" Type="http://schemas.openxmlformats.org/officeDocument/2006/relationships/hyperlink" Target="https://fbref.com/en/country/SWE/Sweden-Football" TargetMode="External"/><Relationship Id="rId1060" Type="http://schemas.openxmlformats.org/officeDocument/2006/relationships/hyperlink" Target="https://fbref.com/en/players/aed4602d/matchlogs/2024/summary/Samuel-Kotto-Match-Logs" TargetMode="External"/><Relationship Id="rId1061" Type="http://schemas.openxmlformats.org/officeDocument/2006/relationships/hyperlink" Target="https://fbref.com/en/players/d935c83b/Anton-Kralj" TargetMode="External"/><Relationship Id="rId231" Type="http://schemas.openxmlformats.org/officeDocument/2006/relationships/hyperlink" Target="https://fbref.com/en/players/b59c2a92/Lucas-Bergstrom" TargetMode="External"/><Relationship Id="rId1062" Type="http://schemas.openxmlformats.org/officeDocument/2006/relationships/hyperlink" Target="https://fbref.com/en/country/SWE/Sweden-Football" TargetMode="External"/><Relationship Id="rId230" Type="http://schemas.openxmlformats.org/officeDocument/2006/relationships/hyperlink" Target="https://fbref.com/en/players/665d3deb/matchlogs/2024/summary/Jacob-Bergstrom-Match-Logs" TargetMode="External"/><Relationship Id="rId1063" Type="http://schemas.openxmlformats.org/officeDocument/2006/relationships/hyperlink" Target="https://fbref.com/en/squads/92bfd7f0/2024/Hammarby-Stats" TargetMode="External"/><Relationship Id="rId1064" Type="http://schemas.openxmlformats.org/officeDocument/2006/relationships/hyperlink" Target="https://fbref.com/en/players/d935c83b/matchlogs/2024/summary/Anton-Kralj-Match-Logs" TargetMode="External"/><Relationship Id="rId1065" Type="http://schemas.openxmlformats.org/officeDocument/2006/relationships/hyperlink" Target="https://fbref.com/en/players/e83432da/Erik-Krantz" TargetMode="External"/><Relationship Id="rId235" Type="http://schemas.openxmlformats.org/officeDocument/2006/relationships/hyperlink" Target="https://fbref.com/en/players/a109e5c8/Lucas-Bergvall" TargetMode="External"/><Relationship Id="rId1066" Type="http://schemas.openxmlformats.org/officeDocument/2006/relationships/hyperlink" Target="https://fbref.com/en/country/SWE/Sweden-Football" TargetMode="External"/><Relationship Id="rId234" Type="http://schemas.openxmlformats.org/officeDocument/2006/relationships/hyperlink" Target="https://fbref.com/en/players/b59c2a92/matchlogs/2024/summary/Lucas-Bergstrom-Match-Logs" TargetMode="External"/><Relationship Id="rId1067" Type="http://schemas.openxmlformats.org/officeDocument/2006/relationships/hyperlink" Target="https://fbref.com/en/squads/7c2d1adb/2024/GAIS-Stats" TargetMode="External"/><Relationship Id="rId233" Type="http://schemas.openxmlformats.org/officeDocument/2006/relationships/hyperlink" Target="https://fbref.com/en/squads/bb9e11b2/2024/Brommapojkarna-Stats" TargetMode="External"/><Relationship Id="rId1068" Type="http://schemas.openxmlformats.org/officeDocument/2006/relationships/hyperlink" Target="https://fbref.com/en/players/e83432da/matchlogs/2024/summary/Erik-Krantz-Match-Logs" TargetMode="External"/><Relationship Id="rId232" Type="http://schemas.openxmlformats.org/officeDocument/2006/relationships/hyperlink" Target="https://fbref.com/en/country/FIN/Finland-Football" TargetMode="External"/><Relationship Id="rId1069" Type="http://schemas.openxmlformats.org/officeDocument/2006/relationships/hyperlink" Target="https://fbref.com/en/players/0f4a6872/Theo-Krantz" TargetMode="External"/><Relationship Id="rId1015" Type="http://schemas.openxmlformats.org/officeDocument/2006/relationships/hyperlink" Target="https://fbref.com/en/squads/92bfd7f0/2024/Hammarby-Stats" TargetMode="External"/><Relationship Id="rId1499" Type="http://schemas.openxmlformats.org/officeDocument/2006/relationships/hyperlink" Target="https://fbref.com/en/players/cbdaa6cf/Paya-Pichkah" TargetMode="External"/><Relationship Id="rId1016" Type="http://schemas.openxmlformats.org/officeDocument/2006/relationships/hyperlink" Target="https://fbref.com/en/players/7bf158d6/matchlogs/2024/summary/Markus-Karlsson-Match-Logs" TargetMode="External"/><Relationship Id="rId1017" Type="http://schemas.openxmlformats.org/officeDocument/2006/relationships/hyperlink" Target="https://fbref.com/en/players/29f54da0/Tobias-Karlsson" TargetMode="External"/><Relationship Id="rId1018" Type="http://schemas.openxmlformats.org/officeDocument/2006/relationships/hyperlink" Target="https://fbref.com/en/country/SWE/Sweden-Football" TargetMode="External"/><Relationship Id="rId1019" Type="http://schemas.openxmlformats.org/officeDocument/2006/relationships/hyperlink" Target="https://fbref.com/en/squads/e9d60d0c/2024/Sirius-Stats" TargetMode="External"/><Relationship Id="rId668" Type="http://schemas.openxmlformats.org/officeDocument/2006/relationships/hyperlink" Target="https://fbref.com/en/squads/92bfd7f0/2024/Hammarby-Stats" TargetMode="External"/><Relationship Id="rId667" Type="http://schemas.openxmlformats.org/officeDocument/2006/relationships/hyperlink" Target="https://fbref.com/en/country/TUR/Turkey-Football" TargetMode="External"/><Relationship Id="rId666" Type="http://schemas.openxmlformats.org/officeDocument/2006/relationships/hyperlink" Target="https://fbref.com/en/players/f0fb443e/Deniz-Gul" TargetMode="External"/><Relationship Id="rId665" Type="http://schemas.openxmlformats.org/officeDocument/2006/relationships/hyperlink" Target="https://fbref.com/en/players/99bebd12/matchlogs/2024/summary/John-Guidetti-Match-Logs" TargetMode="External"/><Relationship Id="rId669" Type="http://schemas.openxmlformats.org/officeDocument/2006/relationships/hyperlink" Target="https://fbref.com/en/players/f0fb443e/matchlogs/2024/summary/Deniz-Gul-Match-Logs" TargetMode="External"/><Relationship Id="rId1490" Type="http://schemas.openxmlformats.org/officeDocument/2006/relationships/hyperlink" Target="https://fbref.com/en/players/38e91805/matchlogs/2024/summary/Isak-Pettersson-Match-Logs" TargetMode="External"/><Relationship Id="rId660" Type="http://schemas.openxmlformats.org/officeDocument/2006/relationships/hyperlink" Target="https://fbref.com/en/squads/f3d8c8b9/2024/Malmo-Stats" TargetMode="External"/><Relationship Id="rId1491" Type="http://schemas.openxmlformats.org/officeDocument/2006/relationships/hyperlink" Target="https://fbref.com/en/players/cb54b01f/Oscar-Pettersson" TargetMode="External"/><Relationship Id="rId1492" Type="http://schemas.openxmlformats.org/officeDocument/2006/relationships/hyperlink" Target="https://fbref.com/en/country/SWE/Sweden-Football" TargetMode="External"/><Relationship Id="rId1493" Type="http://schemas.openxmlformats.org/officeDocument/2006/relationships/hyperlink" Target="https://fbref.com/en/squads/ef1ab26a/2024/Goteborg-Stats" TargetMode="External"/><Relationship Id="rId1010" Type="http://schemas.openxmlformats.org/officeDocument/2006/relationships/hyperlink" Target="https://fbref.com/en/country/SWE/Sweden-Football" TargetMode="External"/><Relationship Id="rId1494" Type="http://schemas.openxmlformats.org/officeDocument/2006/relationships/hyperlink" Target="https://fbref.com/en/players/cb54b01f/matchlogs/2024/summary/Oscar-Pettersson-Match-Logs" TargetMode="External"/><Relationship Id="rId664" Type="http://schemas.openxmlformats.org/officeDocument/2006/relationships/hyperlink" Target="https://fbref.com/en/squads/b0333581/2024/AIK-Stockholm-Stats" TargetMode="External"/><Relationship Id="rId1011" Type="http://schemas.openxmlformats.org/officeDocument/2006/relationships/hyperlink" Target="https://fbref.com/en/squads/9f13771c/2024/Kalmar-Stats" TargetMode="External"/><Relationship Id="rId1495" Type="http://schemas.openxmlformats.org/officeDocument/2006/relationships/hyperlink" Target="https://fbref.com/en/players/c1268aa3/Tom-Pettersson" TargetMode="External"/><Relationship Id="rId663" Type="http://schemas.openxmlformats.org/officeDocument/2006/relationships/hyperlink" Target="https://fbref.com/en/country/SWE/Sweden-Football" TargetMode="External"/><Relationship Id="rId1012" Type="http://schemas.openxmlformats.org/officeDocument/2006/relationships/hyperlink" Target="https://fbref.com/en/players/03ee1876/matchlogs/2024/summary/Johan-Karlsson-Match-Logs" TargetMode="External"/><Relationship Id="rId1496" Type="http://schemas.openxmlformats.org/officeDocument/2006/relationships/hyperlink" Target="https://fbref.com/en/country/SWE/Sweden-Football" TargetMode="External"/><Relationship Id="rId662" Type="http://schemas.openxmlformats.org/officeDocument/2006/relationships/hyperlink" Target="https://fbref.com/en/players/99bebd12/John-Guidetti" TargetMode="External"/><Relationship Id="rId1013" Type="http://schemas.openxmlformats.org/officeDocument/2006/relationships/hyperlink" Target="https://fbref.com/en/players/7bf158d6/Markus-Karlsson" TargetMode="External"/><Relationship Id="rId1497" Type="http://schemas.openxmlformats.org/officeDocument/2006/relationships/hyperlink" Target="https://fbref.com/en/squads/b1a7a7b9/2024/Mjallby-Stats" TargetMode="External"/><Relationship Id="rId661" Type="http://schemas.openxmlformats.org/officeDocument/2006/relationships/hyperlink" Target="https://fbref.com/en/players/cf04a4c7/matchlogs/2024/summary/Daniel-Gudjohnsen-Match-Logs" TargetMode="External"/><Relationship Id="rId1014" Type="http://schemas.openxmlformats.org/officeDocument/2006/relationships/hyperlink" Target="https://fbref.com/en/country/SWE/Sweden-Football" TargetMode="External"/><Relationship Id="rId1498" Type="http://schemas.openxmlformats.org/officeDocument/2006/relationships/hyperlink" Target="https://fbref.com/en/players/c1268aa3/matchlogs/2024/summary/Tom-Pettersson-Match-Logs" TargetMode="External"/><Relationship Id="rId1004" Type="http://schemas.openxmlformats.org/officeDocument/2006/relationships/hyperlink" Target="https://fbref.com/en/players/6b6dbfd9/matchlogs/2024/summary/Johnbosco-Kalu-Match-Logs" TargetMode="External"/><Relationship Id="rId1488" Type="http://schemas.openxmlformats.org/officeDocument/2006/relationships/hyperlink" Target="https://fbref.com/en/country/SWE/Sweden-Football" TargetMode="External"/><Relationship Id="rId1005" Type="http://schemas.openxmlformats.org/officeDocument/2006/relationships/hyperlink" Target="https://fbref.com/en/players/09cb9776/Jardell-Kanga" TargetMode="External"/><Relationship Id="rId1489" Type="http://schemas.openxmlformats.org/officeDocument/2006/relationships/hyperlink" Target="https://fbref.com/en/squads/50e85bfc/2024/Elfsborg-Stats" TargetMode="External"/><Relationship Id="rId1006" Type="http://schemas.openxmlformats.org/officeDocument/2006/relationships/hyperlink" Target="https://fbref.com/en/country/SWE/Sweden-Football" TargetMode="External"/><Relationship Id="rId1007" Type="http://schemas.openxmlformats.org/officeDocument/2006/relationships/hyperlink" Target="https://fbref.com/en/squads/92bfd7f0/2024/Hammarby-Stats" TargetMode="External"/><Relationship Id="rId1008" Type="http://schemas.openxmlformats.org/officeDocument/2006/relationships/hyperlink" Target="https://fbref.com/en/players/09cb9776/matchlogs/2024/summary/Jardell-Kanga-Match-Logs" TargetMode="External"/><Relationship Id="rId1009" Type="http://schemas.openxmlformats.org/officeDocument/2006/relationships/hyperlink" Target="https://fbref.com/en/players/03ee1876/Johan-Karlsson" TargetMode="External"/><Relationship Id="rId657" Type="http://schemas.openxmlformats.org/officeDocument/2006/relationships/hyperlink" Target="https://fbref.com/en/players/0f4ff0e8/matchlogs/2024/summary/Emin-Grozdanic-Match-Logs" TargetMode="External"/><Relationship Id="rId656" Type="http://schemas.openxmlformats.org/officeDocument/2006/relationships/hyperlink" Target="https://fbref.com/en/squads/d048ed60/2024/Varnamo-Stats" TargetMode="External"/><Relationship Id="rId655" Type="http://schemas.openxmlformats.org/officeDocument/2006/relationships/hyperlink" Target="https://fbref.com/en/country/SWE/Sweden-Football" TargetMode="External"/><Relationship Id="rId654" Type="http://schemas.openxmlformats.org/officeDocument/2006/relationships/hyperlink" Target="https://fbref.com/en/players/0f4ff0e8/Emin-Grozdanic" TargetMode="External"/><Relationship Id="rId659" Type="http://schemas.openxmlformats.org/officeDocument/2006/relationships/hyperlink" Target="https://fbref.com/en/country/ISL/Iceland-Football" TargetMode="External"/><Relationship Id="rId658" Type="http://schemas.openxmlformats.org/officeDocument/2006/relationships/hyperlink" Target="https://fbref.com/en/players/cf04a4c7/Daniel-Gudjohnsen" TargetMode="External"/><Relationship Id="rId1480" Type="http://schemas.openxmlformats.org/officeDocument/2006/relationships/hyperlink" Target="https://fbref.com/en/country/SWE/Sweden-Football" TargetMode="External"/><Relationship Id="rId1481" Type="http://schemas.openxmlformats.org/officeDocument/2006/relationships/hyperlink" Target="https://fbref.com/en/squads/e9d60d0c/2024/Sirius-Stats" TargetMode="External"/><Relationship Id="rId1482" Type="http://schemas.openxmlformats.org/officeDocument/2006/relationships/hyperlink" Target="https://fbref.com/en/players/8092f486/matchlogs/2024/summary/Joakim-Persson-Match-Logs" TargetMode="External"/><Relationship Id="rId1483" Type="http://schemas.openxmlformats.org/officeDocument/2006/relationships/hyperlink" Target="https://fbref.com/en/players/f6571475/Joakim-Persson" TargetMode="External"/><Relationship Id="rId653" Type="http://schemas.openxmlformats.org/officeDocument/2006/relationships/hyperlink" Target="https://fbref.com/en/players/d1328a96/matchlogs/2024/summary/Villiam-Granath-Match-Logs" TargetMode="External"/><Relationship Id="rId1000" Type="http://schemas.openxmlformats.org/officeDocument/2006/relationships/hyperlink" Target="https://fbref.com/en/players/b1120985/matchlogs/2024/summary/Yahya-Kalley-Match-Logs" TargetMode="External"/><Relationship Id="rId1484" Type="http://schemas.openxmlformats.org/officeDocument/2006/relationships/hyperlink" Target="https://fbref.com/en/country/SWE/Sweden-Football" TargetMode="External"/><Relationship Id="rId652" Type="http://schemas.openxmlformats.org/officeDocument/2006/relationships/hyperlink" Target="https://fbref.com/en/squads/17366e53/2024/Halmstad-Stats" TargetMode="External"/><Relationship Id="rId1001" Type="http://schemas.openxmlformats.org/officeDocument/2006/relationships/hyperlink" Target="https://fbref.com/en/players/6b6dbfd9/Johnbosco-Kalu" TargetMode="External"/><Relationship Id="rId1485" Type="http://schemas.openxmlformats.org/officeDocument/2006/relationships/hyperlink" Target="https://fbref.com/en/squads/f3d8c8b9/2024/Malmo-Stats" TargetMode="External"/><Relationship Id="rId651" Type="http://schemas.openxmlformats.org/officeDocument/2006/relationships/hyperlink" Target="https://fbref.com/en/country/SWE/Sweden-Football" TargetMode="External"/><Relationship Id="rId1002" Type="http://schemas.openxmlformats.org/officeDocument/2006/relationships/hyperlink" Target="https://fbref.com/en/country/NGA/Nigeria-Football" TargetMode="External"/><Relationship Id="rId1486" Type="http://schemas.openxmlformats.org/officeDocument/2006/relationships/hyperlink" Target="https://fbref.com/en/players/f6571475/matchlogs/2024/summary/Joakim-Persson-Match-Logs" TargetMode="External"/><Relationship Id="rId650" Type="http://schemas.openxmlformats.org/officeDocument/2006/relationships/hyperlink" Target="https://fbref.com/en/players/d1328a96/Villiam-Granath" TargetMode="External"/><Relationship Id="rId1003" Type="http://schemas.openxmlformats.org/officeDocument/2006/relationships/hyperlink" Target="https://fbref.com/en/squads/d048ed60/2024/Varnamo-Stats" TargetMode="External"/><Relationship Id="rId1487" Type="http://schemas.openxmlformats.org/officeDocument/2006/relationships/hyperlink" Target="https://fbref.com/en/players/38e91805/Isak-Pettersson" TargetMode="External"/><Relationship Id="rId1037" Type="http://schemas.openxmlformats.org/officeDocument/2006/relationships/hyperlink" Target="https://fbref.com/en/players/6962bd71/Jakob-Kiilerich" TargetMode="External"/><Relationship Id="rId1038" Type="http://schemas.openxmlformats.org/officeDocument/2006/relationships/hyperlink" Target="https://fbref.com/en/country/DEN/Denmark-Football" TargetMode="External"/><Relationship Id="rId1039" Type="http://schemas.openxmlformats.org/officeDocument/2006/relationships/hyperlink" Target="https://fbref.com/en/squads/b1a7a7b9/2024/Mjallby-Stats" TargetMode="External"/><Relationship Id="rId206" Type="http://schemas.openxmlformats.org/officeDocument/2006/relationships/hyperlink" Target="https://fbref.com/en/players/8be7e8db/matchlogs/2024/summary/Adam-Benediktsson-Match-Logs" TargetMode="External"/><Relationship Id="rId205" Type="http://schemas.openxmlformats.org/officeDocument/2006/relationships/hyperlink" Target="https://fbref.com/en/squads/ef1ab26a/2024/Goteborg-Stats" TargetMode="External"/><Relationship Id="rId689" Type="http://schemas.openxmlformats.org/officeDocument/2006/relationships/hyperlink" Target="https://fbref.com/en/players/385c6006/matchlogs/2024/summary/Viktor-Gustafsson-Match-Logs" TargetMode="External"/><Relationship Id="rId204" Type="http://schemas.openxmlformats.org/officeDocument/2006/relationships/hyperlink" Target="https://fbref.com/en/country/ISL/Iceland-Football" TargetMode="External"/><Relationship Id="rId688" Type="http://schemas.openxmlformats.org/officeDocument/2006/relationships/hyperlink" Target="https://fbref.com/en/squads/b1a7a7b9/2024/Mjallby-Stats" TargetMode="External"/><Relationship Id="rId203" Type="http://schemas.openxmlformats.org/officeDocument/2006/relationships/hyperlink" Target="https://fbref.com/en/players/8be7e8db/Adam-Benediktsson" TargetMode="External"/><Relationship Id="rId687" Type="http://schemas.openxmlformats.org/officeDocument/2006/relationships/hyperlink" Target="https://fbref.com/en/country/SWE/Sweden-Football" TargetMode="External"/><Relationship Id="rId209" Type="http://schemas.openxmlformats.org/officeDocument/2006/relationships/hyperlink" Target="https://fbref.com/en/squads/ef1ab26a/2024/Goteborg-Stats" TargetMode="External"/><Relationship Id="rId208" Type="http://schemas.openxmlformats.org/officeDocument/2006/relationships/hyperlink" Target="https://fbref.com/en/country/SWE/Sweden-Football" TargetMode="External"/><Relationship Id="rId207" Type="http://schemas.openxmlformats.org/officeDocument/2006/relationships/hyperlink" Target="https://fbref.com/en/players/ce30f585/Lion-Beqiri" TargetMode="External"/><Relationship Id="rId682" Type="http://schemas.openxmlformats.org/officeDocument/2006/relationships/hyperlink" Target="https://fbref.com/en/players/e035fef6/Filip-Gustafsson" TargetMode="External"/><Relationship Id="rId681" Type="http://schemas.openxmlformats.org/officeDocument/2006/relationships/hyperlink" Target="https://fbref.com/en/players/d7556379/matchlogs/2024/summary/Simon-Gustafson-Match-Logs" TargetMode="External"/><Relationship Id="rId1030" Type="http://schemas.openxmlformats.org/officeDocument/2006/relationships/hyperlink" Target="https://fbref.com/en/country/SWE/Sweden-Football" TargetMode="External"/><Relationship Id="rId680" Type="http://schemas.openxmlformats.org/officeDocument/2006/relationships/hyperlink" Target="https://fbref.com/en/squads/8774e267/2024/BK-Hacken-Stats" TargetMode="External"/><Relationship Id="rId1031" Type="http://schemas.openxmlformats.org/officeDocument/2006/relationships/hyperlink" Target="https://fbref.com/en/squads/1d0836d6/2024/Norrkoping-Stats" TargetMode="External"/><Relationship Id="rId1032" Type="http://schemas.openxmlformats.org/officeDocument/2006/relationships/hyperlink" Target="https://fbref.com/en/players/8b2e1b87/matchlogs/2024/summary/Kristoffer-Khazeni-Match-Logs" TargetMode="External"/><Relationship Id="rId202" Type="http://schemas.openxmlformats.org/officeDocument/2006/relationships/hyperlink" Target="https://fbref.com/en/players/7d88e3b5/matchlogs/2024/summary/Filip-Beckman-Match-Logs" TargetMode="External"/><Relationship Id="rId686" Type="http://schemas.openxmlformats.org/officeDocument/2006/relationships/hyperlink" Target="https://fbref.com/en/players/385c6006/Viktor-Gustafsson" TargetMode="External"/><Relationship Id="rId1033" Type="http://schemas.openxmlformats.org/officeDocument/2006/relationships/hyperlink" Target="https://fbref.com/en/players/b956af7d/Isaac-Kiese-Thelin" TargetMode="External"/><Relationship Id="rId201" Type="http://schemas.openxmlformats.org/officeDocument/2006/relationships/hyperlink" Target="https://fbref.com/en/squads/7c2d1adb/2024/GAIS-Stats" TargetMode="External"/><Relationship Id="rId685" Type="http://schemas.openxmlformats.org/officeDocument/2006/relationships/hyperlink" Target="https://fbref.com/en/players/e035fef6/matchlogs/2024/summary/Filip-Gustafsson-Match-Logs" TargetMode="External"/><Relationship Id="rId1034" Type="http://schemas.openxmlformats.org/officeDocument/2006/relationships/hyperlink" Target="https://fbref.com/en/country/SWE/Sweden-Football" TargetMode="External"/><Relationship Id="rId200" Type="http://schemas.openxmlformats.org/officeDocument/2006/relationships/hyperlink" Target="https://fbref.com/en/country/SWE/Sweden-Football" TargetMode="External"/><Relationship Id="rId684" Type="http://schemas.openxmlformats.org/officeDocument/2006/relationships/hyperlink" Target="https://fbref.com/en/squads/7c2d1adb/2024/GAIS-Stats" TargetMode="External"/><Relationship Id="rId1035" Type="http://schemas.openxmlformats.org/officeDocument/2006/relationships/hyperlink" Target="https://fbref.com/en/squads/f3d8c8b9/2024/Malmo-Stats" TargetMode="External"/><Relationship Id="rId683" Type="http://schemas.openxmlformats.org/officeDocument/2006/relationships/hyperlink" Target="https://fbref.com/en/country/SWE/Sweden-Football" TargetMode="External"/><Relationship Id="rId1036" Type="http://schemas.openxmlformats.org/officeDocument/2006/relationships/hyperlink" Target="https://fbref.com/en/players/b956af7d/matchlogs/2024/summary/Isaac-Kiese-Thelin-Match-Logs" TargetMode="External"/><Relationship Id="rId1026" Type="http://schemas.openxmlformats.org/officeDocument/2006/relationships/hyperlink" Target="https://fbref.com/en/country/SWE/Sweden-Football" TargetMode="External"/><Relationship Id="rId1027" Type="http://schemas.openxmlformats.org/officeDocument/2006/relationships/hyperlink" Target="https://fbref.com/en/squads/d048ed60/2024/Varnamo-Stats" TargetMode="External"/><Relationship Id="rId1028" Type="http://schemas.openxmlformats.org/officeDocument/2006/relationships/hyperlink" Target="https://fbref.com/en/players/220b4575/matchlogs/2024/summary/William-Kenndal-Match-Logs" TargetMode="External"/><Relationship Id="rId1029" Type="http://schemas.openxmlformats.org/officeDocument/2006/relationships/hyperlink" Target="https://fbref.com/en/players/8b2e1b87/Kristoffer-Khazeni" TargetMode="External"/><Relationship Id="rId679" Type="http://schemas.openxmlformats.org/officeDocument/2006/relationships/hyperlink" Target="https://fbref.com/en/country/SWE/Sweden-Football" TargetMode="External"/><Relationship Id="rId678" Type="http://schemas.openxmlformats.org/officeDocument/2006/relationships/hyperlink" Target="https://fbref.com/en/players/d7556379/Simon-Gustafson" TargetMode="External"/><Relationship Id="rId677" Type="http://schemas.openxmlformats.org/officeDocument/2006/relationships/hyperlink" Target="https://fbref.com/en/players/e3bbf552/matchlogs/2024/summary/Karl-Gunnarsson-Match-Logs" TargetMode="External"/><Relationship Id="rId676" Type="http://schemas.openxmlformats.org/officeDocument/2006/relationships/hyperlink" Target="https://fbref.com/en/squads/a8481ab9/2024/Vasteras-Stats" TargetMode="External"/><Relationship Id="rId671" Type="http://schemas.openxmlformats.org/officeDocument/2006/relationships/hyperlink" Target="https://fbref.com/en/country/NOR/Norway-Football" TargetMode="External"/><Relationship Id="rId670" Type="http://schemas.openxmlformats.org/officeDocument/2006/relationships/hyperlink" Target="https://fbref.com/en/players/7f24d8d9/Tobias-Gulliksen" TargetMode="External"/><Relationship Id="rId1020" Type="http://schemas.openxmlformats.org/officeDocument/2006/relationships/hyperlink" Target="https://fbref.com/en/players/29f54da0/matchlogs/2024/summary/Tobias-Karlsson-Match-Logs" TargetMode="External"/><Relationship Id="rId1021" Type="http://schemas.openxmlformats.org/officeDocument/2006/relationships/hyperlink" Target="https://fbref.com/en/players/eb6fac77/Jacob-Karlstrom" TargetMode="External"/><Relationship Id="rId675" Type="http://schemas.openxmlformats.org/officeDocument/2006/relationships/hyperlink" Target="https://fbref.com/en/country/SWE/Sweden-Football" TargetMode="External"/><Relationship Id="rId1022" Type="http://schemas.openxmlformats.org/officeDocument/2006/relationships/hyperlink" Target="https://fbref.com/en/country/NOR/Norway-Football" TargetMode="External"/><Relationship Id="rId674" Type="http://schemas.openxmlformats.org/officeDocument/2006/relationships/hyperlink" Target="https://fbref.com/en/players/e3bbf552/Karl-Gunnarsson" TargetMode="External"/><Relationship Id="rId1023" Type="http://schemas.openxmlformats.org/officeDocument/2006/relationships/hyperlink" Target="https://fbref.com/en/squads/ef1ab26a/2024/Goteborg-Stats" TargetMode="External"/><Relationship Id="rId673" Type="http://schemas.openxmlformats.org/officeDocument/2006/relationships/hyperlink" Target="https://fbref.com/en/players/7f24d8d9/matchlogs/2024/summary/Tobias-Gulliksen-Match-Logs" TargetMode="External"/><Relationship Id="rId1024" Type="http://schemas.openxmlformats.org/officeDocument/2006/relationships/hyperlink" Target="https://fbref.com/en/players/eb6fac77/matchlogs/2024/summary/Jacob-Karlstrom-Match-Logs" TargetMode="External"/><Relationship Id="rId672" Type="http://schemas.openxmlformats.org/officeDocument/2006/relationships/hyperlink" Target="https://fbref.com/en/squads/9423c05a/2024/Djurgarden-Stats" TargetMode="External"/><Relationship Id="rId1025" Type="http://schemas.openxmlformats.org/officeDocument/2006/relationships/hyperlink" Target="https://fbref.com/en/players/220b4575/William-Kenndal" TargetMode="External"/><Relationship Id="rId190" Type="http://schemas.openxmlformats.org/officeDocument/2006/relationships/hyperlink" Target="https://fbref.com/en/players/a9e5bc99/matchlogs/2024/summary/Kaare-Barslund-Match-Logs" TargetMode="External"/><Relationship Id="rId194" Type="http://schemas.openxmlformats.org/officeDocument/2006/relationships/hyperlink" Target="https://fbref.com/en/players/750c6b42/matchlogs/2024/summary/Mohamed-Bawa-Match-Logs" TargetMode="External"/><Relationship Id="rId193" Type="http://schemas.openxmlformats.org/officeDocument/2006/relationships/hyperlink" Target="https://fbref.com/en/squads/7c2d1adb/2024/GAIS-Stats" TargetMode="External"/><Relationship Id="rId192" Type="http://schemas.openxmlformats.org/officeDocument/2006/relationships/hyperlink" Target="https://fbref.com/en/country/LBY/Libya-Football" TargetMode="External"/><Relationship Id="rId191" Type="http://schemas.openxmlformats.org/officeDocument/2006/relationships/hyperlink" Target="https://fbref.com/en/players/750c6b42/Mohamed-Bawa" TargetMode="External"/><Relationship Id="rId187" Type="http://schemas.openxmlformats.org/officeDocument/2006/relationships/hyperlink" Target="https://fbref.com/en/players/a9e5bc99/Kaare-Barslund" TargetMode="External"/><Relationship Id="rId186" Type="http://schemas.openxmlformats.org/officeDocument/2006/relationships/hyperlink" Target="https://fbref.com/en/players/c0d3bd23/matchlogs/2024/summary/Jacob-Barrett-Laursen-Match-Logs" TargetMode="External"/><Relationship Id="rId185" Type="http://schemas.openxmlformats.org/officeDocument/2006/relationships/hyperlink" Target="https://fbref.com/en/squads/8774e267/2024/BK-Hacken-Stats" TargetMode="External"/><Relationship Id="rId184" Type="http://schemas.openxmlformats.org/officeDocument/2006/relationships/hyperlink" Target="https://fbref.com/en/country/DEN/Denmark-Football" TargetMode="External"/><Relationship Id="rId189" Type="http://schemas.openxmlformats.org/officeDocument/2006/relationships/hyperlink" Target="https://fbref.com/en/squads/bb9e11b2/2024/Brommapojkarna-Stats" TargetMode="External"/><Relationship Id="rId188" Type="http://schemas.openxmlformats.org/officeDocument/2006/relationships/hyperlink" Target="https://fbref.com/en/country/DEN/Denmark-Football" TargetMode="External"/><Relationship Id="rId183" Type="http://schemas.openxmlformats.org/officeDocument/2006/relationships/hyperlink" Target="https://fbref.com/en/players/c0d3bd23/Jacob-Barrett-Laursen" TargetMode="External"/><Relationship Id="rId182" Type="http://schemas.openxmlformats.org/officeDocument/2006/relationships/hyperlink" Target="https://fbref.com/en/players/467553cf/matchlogs/2024/summary/Michael-Baidoo-Match-Logs" TargetMode="External"/><Relationship Id="rId181" Type="http://schemas.openxmlformats.org/officeDocument/2006/relationships/hyperlink" Target="https://fbref.com/en/squads/50e85bfc/2024/Elfsborg-Stats" TargetMode="External"/><Relationship Id="rId180" Type="http://schemas.openxmlformats.org/officeDocument/2006/relationships/hyperlink" Target="https://fbref.com/en/country/GHA/Ghana-Football" TargetMode="External"/><Relationship Id="rId176" Type="http://schemas.openxmlformats.org/officeDocument/2006/relationships/hyperlink" Target="https://fbref.com/en/country/DEN/Denmark-Football" TargetMode="External"/><Relationship Id="rId175" Type="http://schemas.openxmlformats.org/officeDocument/2006/relationships/hyperlink" Target="https://fbref.com/en/players/8ec24b58/Marcus-Baggesen" TargetMode="External"/><Relationship Id="rId174" Type="http://schemas.openxmlformats.org/officeDocument/2006/relationships/hyperlink" Target="https://fbref.com/en/players/ddd54920/matchlogs/2024/summary/Jonas-Bager-Match-Logs" TargetMode="External"/><Relationship Id="rId173" Type="http://schemas.openxmlformats.org/officeDocument/2006/relationships/hyperlink" Target="https://fbref.com/en/squads/ef1ab26a/2024/Goteborg-Stats" TargetMode="External"/><Relationship Id="rId179" Type="http://schemas.openxmlformats.org/officeDocument/2006/relationships/hyperlink" Target="https://fbref.com/en/players/467553cf/Michael-Baidoo" TargetMode="External"/><Relationship Id="rId178" Type="http://schemas.openxmlformats.org/officeDocument/2006/relationships/hyperlink" Target="https://fbref.com/en/players/8ec24b58/matchlogs/2024/summary/Marcus-Baggesen-Match-Logs" TargetMode="External"/><Relationship Id="rId177" Type="http://schemas.openxmlformats.org/officeDocument/2006/relationships/hyperlink" Target="https://fbref.com/en/squads/1d0836d6/2024/Norrkoping-Stats" TargetMode="External"/><Relationship Id="rId1910" Type="http://schemas.openxmlformats.org/officeDocument/2006/relationships/hyperlink" Target="https://fbref.com/en/players/b45672e0/Jacob-Une-Larsson" TargetMode="External"/><Relationship Id="rId1911" Type="http://schemas.openxmlformats.org/officeDocument/2006/relationships/hyperlink" Target="https://fbref.com/en/country/SWE/Sweden-Football" TargetMode="External"/><Relationship Id="rId1912" Type="http://schemas.openxmlformats.org/officeDocument/2006/relationships/hyperlink" Target="https://fbref.com/en/squads/9423c05a/2024/Djurgarden-Stats" TargetMode="External"/><Relationship Id="rId1913" Type="http://schemas.openxmlformats.org/officeDocument/2006/relationships/hyperlink" Target="https://fbref.com/en/players/b45672e0/matchlogs/2024/summary/Jacob-Une-Larsson-Match-Logs" TargetMode="External"/><Relationship Id="rId1914" Type="http://schemas.openxmlformats.org/officeDocument/2006/relationships/hyperlink" Target="https://fbref.com/en/players/8fc6a717/Melker-Uppenberg" TargetMode="External"/><Relationship Id="rId1915" Type="http://schemas.openxmlformats.org/officeDocument/2006/relationships/hyperlink" Target="https://fbref.com/en/country/SWE/Sweden-Football" TargetMode="External"/><Relationship Id="rId1916" Type="http://schemas.openxmlformats.org/officeDocument/2006/relationships/hyperlink" Target="https://fbref.com/en/squads/50e85bfc/2024/Elfsborg-Stats" TargetMode="External"/><Relationship Id="rId1917" Type="http://schemas.openxmlformats.org/officeDocument/2006/relationships/hyperlink" Target="https://fbref.com/en/players/8fc6a717/matchlogs/2024/summary/Melker-Uppenberg-Match-Logs" TargetMode="External"/><Relationship Id="rId1918" Type="http://schemas.openxmlformats.org/officeDocument/2006/relationships/hyperlink" Target="https://fbref.com/en/players/8f906c5f/Pavle-Vagic" TargetMode="External"/><Relationship Id="rId1919" Type="http://schemas.openxmlformats.org/officeDocument/2006/relationships/hyperlink" Target="https://fbref.com/en/country/SWE/Sweden-Football" TargetMode="External"/><Relationship Id="rId1900" Type="http://schemas.openxmlformats.org/officeDocument/2006/relationships/hyperlink" Target="https://fbref.com/en/squads/8774e267/2024/BK-Hacken-Stats" TargetMode="External"/><Relationship Id="rId1901" Type="http://schemas.openxmlformats.org/officeDocument/2006/relationships/hyperlink" Target="https://fbref.com/en/players/2c272afa/matchlogs/2024/summary/Blair-Turgott-Match-Logs" TargetMode="External"/><Relationship Id="rId1902" Type="http://schemas.openxmlformats.org/officeDocument/2006/relationships/hyperlink" Target="https://fbref.com/en/players/b343386d/Oscar-Uddenas" TargetMode="External"/><Relationship Id="rId1903" Type="http://schemas.openxmlformats.org/officeDocument/2006/relationships/hyperlink" Target="https://fbref.com/en/country/SWE/Sweden-Football" TargetMode="External"/><Relationship Id="rId1904" Type="http://schemas.openxmlformats.org/officeDocument/2006/relationships/hyperlink" Target="https://fbref.com/en/squads/b0333581/2024/AIK-Stockholm-Stats" TargetMode="External"/><Relationship Id="rId1905" Type="http://schemas.openxmlformats.org/officeDocument/2006/relationships/hyperlink" Target="https://fbref.com/en/players/b343386d/matchlogs/2024/summary/Oscar-Uddenas-Match-Logs" TargetMode="External"/><Relationship Id="rId1906" Type="http://schemas.openxmlformats.org/officeDocument/2006/relationships/hyperlink" Target="https://fbref.com/en/players/3ff08295/Wilson-Uhrstrom" TargetMode="External"/><Relationship Id="rId1907" Type="http://schemas.openxmlformats.org/officeDocument/2006/relationships/hyperlink" Target="https://fbref.com/en/country/SWE/Sweden-Football" TargetMode="External"/><Relationship Id="rId1908" Type="http://schemas.openxmlformats.org/officeDocument/2006/relationships/hyperlink" Target="https://fbref.com/en/squads/92bfd7f0/2024/Hammarby-Stats" TargetMode="External"/><Relationship Id="rId1909" Type="http://schemas.openxmlformats.org/officeDocument/2006/relationships/hyperlink" Target="https://fbref.com/en/players/3ff08295/matchlogs/2024/summary/Wilson-Uhrstrom-Match-Logs" TargetMode="External"/><Relationship Id="rId198" Type="http://schemas.openxmlformats.org/officeDocument/2006/relationships/hyperlink" Target="https://fbref.com/en/players/d189eba5/matchlogs/2024/summary/Edvin-Becirovic-Match-Logs" TargetMode="External"/><Relationship Id="rId197" Type="http://schemas.openxmlformats.org/officeDocument/2006/relationships/hyperlink" Target="https://fbref.com/en/squads/7c2d1adb/2024/GAIS-Stats" TargetMode="External"/><Relationship Id="rId196" Type="http://schemas.openxmlformats.org/officeDocument/2006/relationships/hyperlink" Target="https://fbref.com/en/country/SWE/Sweden-Football" TargetMode="External"/><Relationship Id="rId195" Type="http://schemas.openxmlformats.org/officeDocument/2006/relationships/hyperlink" Target="https://fbref.com/en/players/d189eba5/Edvin-Becirovic" TargetMode="External"/><Relationship Id="rId199" Type="http://schemas.openxmlformats.org/officeDocument/2006/relationships/hyperlink" Target="https://fbref.com/en/players/7d88e3b5/Filip-Beckman" TargetMode="External"/><Relationship Id="rId150" Type="http://schemas.openxmlformats.org/officeDocument/2006/relationships/hyperlink" Target="https://fbref.com/en/players/a83599a7/matchlogs/2024/summary/Samuel-Asoma-Match-Logs" TargetMode="External"/><Relationship Id="rId149" Type="http://schemas.openxmlformats.org/officeDocument/2006/relationships/hyperlink" Target="https://fbref.com/en/squads/a8481ab9/2024/Vasteras-Stats" TargetMode="External"/><Relationship Id="rId148" Type="http://schemas.openxmlformats.org/officeDocument/2006/relationships/hyperlink" Target="https://fbref.com/en/country/BEL/Belgium-Football" TargetMode="External"/><Relationship Id="rId1090" Type="http://schemas.openxmlformats.org/officeDocument/2006/relationships/hyperlink" Target="https://fbref.com/en/squads/7c2d1adb/2024/GAIS-Stats" TargetMode="External"/><Relationship Id="rId1091" Type="http://schemas.openxmlformats.org/officeDocument/2006/relationships/hyperlink" Target="https://fbref.com/en/players/84cff6aa/matchlogs/2024/summary/Denis-Krivosic-Match-Logs" TargetMode="External"/><Relationship Id="rId1092" Type="http://schemas.openxmlformats.org/officeDocument/2006/relationships/hyperlink" Target="https://fbref.com/en/players/275530f0/Antonio-Kujundzic" TargetMode="External"/><Relationship Id="rId1093" Type="http://schemas.openxmlformats.org/officeDocument/2006/relationships/hyperlink" Target="https://fbref.com/en/country/CRO/Croatia-Football" TargetMode="External"/><Relationship Id="rId1094" Type="http://schemas.openxmlformats.org/officeDocument/2006/relationships/hyperlink" Target="https://fbref.com/en/squads/9f13771c/2024/Kalmar-Stats" TargetMode="External"/><Relationship Id="rId143" Type="http://schemas.openxmlformats.org/officeDocument/2006/relationships/hyperlink" Target="https://fbref.com/en/players/e9a809c4/Patric-Aslund" TargetMode="External"/><Relationship Id="rId1095" Type="http://schemas.openxmlformats.org/officeDocument/2006/relationships/hyperlink" Target="https://fbref.com/en/players/275530f0/matchlogs/2024/summary/Antonio-Kujundzic-Match-Logs" TargetMode="External"/><Relationship Id="rId142" Type="http://schemas.openxmlformats.org/officeDocument/2006/relationships/hyperlink" Target="https://fbref.com/en/players/e9a809c4/matchlogs/2024/summary/Patric-Aslund-Match-Logs" TargetMode="External"/><Relationship Id="rId1096" Type="http://schemas.openxmlformats.org/officeDocument/2006/relationships/hyperlink" Target="https://fbref.com/en/players/139230f5/Bleon-Kurtulus" TargetMode="External"/><Relationship Id="rId141" Type="http://schemas.openxmlformats.org/officeDocument/2006/relationships/hyperlink" Target="https://fbref.com/en/squads/9423c05a/2024/Djurgarden-Stats" TargetMode="External"/><Relationship Id="rId1097" Type="http://schemas.openxmlformats.org/officeDocument/2006/relationships/hyperlink" Target="https://fbref.com/en/country/SWE/Sweden-Football" TargetMode="External"/><Relationship Id="rId140" Type="http://schemas.openxmlformats.org/officeDocument/2006/relationships/hyperlink" Target="https://fbref.com/en/country/SWE/Sweden-Football" TargetMode="External"/><Relationship Id="rId1098" Type="http://schemas.openxmlformats.org/officeDocument/2006/relationships/hyperlink" Target="https://fbref.com/en/squads/17366e53/2024/Halmstad-Stats" TargetMode="External"/><Relationship Id="rId147" Type="http://schemas.openxmlformats.org/officeDocument/2006/relationships/hyperlink" Target="https://fbref.com/en/players/a83599a7/Samuel-Asoma" TargetMode="External"/><Relationship Id="rId1099" Type="http://schemas.openxmlformats.org/officeDocument/2006/relationships/hyperlink" Target="https://fbref.com/en/players/139230f5/matchlogs/2024/summary/Bleon-Kurtulus-Match-Logs" TargetMode="External"/><Relationship Id="rId146" Type="http://schemas.openxmlformats.org/officeDocument/2006/relationships/hyperlink" Target="https://fbref.com/en/players/e9a809c4/matchlogs/2024/summary/Patric-Aslund-Match-Logs" TargetMode="External"/><Relationship Id="rId145" Type="http://schemas.openxmlformats.org/officeDocument/2006/relationships/hyperlink" Target="https://fbref.com/en/squads/a8481ab9/2024/Vasteras-Stats" TargetMode="External"/><Relationship Id="rId144" Type="http://schemas.openxmlformats.org/officeDocument/2006/relationships/hyperlink" Target="https://fbref.com/en/country/SWE/Sweden-Football" TargetMode="External"/><Relationship Id="rId139" Type="http://schemas.openxmlformats.org/officeDocument/2006/relationships/hyperlink" Target="https://fbref.com/en/players/e9a809c4/Patric-Aslund" TargetMode="External"/><Relationship Id="rId138" Type="http://schemas.openxmlformats.org/officeDocument/2006/relationships/hyperlink" Target="https://fbref.com/en/players/46b7eab3/matchlogs/2024/summary/Daniel-Ask-Match-Logs" TargetMode="External"/><Relationship Id="rId137" Type="http://schemas.openxmlformats.org/officeDocument/2006/relationships/hyperlink" Target="https://fbref.com/en/squads/a8481ab9/2024/Vasteras-Stats" TargetMode="External"/><Relationship Id="rId1080" Type="http://schemas.openxmlformats.org/officeDocument/2006/relationships/hyperlink" Target="https://fbref.com/en/players/5a290e60/matchlogs/2024/summary/Dion-Krasniqi-Match-Logs" TargetMode="External"/><Relationship Id="rId1081" Type="http://schemas.openxmlformats.org/officeDocument/2006/relationships/hyperlink" Target="https://fbref.com/en/players/c26f9d5a/Mergim-Krasniqi" TargetMode="External"/><Relationship Id="rId1082" Type="http://schemas.openxmlformats.org/officeDocument/2006/relationships/hyperlink" Target="https://fbref.com/en/country/SWE/Sweden-Football" TargetMode="External"/><Relationship Id="rId1083" Type="http://schemas.openxmlformats.org/officeDocument/2006/relationships/hyperlink" Target="https://fbref.com/en/squads/7c2d1adb/2024/GAIS-Stats" TargetMode="External"/><Relationship Id="rId132" Type="http://schemas.openxmlformats.org/officeDocument/2006/relationships/hyperlink" Target="https://fbref.com/en/players/ee7b3d77/Gustav-Arvidsson" TargetMode="External"/><Relationship Id="rId1084" Type="http://schemas.openxmlformats.org/officeDocument/2006/relationships/hyperlink" Target="https://fbref.com/en/players/c26f9d5a/matchlogs/2024/summary/Mergim-Krasniqi-Match-Logs" TargetMode="External"/><Relationship Id="rId131" Type="http://schemas.openxmlformats.org/officeDocument/2006/relationships/hyperlink" Target="https://fbref.com/en/players/ef516406/matchlogs/2024/summary/Frode-Aronsson-Match-Logs" TargetMode="External"/><Relationship Id="rId1085" Type="http://schemas.openxmlformats.org/officeDocument/2006/relationships/hyperlink" Target="https://fbref.com/en/players/61dc42f4/Anders-Kristiansen" TargetMode="External"/><Relationship Id="rId130" Type="http://schemas.openxmlformats.org/officeDocument/2006/relationships/hyperlink" Target="https://fbref.com/en/squads/50e85bfc/2024/Elfsborg-Stats" TargetMode="External"/><Relationship Id="rId1086" Type="http://schemas.openxmlformats.org/officeDocument/2006/relationships/hyperlink" Target="https://fbref.com/en/country/NOR/Norway-Football" TargetMode="External"/><Relationship Id="rId1087" Type="http://schemas.openxmlformats.org/officeDocument/2006/relationships/hyperlink" Target="https://fbref.com/en/squads/ef1ab26a/2024/Goteborg-Stats" TargetMode="External"/><Relationship Id="rId136" Type="http://schemas.openxmlformats.org/officeDocument/2006/relationships/hyperlink" Target="https://fbref.com/en/country/SWE/Sweden-Football" TargetMode="External"/><Relationship Id="rId1088" Type="http://schemas.openxmlformats.org/officeDocument/2006/relationships/hyperlink" Target="https://fbref.com/en/players/61dc42f4/matchlogs/2024/summary/Anders-Kristiansen-Match-Logs" TargetMode="External"/><Relationship Id="rId135" Type="http://schemas.openxmlformats.org/officeDocument/2006/relationships/hyperlink" Target="https://fbref.com/en/players/46b7eab3/Daniel-Ask" TargetMode="External"/><Relationship Id="rId1089" Type="http://schemas.openxmlformats.org/officeDocument/2006/relationships/hyperlink" Target="https://fbref.com/en/players/84cff6aa/Denis-Krivosic" TargetMode="External"/><Relationship Id="rId134" Type="http://schemas.openxmlformats.org/officeDocument/2006/relationships/hyperlink" Target="https://fbref.com/en/players/ee7b3d77/matchlogs/2024/summary/Gustav-Arvidsson-Match-Logs" TargetMode="External"/><Relationship Id="rId133" Type="http://schemas.openxmlformats.org/officeDocument/2006/relationships/hyperlink" Target="https://fbref.com/en/squads/9f13771c/2024/Kalmar-Stats" TargetMode="External"/><Relationship Id="rId172" Type="http://schemas.openxmlformats.org/officeDocument/2006/relationships/hyperlink" Target="https://fbref.com/en/country/DEN/Denmark-Football" TargetMode="External"/><Relationship Id="rId171" Type="http://schemas.openxmlformats.org/officeDocument/2006/relationships/hyperlink" Target="https://fbref.com/en/players/ddd54920/Jonas-Bager" TargetMode="External"/><Relationship Id="rId170" Type="http://schemas.openxmlformats.org/officeDocument/2006/relationships/hyperlink" Target="https://fbref.com/en/players/ee18a2b7/matchlogs/2024/summary/Joseph-Baffo-Match-Logs" TargetMode="External"/><Relationship Id="rId165" Type="http://schemas.openxmlformats.org/officeDocument/2006/relationships/hyperlink" Target="https://fbref.com/en/squads/ef1ab26a/2024/Goteborg-Stats" TargetMode="External"/><Relationship Id="rId164" Type="http://schemas.openxmlformats.org/officeDocument/2006/relationships/hyperlink" Target="https://fbref.com/en/country/DEN/Denmark-Football" TargetMode="External"/><Relationship Id="rId163" Type="http://schemas.openxmlformats.org/officeDocument/2006/relationships/hyperlink" Target="https://fbref.com/en/players/3b216df2/Nikolai-Baden-Frederiksen" TargetMode="External"/><Relationship Id="rId162" Type="http://schemas.openxmlformats.org/officeDocument/2006/relationships/hyperlink" Target="https://fbref.com/en/players/924a6d17/matchlogs/2024/summary/Taha-Ayari-Match-Logs" TargetMode="External"/><Relationship Id="rId169" Type="http://schemas.openxmlformats.org/officeDocument/2006/relationships/hyperlink" Target="https://fbref.com/en/squads/17366e53/2024/Halmstad-Stats" TargetMode="External"/><Relationship Id="rId168" Type="http://schemas.openxmlformats.org/officeDocument/2006/relationships/hyperlink" Target="https://fbref.com/en/country/SWE/Sweden-Football" TargetMode="External"/><Relationship Id="rId167" Type="http://schemas.openxmlformats.org/officeDocument/2006/relationships/hyperlink" Target="https://fbref.com/en/players/ee18a2b7/Joseph-Baffo" TargetMode="External"/><Relationship Id="rId166" Type="http://schemas.openxmlformats.org/officeDocument/2006/relationships/hyperlink" Target="https://fbref.com/en/players/3b216df2/matchlogs/2024/summary/Nikolai-Baden-Frederiksen-Match-Logs" TargetMode="External"/><Relationship Id="rId161" Type="http://schemas.openxmlformats.org/officeDocument/2006/relationships/hyperlink" Target="https://fbref.com/en/squads/b0333581/2024/AIK-Stockholm-Stats" TargetMode="External"/><Relationship Id="rId160" Type="http://schemas.openxmlformats.org/officeDocument/2006/relationships/hyperlink" Target="https://fbref.com/en/country/SWE/Sweden-Football" TargetMode="External"/><Relationship Id="rId159" Type="http://schemas.openxmlformats.org/officeDocument/2006/relationships/hyperlink" Target="https://fbref.com/en/players/924a6d17/Taha-Ayari" TargetMode="External"/><Relationship Id="rId154" Type="http://schemas.openxmlformats.org/officeDocument/2006/relationships/hyperlink" Target="https://fbref.com/en/players/bcddb3ea/matchlogs/2024/summary/Alieu-Atlee-Manneh-Match-Logs" TargetMode="External"/><Relationship Id="rId153" Type="http://schemas.openxmlformats.org/officeDocument/2006/relationships/hyperlink" Target="https://fbref.com/en/squads/9423c05a/2024/Djurgarden-Stats" TargetMode="External"/><Relationship Id="rId152" Type="http://schemas.openxmlformats.org/officeDocument/2006/relationships/hyperlink" Target="https://fbref.com/en/country/SWE/Sweden-Football" TargetMode="External"/><Relationship Id="rId151" Type="http://schemas.openxmlformats.org/officeDocument/2006/relationships/hyperlink" Target="https://fbref.com/en/players/bcddb3ea/Alieu-Atlee-Manneh" TargetMode="External"/><Relationship Id="rId158" Type="http://schemas.openxmlformats.org/officeDocument/2006/relationships/hyperlink" Target="https://fbref.com/en/players/8e3002aa/matchlogs/2024/summary/Noah-August-Ek-Match-Logs" TargetMode="External"/><Relationship Id="rId157" Type="http://schemas.openxmlformats.org/officeDocument/2006/relationships/hyperlink" Target="https://fbref.com/en/squads/8774e267/2024/BK-Hacken-Stats" TargetMode="External"/><Relationship Id="rId156" Type="http://schemas.openxmlformats.org/officeDocument/2006/relationships/hyperlink" Target="https://fbref.com/en/country/SWE/Sweden-Football" TargetMode="External"/><Relationship Id="rId155" Type="http://schemas.openxmlformats.org/officeDocument/2006/relationships/hyperlink" Target="https://fbref.com/en/players/8e3002aa/Noah-August-Ek" TargetMode="External"/><Relationship Id="rId1972" Type="http://schemas.openxmlformats.org/officeDocument/2006/relationships/hyperlink" Target="https://fbref.com/en/squads/d048ed60/2024/Varnamo-Stats" TargetMode="External"/><Relationship Id="rId1973" Type="http://schemas.openxmlformats.org/officeDocument/2006/relationships/hyperlink" Target="https://fbref.com/en/players/028c5f06/matchlogs/2024/summary/Wenderson-Match-Logs" TargetMode="External"/><Relationship Id="rId1974" Type="http://schemas.openxmlformats.org/officeDocument/2006/relationships/hyperlink" Target="https://fbref.com/en/players/fbdeae85/Robin-Wendin-Thomasson" TargetMode="External"/><Relationship Id="rId1975" Type="http://schemas.openxmlformats.org/officeDocument/2006/relationships/hyperlink" Target="https://fbref.com/en/country/SWE/Sweden-Football" TargetMode="External"/><Relationship Id="rId1976" Type="http://schemas.openxmlformats.org/officeDocument/2006/relationships/hyperlink" Target="https://fbref.com/en/squads/7c2d1adb/2024/GAIS-Stats" TargetMode="External"/><Relationship Id="rId1977" Type="http://schemas.openxmlformats.org/officeDocument/2006/relationships/hyperlink" Target="https://fbref.com/en/players/fbdeae85/matchlogs/2024/summary/Robin-Wendin-Thomasson-Match-Logs" TargetMode="External"/><Relationship Id="rId1978" Type="http://schemas.openxmlformats.org/officeDocument/2006/relationships/hyperlink" Target="https://fbref.com/en/players/b69261a0/Oscar-Wendt" TargetMode="External"/><Relationship Id="rId1979" Type="http://schemas.openxmlformats.org/officeDocument/2006/relationships/hyperlink" Target="https://fbref.com/en/country/SWE/Sweden-Football" TargetMode="External"/><Relationship Id="rId1970" Type="http://schemas.openxmlformats.org/officeDocument/2006/relationships/hyperlink" Target="https://fbref.com/en/players/028c5f06/Wenderson" TargetMode="External"/><Relationship Id="rId1971" Type="http://schemas.openxmlformats.org/officeDocument/2006/relationships/hyperlink" Target="https://fbref.com/en/country/BRA/Brazil-Football" TargetMode="External"/><Relationship Id="rId1961" Type="http://schemas.openxmlformats.org/officeDocument/2006/relationships/hyperlink" Target="https://fbref.com/en/players/bdb3baee/matchlogs/2024/summary/August-Wangberg-Match-Logs" TargetMode="External"/><Relationship Id="rId1962" Type="http://schemas.openxmlformats.org/officeDocument/2006/relationships/hyperlink" Target="https://fbref.com/en/players/ad3bc2e7/Alexander-Warneryd" TargetMode="External"/><Relationship Id="rId1963" Type="http://schemas.openxmlformats.org/officeDocument/2006/relationships/hyperlink" Target="https://fbref.com/en/country/SWE/Sweden-Football" TargetMode="External"/><Relationship Id="rId1964" Type="http://schemas.openxmlformats.org/officeDocument/2006/relationships/hyperlink" Target="https://fbref.com/en/squads/a8481ab9/2024/Vasteras-Stats" TargetMode="External"/><Relationship Id="rId1965" Type="http://schemas.openxmlformats.org/officeDocument/2006/relationships/hyperlink" Target="https://fbref.com/en/players/ad3bc2e7/matchlogs/2024/summary/Alexander-Warneryd-Match-Logs" TargetMode="External"/><Relationship Id="rId1966" Type="http://schemas.openxmlformats.org/officeDocument/2006/relationships/hyperlink" Target="https://fbref.com/en/players/18d95619/Max-Watson" TargetMode="External"/><Relationship Id="rId1967" Type="http://schemas.openxmlformats.org/officeDocument/2006/relationships/hyperlink" Target="https://fbref.com/en/country/SWE/Sweden-Football" TargetMode="External"/><Relationship Id="rId1968" Type="http://schemas.openxmlformats.org/officeDocument/2006/relationships/hyperlink" Target="https://fbref.com/en/squads/1d0836d6/2024/Norrkoping-Stats" TargetMode="External"/><Relationship Id="rId1969" Type="http://schemas.openxmlformats.org/officeDocument/2006/relationships/hyperlink" Target="https://fbref.com/en/players/18d95619/matchlogs/2024/summary/Max-Watson-Match-Logs" TargetMode="External"/><Relationship Id="rId1960" Type="http://schemas.openxmlformats.org/officeDocument/2006/relationships/hyperlink" Target="https://fbref.com/en/squads/7c2d1adb/2024/GAIS-Stats" TargetMode="External"/><Relationship Id="rId1510" Type="http://schemas.openxmlformats.org/officeDocument/2006/relationships/hyperlink" Target="https://fbref.com/en/players/aa954c2b/matchlogs/2024/summary/Ioannis-Pittas-Match-Logs" TargetMode="External"/><Relationship Id="rId1994" Type="http://schemas.openxmlformats.org/officeDocument/2006/relationships/hyperlink" Target="https://fbref.com/en/players/512a52c6/Dennis-Widgren" TargetMode="External"/><Relationship Id="rId1511" Type="http://schemas.openxmlformats.org/officeDocument/2006/relationships/hyperlink" Target="https://fbref.com/en/players/d646e08c/Tim-Prica" TargetMode="External"/><Relationship Id="rId1995" Type="http://schemas.openxmlformats.org/officeDocument/2006/relationships/hyperlink" Target="https://fbref.com/en/country/SWE/Sweden-Football" TargetMode="External"/><Relationship Id="rId1512" Type="http://schemas.openxmlformats.org/officeDocument/2006/relationships/hyperlink" Target="https://fbref.com/en/country/SWE/Sweden-Football" TargetMode="External"/><Relationship Id="rId1996" Type="http://schemas.openxmlformats.org/officeDocument/2006/relationships/hyperlink" Target="https://fbref.com/en/squads/e9d60d0c/2024/Sirius-Stats" TargetMode="External"/><Relationship Id="rId1513" Type="http://schemas.openxmlformats.org/officeDocument/2006/relationships/hyperlink" Target="https://fbref.com/en/squads/1d0836d6/2024/Norrkoping-Stats" TargetMode="External"/><Relationship Id="rId1997" Type="http://schemas.openxmlformats.org/officeDocument/2006/relationships/hyperlink" Target="https://fbref.com/en/players/512a52c6/matchlogs/2024/summary/Dennis-Widgren-Match-Logs" TargetMode="External"/><Relationship Id="rId1514" Type="http://schemas.openxmlformats.org/officeDocument/2006/relationships/hyperlink" Target="https://fbref.com/en/players/d646e08c/matchlogs/2024/summary/Tim-Prica-Match-Logs" TargetMode="External"/><Relationship Id="rId1998" Type="http://schemas.openxmlformats.org/officeDocument/2006/relationships/hyperlink" Target="https://fbref.com/en/players/e23db68b/Rasmus-Wiedesheim" TargetMode="External"/><Relationship Id="rId1515" Type="http://schemas.openxmlformats.org/officeDocument/2006/relationships/hyperlink" Target="https://fbref.com/en/players/b50b9cc3/August-Priske" TargetMode="External"/><Relationship Id="rId1999" Type="http://schemas.openxmlformats.org/officeDocument/2006/relationships/hyperlink" Target="https://fbref.com/en/country/SWE/Sweden-Football" TargetMode="External"/><Relationship Id="rId1516" Type="http://schemas.openxmlformats.org/officeDocument/2006/relationships/hyperlink" Target="https://fbref.com/en/country/DEN/Denmark-Football" TargetMode="External"/><Relationship Id="rId1517" Type="http://schemas.openxmlformats.org/officeDocument/2006/relationships/hyperlink" Target="https://fbref.com/en/squads/9423c05a/2024/Djurgarden-Stats" TargetMode="External"/><Relationship Id="rId1518" Type="http://schemas.openxmlformats.org/officeDocument/2006/relationships/hyperlink" Target="https://fbref.com/en/players/b50b9cc3/matchlogs/2024/summary/August-Priske-Match-Logs" TargetMode="External"/><Relationship Id="rId1519" Type="http://schemas.openxmlformats.org/officeDocument/2006/relationships/hyperlink" Target="https://fbref.com/en/players/17e8b732/Andreas-Pyndt-Andersen" TargetMode="External"/><Relationship Id="rId1990" Type="http://schemas.openxmlformats.org/officeDocument/2006/relationships/hyperlink" Target="https://fbref.com/en/players/ac5120d8/Jacob-Widell-Zetterstrom" TargetMode="External"/><Relationship Id="rId1991" Type="http://schemas.openxmlformats.org/officeDocument/2006/relationships/hyperlink" Target="https://fbref.com/en/country/SWE/Sweden-Football" TargetMode="External"/><Relationship Id="rId1992" Type="http://schemas.openxmlformats.org/officeDocument/2006/relationships/hyperlink" Target="https://fbref.com/en/squads/9423c05a/2024/Djurgarden-Stats" TargetMode="External"/><Relationship Id="rId1993" Type="http://schemas.openxmlformats.org/officeDocument/2006/relationships/hyperlink" Target="https://fbref.com/en/players/ac5120d8/matchlogs/2024/summary/Jacob-Widell-Zetterstrom-Match-Logs" TargetMode="External"/><Relationship Id="rId1983" Type="http://schemas.openxmlformats.org/officeDocument/2006/relationships/hyperlink" Target="https://fbref.com/en/country/SWE/Sweden-Football" TargetMode="External"/><Relationship Id="rId1500" Type="http://schemas.openxmlformats.org/officeDocument/2006/relationships/hyperlink" Target="https://fbref.com/en/country/SWE/Sweden-Football" TargetMode="External"/><Relationship Id="rId1984" Type="http://schemas.openxmlformats.org/officeDocument/2006/relationships/hyperlink" Target="https://fbref.com/en/squads/a8481ab9/2024/Vasteras-Stats" TargetMode="External"/><Relationship Id="rId1501" Type="http://schemas.openxmlformats.org/officeDocument/2006/relationships/hyperlink" Target="https://fbref.com/en/squads/bb9e11b2/2024/Brommapojkarna-Stats" TargetMode="External"/><Relationship Id="rId1985" Type="http://schemas.openxmlformats.org/officeDocument/2006/relationships/hyperlink" Target="https://fbref.com/en/players/0b4921f3/matchlogs/2024/summary/Victor-Wernersson-Match-Logs" TargetMode="External"/><Relationship Id="rId1502" Type="http://schemas.openxmlformats.org/officeDocument/2006/relationships/hyperlink" Target="https://fbref.com/en/players/cbdaa6cf/matchlogs/2024/summary/Paya-Pichkah-Match-Logs" TargetMode="External"/><Relationship Id="rId1986" Type="http://schemas.openxmlformats.org/officeDocument/2006/relationships/hyperlink" Target="https://fbref.com/en/players/c54280ff/Jesper-Westermark" TargetMode="External"/><Relationship Id="rId1503" Type="http://schemas.openxmlformats.org/officeDocument/2006/relationships/hyperlink" Target="https://fbref.com/en/players/1fd1df9c/Shaquille-Pinas" TargetMode="External"/><Relationship Id="rId1987" Type="http://schemas.openxmlformats.org/officeDocument/2006/relationships/hyperlink" Target="https://fbref.com/en/country/SWE/Sweden-Football" TargetMode="External"/><Relationship Id="rId1504" Type="http://schemas.openxmlformats.org/officeDocument/2006/relationships/hyperlink" Target="https://fbref.com/en/country/SUR/Suriname-Football" TargetMode="External"/><Relationship Id="rId1988" Type="http://schemas.openxmlformats.org/officeDocument/2006/relationships/hyperlink" Target="https://fbref.com/en/squads/17366e53/2024/Halmstad-Stats" TargetMode="External"/><Relationship Id="rId1505" Type="http://schemas.openxmlformats.org/officeDocument/2006/relationships/hyperlink" Target="https://fbref.com/en/squads/92bfd7f0/2024/Hammarby-Stats" TargetMode="External"/><Relationship Id="rId1989" Type="http://schemas.openxmlformats.org/officeDocument/2006/relationships/hyperlink" Target="https://fbref.com/en/players/c54280ff/matchlogs/2024/summary/Jesper-Westermark-Match-Logs" TargetMode="External"/><Relationship Id="rId1506" Type="http://schemas.openxmlformats.org/officeDocument/2006/relationships/hyperlink" Target="https://fbref.com/en/players/1fd1df9c/matchlogs/2024/summary/Shaquille-Pinas-Match-Logs" TargetMode="External"/><Relationship Id="rId1507" Type="http://schemas.openxmlformats.org/officeDocument/2006/relationships/hyperlink" Target="https://fbref.com/en/players/aa954c2b/Ioannis-Pittas" TargetMode="External"/><Relationship Id="rId1508" Type="http://schemas.openxmlformats.org/officeDocument/2006/relationships/hyperlink" Target="https://fbref.com/en/country/CYP/Cyprus-Football" TargetMode="External"/><Relationship Id="rId1509" Type="http://schemas.openxmlformats.org/officeDocument/2006/relationships/hyperlink" Target="https://fbref.com/en/squads/b0333581/2024/AIK-Stockholm-Stats" TargetMode="External"/><Relationship Id="rId1980" Type="http://schemas.openxmlformats.org/officeDocument/2006/relationships/hyperlink" Target="https://fbref.com/en/squads/ef1ab26a/2024/Goteborg-Stats" TargetMode="External"/><Relationship Id="rId1981" Type="http://schemas.openxmlformats.org/officeDocument/2006/relationships/hyperlink" Target="https://fbref.com/en/players/b69261a0/matchlogs/2024/summary/Oscar-Wendt-Match-Logs" TargetMode="External"/><Relationship Id="rId1982" Type="http://schemas.openxmlformats.org/officeDocument/2006/relationships/hyperlink" Target="https://fbref.com/en/players/0b4921f3/Victor-Wernersson" TargetMode="External"/><Relationship Id="rId1930" Type="http://schemas.openxmlformats.org/officeDocument/2006/relationships/hyperlink" Target="https://fbref.com/en/players/023a32ea/Stefano-Vecchia" TargetMode="External"/><Relationship Id="rId1931" Type="http://schemas.openxmlformats.org/officeDocument/2006/relationships/hyperlink" Target="https://fbref.com/en/country/SWE/Sweden-Football" TargetMode="External"/><Relationship Id="rId1932" Type="http://schemas.openxmlformats.org/officeDocument/2006/relationships/hyperlink" Target="https://fbref.com/en/squads/f3d8c8b9/2024/Malmo-Stats" TargetMode="External"/><Relationship Id="rId1933" Type="http://schemas.openxmlformats.org/officeDocument/2006/relationships/hyperlink" Target="https://fbref.com/en/players/023a32ea/matchlogs/2024/summary/Stefano-Vecchia-Match-Logs" TargetMode="External"/><Relationship Id="rId1934" Type="http://schemas.openxmlformats.org/officeDocument/2006/relationships/hyperlink" Target="https://fbref.com/en/players/49bb999b/Martin-Vetkal" TargetMode="External"/><Relationship Id="rId1935" Type="http://schemas.openxmlformats.org/officeDocument/2006/relationships/hyperlink" Target="https://fbref.com/en/country/EST/Estonia-Football" TargetMode="External"/><Relationship Id="rId1936" Type="http://schemas.openxmlformats.org/officeDocument/2006/relationships/hyperlink" Target="https://fbref.com/en/squads/bb9e11b2/2024/Brommapojkarna-Stats" TargetMode="External"/><Relationship Id="rId1937" Type="http://schemas.openxmlformats.org/officeDocument/2006/relationships/hyperlink" Target="https://fbref.com/en/players/49bb999b/matchlogs/2024/summary/Martin-Vetkal-Match-Logs" TargetMode="External"/><Relationship Id="rId1938" Type="http://schemas.openxmlformats.org/officeDocument/2006/relationships/hyperlink" Target="https://fbref.com/en/players/380e2a1d/Jakob-Voelkerling-Persson" TargetMode="External"/><Relationship Id="rId1939" Type="http://schemas.openxmlformats.org/officeDocument/2006/relationships/hyperlink" Target="https://fbref.com/en/country/SWE/Sweden-Football" TargetMode="External"/><Relationship Id="rId1920" Type="http://schemas.openxmlformats.org/officeDocument/2006/relationships/hyperlink" Target="https://fbref.com/en/squads/92bfd7f0/2024/Hammarby-Stats" TargetMode="External"/><Relationship Id="rId1921" Type="http://schemas.openxmlformats.org/officeDocument/2006/relationships/hyperlink" Target="https://fbref.com/en/players/8f906c5f/matchlogs/2024/summary/Pavle-Vagic-Match-Logs" TargetMode="External"/><Relationship Id="rId1922" Type="http://schemas.openxmlformats.org/officeDocument/2006/relationships/hyperlink" Target="https://fbref.com/en/players/8ed8c801/Onni-Valakari" TargetMode="External"/><Relationship Id="rId1923" Type="http://schemas.openxmlformats.org/officeDocument/2006/relationships/hyperlink" Target="https://fbref.com/en/country/FIN/Finland-Football" TargetMode="External"/><Relationship Id="rId1924" Type="http://schemas.openxmlformats.org/officeDocument/2006/relationships/hyperlink" Target="https://fbref.com/en/squads/b0333581/2024/AIK-Stockholm-Stats" TargetMode="External"/><Relationship Id="rId1925" Type="http://schemas.openxmlformats.org/officeDocument/2006/relationships/hyperlink" Target="https://fbref.com/en/players/8ed8c801/matchlogs/2024/summary/Onni-Valakari-Match-Logs" TargetMode="External"/><Relationship Id="rId1926" Type="http://schemas.openxmlformats.org/officeDocument/2006/relationships/hyperlink" Target="https://fbref.com/en/players/319ef3f6/Nikola-Vasic" TargetMode="External"/><Relationship Id="rId1927" Type="http://schemas.openxmlformats.org/officeDocument/2006/relationships/hyperlink" Target="https://fbref.com/en/country/SWE/Sweden-Football" TargetMode="External"/><Relationship Id="rId1928" Type="http://schemas.openxmlformats.org/officeDocument/2006/relationships/hyperlink" Target="https://fbref.com/en/squads/bb9e11b2/2024/Brommapojkarna-Stats" TargetMode="External"/><Relationship Id="rId1929" Type="http://schemas.openxmlformats.org/officeDocument/2006/relationships/hyperlink" Target="https://fbref.com/en/players/319ef3f6/matchlogs/2024/summary/Nikola-Vasic-Match-Logs" TargetMode="External"/><Relationship Id="rId1950" Type="http://schemas.openxmlformats.org/officeDocument/2006/relationships/hyperlink" Target="https://fbref.com/en/players/5d7c2b31/Gabriel-Wallentin" TargetMode="External"/><Relationship Id="rId1951" Type="http://schemas.openxmlformats.org/officeDocument/2006/relationships/hyperlink" Target="https://fbref.com/en/country/SWE/Sweden-Football" TargetMode="External"/><Relationship Id="rId1952" Type="http://schemas.openxmlformats.org/officeDocument/2006/relationships/hyperlink" Target="https://fbref.com/en/squads/17366e53/2024/Halmstad-Stats" TargetMode="External"/><Relationship Id="rId1953" Type="http://schemas.openxmlformats.org/officeDocument/2006/relationships/hyperlink" Target="https://fbref.com/en/players/5d7c2b31/matchlogs/2024/summary/Gabriel-Wallentin-Match-Logs" TargetMode="External"/><Relationship Id="rId1954" Type="http://schemas.openxmlformats.org/officeDocument/2006/relationships/hyperlink" Target="https://fbref.com/en/players/a0d23533/Leo-Walta" TargetMode="External"/><Relationship Id="rId1955" Type="http://schemas.openxmlformats.org/officeDocument/2006/relationships/hyperlink" Target="https://fbref.com/en/country/FIN/Finland-Football" TargetMode="External"/><Relationship Id="rId1956" Type="http://schemas.openxmlformats.org/officeDocument/2006/relationships/hyperlink" Target="https://fbref.com/en/squads/e9d60d0c/2024/Sirius-Stats" TargetMode="External"/><Relationship Id="rId1957" Type="http://schemas.openxmlformats.org/officeDocument/2006/relationships/hyperlink" Target="https://fbref.com/en/players/a0d23533/matchlogs/2024/summary/Leo-Walta-Match-Logs" TargetMode="External"/><Relationship Id="rId1958" Type="http://schemas.openxmlformats.org/officeDocument/2006/relationships/hyperlink" Target="https://fbref.com/en/players/bdb3baee/August-Wangberg" TargetMode="External"/><Relationship Id="rId1959" Type="http://schemas.openxmlformats.org/officeDocument/2006/relationships/hyperlink" Target="https://fbref.com/en/country/SWE/Sweden-Football" TargetMode="External"/><Relationship Id="rId1940" Type="http://schemas.openxmlformats.org/officeDocument/2006/relationships/hyperlink" Target="https://fbref.com/en/squads/e9d60d0c/2024/Sirius-Stats" TargetMode="External"/><Relationship Id="rId1941" Type="http://schemas.openxmlformats.org/officeDocument/2006/relationships/hyperlink" Target="https://fbref.com/en/players/380e2a1d/matchlogs/2024/summary/Jakob-Voelkerling-Persson-Match-Logs" TargetMode="External"/><Relationship Id="rId1942" Type="http://schemas.openxmlformats.org/officeDocument/2006/relationships/hyperlink" Target="https://fbref.com/en/players/b3ef6517/Joel-Voelkerling-Persson" TargetMode="External"/><Relationship Id="rId1943" Type="http://schemas.openxmlformats.org/officeDocument/2006/relationships/hyperlink" Target="https://fbref.com/en/country/SWE/Sweden-Football" TargetMode="External"/><Relationship Id="rId1944" Type="http://schemas.openxmlformats.org/officeDocument/2006/relationships/hyperlink" Target="https://fbref.com/en/squads/d048ed60/2024/Varnamo-Stats" TargetMode="External"/><Relationship Id="rId1945" Type="http://schemas.openxmlformats.org/officeDocument/2006/relationships/hyperlink" Target="https://fbref.com/en/players/b3ef6517/matchlogs/2024/summary/Joel-Voelkerling-Persson-Match-Logs" TargetMode="External"/><Relationship Id="rId1946" Type="http://schemas.openxmlformats.org/officeDocument/2006/relationships/hyperlink" Target="https://fbref.com/en/players/517503ce/Elis-Wahl" TargetMode="External"/><Relationship Id="rId1947" Type="http://schemas.openxmlformats.org/officeDocument/2006/relationships/hyperlink" Target="https://fbref.com/en/country/SWE/Sweden-Football" TargetMode="External"/><Relationship Id="rId1948" Type="http://schemas.openxmlformats.org/officeDocument/2006/relationships/hyperlink" Target="https://fbref.com/en/squads/a8481ab9/2024/Vasteras-Stats" TargetMode="External"/><Relationship Id="rId1949" Type="http://schemas.openxmlformats.org/officeDocument/2006/relationships/hyperlink" Target="https://fbref.com/en/players/517503ce/matchlogs/2024/summary/Elis-Wahl-Match-Logs" TargetMode="External"/><Relationship Id="rId1576" Type="http://schemas.openxmlformats.org/officeDocument/2006/relationships/hyperlink" Target="https://fbref.com/en/country/DEN/Denmark-Football" TargetMode="External"/><Relationship Id="rId1577" Type="http://schemas.openxmlformats.org/officeDocument/2006/relationships/hyperlink" Target="https://fbref.com/en/squads/f3d8c8b9/2024/Malmo-Stats" TargetMode="External"/><Relationship Id="rId1578" Type="http://schemas.openxmlformats.org/officeDocument/2006/relationships/hyperlink" Target="https://fbref.com/en/players/572498c7/matchlogs/2024/summary/Soren-Rieks-Match-Logs" TargetMode="External"/><Relationship Id="rId1579" Type="http://schemas.openxmlformats.org/officeDocument/2006/relationships/hyperlink" Target="https://fbref.com/en/players/9bc48002/Erik-Ring" TargetMode="External"/><Relationship Id="rId509" Type="http://schemas.openxmlformats.org/officeDocument/2006/relationships/hyperlink" Target="https://fbref.com/en/squads/1d0836d6/2024/Norrkoping-Stats" TargetMode="External"/><Relationship Id="rId508" Type="http://schemas.openxmlformats.org/officeDocument/2006/relationships/hyperlink" Target="https://fbref.com/en/country/NOR/Norway-Football" TargetMode="External"/><Relationship Id="rId503" Type="http://schemas.openxmlformats.org/officeDocument/2006/relationships/hyperlink" Target="https://fbref.com/en/players/29e298a8/Mads-Dohr-Thychosen" TargetMode="External"/><Relationship Id="rId987" Type="http://schemas.openxmlformats.org/officeDocument/2006/relationships/hyperlink" Target="https://fbref.com/en/squads/a8481ab9/2024/Vasteras-Stats" TargetMode="External"/><Relationship Id="rId502" Type="http://schemas.openxmlformats.org/officeDocument/2006/relationships/hyperlink" Target="https://fbref.com/en/players/91bee6ac/matchlogs/2024/summary/Leon-Dusi-Match-Logs" TargetMode="External"/><Relationship Id="rId986" Type="http://schemas.openxmlformats.org/officeDocument/2006/relationships/hyperlink" Target="https://fbref.com/en/country/DEN/Denmark-Football" TargetMode="External"/><Relationship Id="rId501" Type="http://schemas.openxmlformats.org/officeDocument/2006/relationships/hyperlink" Target="https://fbref.com/en/squads/ef1ab26a/2024/Goteborg-Stats" TargetMode="External"/><Relationship Id="rId985" Type="http://schemas.openxmlformats.org/officeDocument/2006/relationships/hyperlink" Target="https://fbref.com/en/players/4bfc414e/William-Kaastrup" TargetMode="External"/><Relationship Id="rId500" Type="http://schemas.openxmlformats.org/officeDocument/2006/relationships/hyperlink" Target="https://fbref.com/en/country/SWE/Sweden-Football" TargetMode="External"/><Relationship Id="rId984" Type="http://schemas.openxmlformats.org/officeDocument/2006/relationships/hyperlink" Target="https://fbref.com/en/players/d796974b/matchlogs/2024/summary/Sebastian-Jorgensen-Match-Logs" TargetMode="External"/><Relationship Id="rId507" Type="http://schemas.openxmlformats.org/officeDocument/2006/relationships/hyperlink" Target="https://fbref.com/en/players/9a12e666/Daniel-Eid" TargetMode="External"/><Relationship Id="rId506" Type="http://schemas.openxmlformats.org/officeDocument/2006/relationships/hyperlink" Target="https://fbref.com/en/players/29e298a8/matchlogs/2024/summary/Mads-Dohr-Thychosen-Match-Logs" TargetMode="External"/><Relationship Id="rId505" Type="http://schemas.openxmlformats.org/officeDocument/2006/relationships/hyperlink" Target="https://fbref.com/en/squads/b0333581/2024/AIK-Stockholm-Stats" TargetMode="External"/><Relationship Id="rId989" Type="http://schemas.openxmlformats.org/officeDocument/2006/relationships/hyperlink" Target="https://fbref.com/en/players/76b131a9/Lucas-Kahed" TargetMode="External"/><Relationship Id="rId504" Type="http://schemas.openxmlformats.org/officeDocument/2006/relationships/hyperlink" Target="https://fbref.com/en/country/DEN/Denmark-Football" TargetMode="External"/><Relationship Id="rId988" Type="http://schemas.openxmlformats.org/officeDocument/2006/relationships/hyperlink" Target="https://fbref.com/en/players/4bfc414e/matchlogs/2024/summary/William-Kaastrup-Match-Logs" TargetMode="External"/><Relationship Id="rId1570" Type="http://schemas.openxmlformats.org/officeDocument/2006/relationships/hyperlink" Target="https://fbref.com/en/players/c40e64b6/matchlogs/2024/summary/Ricardo-Match-Logs" TargetMode="External"/><Relationship Id="rId1571" Type="http://schemas.openxmlformats.org/officeDocument/2006/relationships/hyperlink" Target="https://fbref.com/en/players/fd94116b/Ludvig-Richtner" TargetMode="External"/><Relationship Id="rId983" Type="http://schemas.openxmlformats.org/officeDocument/2006/relationships/hyperlink" Target="https://fbref.com/en/squads/f3d8c8b9/2024/Malmo-Stats" TargetMode="External"/><Relationship Id="rId1572" Type="http://schemas.openxmlformats.org/officeDocument/2006/relationships/hyperlink" Target="https://fbref.com/en/country/SWE/Sweden-Football" TargetMode="External"/><Relationship Id="rId982" Type="http://schemas.openxmlformats.org/officeDocument/2006/relationships/hyperlink" Target="https://fbref.com/en/country/DEN/Denmark-Football" TargetMode="External"/><Relationship Id="rId1573" Type="http://schemas.openxmlformats.org/officeDocument/2006/relationships/hyperlink" Target="https://fbref.com/en/squads/50e85bfc/2024/Elfsborg-Stats" TargetMode="External"/><Relationship Id="rId981" Type="http://schemas.openxmlformats.org/officeDocument/2006/relationships/hyperlink" Target="https://fbref.com/en/players/d796974b/Sebastian-Jorgensen" TargetMode="External"/><Relationship Id="rId1574" Type="http://schemas.openxmlformats.org/officeDocument/2006/relationships/hyperlink" Target="https://fbref.com/en/players/fd94116b/matchlogs/2024/summary/Ludvig-Richtner-Match-Logs" TargetMode="External"/><Relationship Id="rId980" Type="http://schemas.openxmlformats.org/officeDocument/2006/relationships/hyperlink" Target="https://fbref.com/en/players/bc77dc63/matchlogs/2024/summary/Carl-Juhlin-Match-Logs" TargetMode="External"/><Relationship Id="rId1575" Type="http://schemas.openxmlformats.org/officeDocument/2006/relationships/hyperlink" Target="https://fbref.com/en/players/572498c7/Soren-Rieks" TargetMode="External"/><Relationship Id="rId1565" Type="http://schemas.openxmlformats.org/officeDocument/2006/relationships/hyperlink" Target="https://fbref.com/en/squads/a8481ab9/2024/Vasteras-Stats" TargetMode="External"/><Relationship Id="rId1566" Type="http://schemas.openxmlformats.org/officeDocument/2006/relationships/hyperlink" Target="https://fbref.com/en/players/c39c4cb7/matchlogs/2024/summary/Pedro-Ribeiro-Match-Logs" TargetMode="External"/><Relationship Id="rId1567" Type="http://schemas.openxmlformats.org/officeDocument/2006/relationships/hyperlink" Target="https://fbref.com/en/players/c40e64b6/Ricardo" TargetMode="External"/><Relationship Id="rId1568" Type="http://schemas.openxmlformats.org/officeDocument/2006/relationships/hyperlink" Target="https://fbref.com/en/country/BRA/Brazil-Football" TargetMode="External"/><Relationship Id="rId1569" Type="http://schemas.openxmlformats.org/officeDocument/2006/relationships/hyperlink" Target="https://fbref.com/en/squads/f3d8c8b9/2024/Malmo-Stats" TargetMode="External"/><Relationship Id="rId976" Type="http://schemas.openxmlformats.org/officeDocument/2006/relationships/hyperlink" Target="https://fbref.com/en/players/04fea502/matchlogs/2024/summary/Liam-Jordan-Match-Logs" TargetMode="External"/><Relationship Id="rId975" Type="http://schemas.openxmlformats.org/officeDocument/2006/relationships/hyperlink" Target="https://fbref.com/en/squads/bb9e11b2/2024/Brommapojkarna-Stats" TargetMode="External"/><Relationship Id="rId974" Type="http://schemas.openxmlformats.org/officeDocument/2006/relationships/hyperlink" Target="https://fbref.com/en/country/RSA/South-Africa-Football" TargetMode="External"/><Relationship Id="rId973" Type="http://schemas.openxmlformats.org/officeDocument/2006/relationships/hyperlink" Target="https://fbref.com/en/players/04fea502/Liam-Jordan" TargetMode="External"/><Relationship Id="rId979" Type="http://schemas.openxmlformats.org/officeDocument/2006/relationships/hyperlink" Target="https://fbref.com/en/squads/7c2d1adb/2024/GAIS-Stats" TargetMode="External"/><Relationship Id="rId978" Type="http://schemas.openxmlformats.org/officeDocument/2006/relationships/hyperlink" Target="https://fbref.com/en/country/SWE/Sweden-Football" TargetMode="External"/><Relationship Id="rId977" Type="http://schemas.openxmlformats.org/officeDocument/2006/relationships/hyperlink" Target="https://fbref.com/en/players/bc77dc63/Carl-Juhlin" TargetMode="External"/><Relationship Id="rId1560" Type="http://schemas.openxmlformats.org/officeDocument/2006/relationships/hyperlink" Target="https://fbref.com/en/country/SWE/Sweden-Football" TargetMode="External"/><Relationship Id="rId972" Type="http://schemas.openxmlformats.org/officeDocument/2006/relationships/hyperlink" Target="https://fbref.com/en/players/3d66c883/matchlogs/2024/summary/Leo-Jonsson-Match-Logs" TargetMode="External"/><Relationship Id="rId1561" Type="http://schemas.openxmlformats.org/officeDocument/2006/relationships/hyperlink" Target="https://fbref.com/en/squads/92bfd7f0/2024/Hammarby-Stats" TargetMode="External"/><Relationship Id="rId971" Type="http://schemas.openxmlformats.org/officeDocument/2006/relationships/hyperlink" Target="https://fbref.com/en/squads/1d0836d6/2024/Norrkoping-Stats" TargetMode="External"/><Relationship Id="rId1562" Type="http://schemas.openxmlformats.org/officeDocument/2006/relationships/hyperlink" Target="https://fbref.com/en/players/83063748/matchlogs/2024/summary/Emil-Reyes-Rigo-Match-Logs" TargetMode="External"/><Relationship Id="rId970" Type="http://schemas.openxmlformats.org/officeDocument/2006/relationships/hyperlink" Target="https://fbref.com/en/country/SWE/Sweden-Football" TargetMode="External"/><Relationship Id="rId1563" Type="http://schemas.openxmlformats.org/officeDocument/2006/relationships/hyperlink" Target="https://fbref.com/en/players/c39c4cb7/Pedro-Ribeiro" TargetMode="External"/><Relationship Id="rId1564" Type="http://schemas.openxmlformats.org/officeDocument/2006/relationships/hyperlink" Target="https://fbref.com/en/country/BRA/Brazil-Football" TargetMode="External"/><Relationship Id="rId1114" Type="http://schemas.openxmlformats.org/officeDocument/2006/relationships/hyperlink" Target="https://fbref.com/en/squads/50e85bfc/2024/Elfsborg-Stats" TargetMode="External"/><Relationship Id="rId1598" Type="http://schemas.openxmlformats.org/officeDocument/2006/relationships/hyperlink" Target="https://fbref.com/en/players/8e833ce2/matchlogs/2024/summary/Tim-Ronning-Match-Logs" TargetMode="External"/><Relationship Id="rId1115" Type="http://schemas.openxmlformats.org/officeDocument/2006/relationships/hyperlink" Target="https://fbref.com/en/players/fe006f82/matchlogs/2024/summary/Johan-Larsson-Match-Logs" TargetMode="External"/><Relationship Id="rId1599" Type="http://schemas.openxmlformats.org/officeDocument/2006/relationships/hyperlink" Target="https://fbref.com/en/players/1871b45b/Alvar-Rosander" TargetMode="External"/><Relationship Id="rId1116" Type="http://schemas.openxmlformats.org/officeDocument/2006/relationships/hyperlink" Target="https://fbref.com/en/players/f57be357/Max-Larsson" TargetMode="External"/><Relationship Id="rId1117" Type="http://schemas.openxmlformats.org/officeDocument/2006/relationships/hyperlink" Target="https://fbref.com/en/country/SWE/Sweden-Football" TargetMode="External"/><Relationship Id="rId1118" Type="http://schemas.openxmlformats.org/officeDocument/2006/relationships/hyperlink" Target="https://fbref.com/en/squads/a8481ab9/2024/Vasteras-Stats" TargetMode="External"/><Relationship Id="rId1119" Type="http://schemas.openxmlformats.org/officeDocument/2006/relationships/hyperlink" Target="https://fbref.com/en/players/f57be357/matchlogs/2024/summary/Max-Larsson-Match-Logs" TargetMode="External"/><Relationship Id="rId525" Type="http://schemas.openxmlformats.org/officeDocument/2006/relationships/hyperlink" Target="https://fbref.com/en/squads/92bfd7f0/2024/Hammarby-Stats" TargetMode="External"/><Relationship Id="rId524" Type="http://schemas.openxmlformats.org/officeDocument/2006/relationships/hyperlink" Target="https://fbref.com/en/country/SWE/Sweden-Football" TargetMode="External"/><Relationship Id="rId523" Type="http://schemas.openxmlformats.org/officeDocument/2006/relationships/hyperlink" Target="https://fbref.com/en/players/7aa14afa/Gent-Elezaj" TargetMode="External"/><Relationship Id="rId522" Type="http://schemas.openxmlformats.org/officeDocument/2006/relationships/hyperlink" Target="https://fbref.com/en/players/1aae6743/matchlogs/2024/summary/Victor-Ekstrom-Match-Logs" TargetMode="External"/><Relationship Id="rId529" Type="http://schemas.openxmlformats.org/officeDocument/2006/relationships/hyperlink" Target="https://fbref.com/en/players/69a56269/matchlogs/2024/summary/Viggo-Elfstrom-Match-Logs" TargetMode="External"/><Relationship Id="rId528" Type="http://schemas.openxmlformats.org/officeDocument/2006/relationships/hyperlink" Target="https://fbref.com/en/squads/bb9e11b2/2024/Brommapojkarna-Stats" TargetMode="External"/><Relationship Id="rId527" Type="http://schemas.openxmlformats.org/officeDocument/2006/relationships/hyperlink" Target="https://fbref.com/en/players/69a56269/Viggo-Elfstrom" TargetMode="External"/><Relationship Id="rId526" Type="http://schemas.openxmlformats.org/officeDocument/2006/relationships/hyperlink" Target="https://fbref.com/en/players/7aa14afa/matchlogs/2024/summary/Gent-Elezaj-Match-Logs" TargetMode="External"/><Relationship Id="rId1590" Type="http://schemas.openxmlformats.org/officeDocument/2006/relationships/hyperlink" Target="https://fbref.com/en/players/09d131ed/matchlogs/2024/summary/Jacob-Rinne-Match-Logs" TargetMode="External"/><Relationship Id="rId1591" Type="http://schemas.openxmlformats.org/officeDocument/2006/relationships/hyperlink" Target="https://fbref.com/en/players/596e48ce/Romario" TargetMode="External"/><Relationship Id="rId1592" Type="http://schemas.openxmlformats.org/officeDocument/2006/relationships/hyperlink" Target="https://fbref.com/en/country/BRA/Brazil-Football" TargetMode="External"/><Relationship Id="rId1593" Type="http://schemas.openxmlformats.org/officeDocument/2006/relationships/hyperlink" Target="https://fbref.com/en/squads/9f13771c/2024/Kalmar-Stats" TargetMode="External"/><Relationship Id="rId521" Type="http://schemas.openxmlformats.org/officeDocument/2006/relationships/hyperlink" Target="https://fbref.com/en/squads/e9d60d0c/2024/Sirius-Stats" TargetMode="External"/><Relationship Id="rId1110" Type="http://schemas.openxmlformats.org/officeDocument/2006/relationships/hyperlink" Target="https://fbref.com/en/squads/92bfd7f0/2024/Hammarby-Stats" TargetMode="External"/><Relationship Id="rId1594" Type="http://schemas.openxmlformats.org/officeDocument/2006/relationships/hyperlink" Target="https://fbref.com/en/players/596e48ce/matchlogs/2024/summary/Romario-Match-Logs" TargetMode="External"/><Relationship Id="rId520" Type="http://schemas.openxmlformats.org/officeDocument/2006/relationships/hyperlink" Target="https://fbref.com/en/country/SWE/Sweden-Football" TargetMode="External"/><Relationship Id="rId1111" Type="http://schemas.openxmlformats.org/officeDocument/2006/relationships/hyperlink" Target="https://fbref.com/en/players/b0d2c09a/matchlogs/2024/summary/Adrian-Lahdo-Match-Logs" TargetMode="External"/><Relationship Id="rId1595" Type="http://schemas.openxmlformats.org/officeDocument/2006/relationships/hyperlink" Target="https://fbref.com/en/players/8e833ce2/Tim-Ronning" TargetMode="External"/><Relationship Id="rId1112" Type="http://schemas.openxmlformats.org/officeDocument/2006/relationships/hyperlink" Target="https://fbref.com/en/players/fe006f82/Johan-Larsson" TargetMode="External"/><Relationship Id="rId1596" Type="http://schemas.openxmlformats.org/officeDocument/2006/relationships/hyperlink" Target="https://fbref.com/en/country/SWE/Sweden-Football" TargetMode="External"/><Relationship Id="rId1113" Type="http://schemas.openxmlformats.org/officeDocument/2006/relationships/hyperlink" Target="https://fbref.com/en/country/SWE/Sweden-Football" TargetMode="External"/><Relationship Id="rId1597" Type="http://schemas.openxmlformats.org/officeDocument/2006/relationships/hyperlink" Target="https://fbref.com/en/squads/17366e53/2024/Halmstad-Stats" TargetMode="External"/><Relationship Id="rId1103" Type="http://schemas.openxmlformats.org/officeDocument/2006/relationships/hyperlink" Target="https://fbref.com/en/players/5b136c33/matchlogs/2024/summary/Edvin-Kurtulus-Match-Logs" TargetMode="External"/><Relationship Id="rId1587" Type="http://schemas.openxmlformats.org/officeDocument/2006/relationships/hyperlink" Target="https://fbref.com/en/players/09d131ed/Jacob-Rinne" TargetMode="External"/><Relationship Id="rId1104" Type="http://schemas.openxmlformats.org/officeDocument/2006/relationships/hyperlink" Target="https://fbref.com/en/players/b18a497e/Manasse-Kusu" TargetMode="External"/><Relationship Id="rId1588" Type="http://schemas.openxmlformats.org/officeDocument/2006/relationships/hyperlink" Target="https://fbref.com/en/country/SWE/Sweden-Football" TargetMode="External"/><Relationship Id="rId1105" Type="http://schemas.openxmlformats.org/officeDocument/2006/relationships/hyperlink" Target="https://fbref.com/en/country/SWE/Sweden-Football" TargetMode="External"/><Relationship Id="rId1589" Type="http://schemas.openxmlformats.org/officeDocument/2006/relationships/hyperlink" Target="https://fbref.com/en/squads/9423c05a/2024/Djurgarden-Stats" TargetMode="External"/><Relationship Id="rId1106" Type="http://schemas.openxmlformats.org/officeDocument/2006/relationships/hyperlink" Target="https://fbref.com/en/squads/b1a7a7b9/2024/Mjallby-Stats" TargetMode="External"/><Relationship Id="rId1107" Type="http://schemas.openxmlformats.org/officeDocument/2006/relationships/hyperlink" Target="https://fbref.com/en/players/b18a497e/matchlogs/2024/summary/Manasse-Kusu-Match-Logs" TargetMode="External"/><Relationship Id="rId1108" Type="http://schemas.openxmlformats.org/officeDocument/2006/relationships/hyperlink" Target="https://fbref.com/en/players/b0d2c09a/Adrian-Lahdo" TargetMode="External"/><Relationship Id="rId1109" Type="http://schemas.openxmlformats.org/officeDocument/2006/relationships/hyperlink" Target="https://fbref.com/en/country/SWE/Sweden-Football" TargetMode="External"/><Relationship Id="rId519" Type="http://schemas.openxmlformats.org/officeDocument/2006/relationships/hyperlink" Target="https://fbref.com/en/players/1aae6743/Victor-Ekstrom" TargetMode="External"/><Relationship Id="rId514" Type="http://schemas.openxmlformats.org/officeDocument/2006/relationships/hyperlink" Target="https://fbref.com/en/players/f503ea63/matchlogs/2024/summary/Albin-Ekdal-Match-Logs" TargetMode="External"/><Relationship Id="rId998" Type="http://schemas.openxmlformats.org/officeDocument/2006/relationships/hyperlink" Target="https://fbref.com/en/country/SWE/Sweden-Football" TargetMode="External"/><Relationship Id="rId513" Type="http://schemas.openxmlformats.org/officeDocument/2006/relationships/hyperlink" Target="https://fbref.com/en/squads/9423c05a/2024/Djurgarden-Stats" TargetMode="External"/><Relationship Id="rId997" Type="http://schemas.openxmlformats.org/officeDocument/2006/relationships/hyperlink" Target="https://fbref.com/en/players/b1120985/Yahya-Kalley" TargetMode="External"/><Relationship Id="rId512" Type="http://schemas.openxmlformats.org/officeDocument/2006/relationships/hyperlink" Target="https://fbref.com/en/country/SWE/Sweden-Football" TargetMode="External"/><Relationship Id="rId996" Type="http://schemas.openxmlformats.org/officeDocument/2006/relationships/hyperlink" Target="https://fbref.com/en/players/74804a09/matchlogs/2024/summary/Rami-Kaib-Match-Logs" TargetMode="External"/><Relationship Id="rId511" Type="http://schemas.openxmlformats.org/officeDocument/2006/relationships/hyperlink" Target="https://fbref.com/en/players/f503ea63/Albin-Ekdal" TargetMode="External"/><Relationship Id="rId995" Type="http://schemas.openxmlformats.org/officeDocument/2006/relationships/hyperlink" Target="https://fbref.com/en/squads/50e85bfc/2024/Elfsborg-Stats" TargetMode="External"/><Relationship Id="rId518" Type="http://schemas.openxmlformats.org/officeDocument/2006/relationships/hyperlink" Target="https://fbref.com/en/players/848fa029/matchlogs/2024/summary/Otega-Ekperuoh-Match-Logs" TargetMode="External"/><Relationship Id="rId517" Type="http://schemas.openxmlformats.org/officeDocument/2006/relationships/hyperlink" Target="https://fbref.com/en/squads/bb9e11b2/2024/Brommapojkarna-Stats" TargetMode="External"/><Relationship Id="rId516" Type="http://schemas.openxmlformats.org/officeDocument/2006/relationships/hyperlink" Target="https://fbref.com/en/country/SWE/Sweden-Football" TargetMode="External"/><Relationship Id="rId515" Type="http://schemas.openxmlformats.org/officeDocument/2006/relationships/hyperlink" Target="https://fbref.com/en/players/848fa029/Otega-Ekperuoh" TargetMode="External"/><Relationship Id="rId999" Type="http://schemas.openxmlformats.org/officeDocument/2006/relationships/hyperlink" Target="https://fbref.com/en/squads/1d0836d6/2024/Norrkoping-Stats" TargetMode="External"/><Relationship Id="rId990" Type="http://schemas.openxmlformats.org/officeDocument/2006/relationships/hyperlink" Target="https://fbref.com/en/country/SWE/Sweden-Football" TargetMode="External"/><Relationship Id="rId1580" Type="http://schemas.openxmlformats.org/officeDocument/2006/relationships/hyperlink" Target="https://fbref.com/en/country/SWE/Sweden-Football" TargetMode="External"/><Relationship Id="rId1581" Type="http://schemas.openxmlformats.org/officeDocument/2006/relationships/hyperlink" Target="https://fbref.com/en/squads/b0333581/2024/AIK-Stockholm-Stats" TargetMode="External"/><Relationship Id="rId1582" Type="http://schemas.openxmlformats.org/officeDocument/2006/relationships/hyperlink" Target="https://fbref.com/en/players/9bc48002/matchlogs/2024/summary/Erik-Ring-Match-Logs" TargetMode="External"/><Relationship Id="rId510" Type="http://schemas.openxmlformats.org/officeDocument/2006/relationships/hyperlink" Target="https://fbref.com/en/players/9a12e666/matchlogs/2024/summary/Daniel-Eid-Match-Logs" TargetMode="External"/><Relationship Id="rId994" Type="http://schemas.openxmlformats.org/officeDocument/2006/relationships/hyperlink" Target="https://fbref.com/en/country/TUN/Tunisia-Football" TargetMode="External"/><Relationship Id="rId1583" Type="http://schemas.openxmlformats.org/officeDocument/2006/relationships/hyperlink" Target="https://fbref.com/en/players/a9780d60/Jonathan-Ring" TargetMode="External"/><Relationship Id="rId993" Type="http://schemas.openxmlformats.org/officeDocument/2006/relationships/hyperlink" Target="https://fbref.com/en/players/74804a09/Rami-Kaib" TargetMode="External"/><Relationship Id="rId1100" Type="http://schemas.openxmlformats.org/officeDocument/2006/relationships/hyperlink" Target="https://fbref.com/en/players/5b136c33/Edvin-Kurtulus" TargetMode="External"/><Relationship Id="rId1584" Type="http://schemas.openxmlformats.org/officeDocument/2006/relationships/hyperlink" Target="https://fbref.com/en/country/SWE/Sweden-Football" TargetMode="External"/><Relationship Id="rId992" Type="http://schemas.openxmlformats.org/officeDocument/2006/relationships/hyperlink" Target="https://fbref.com/en/players/76b131a9/matchlogs/2024/summary/Lucas-Kahed-Match-Logs" TargetMode="External"/><Relationship Id="rId1101" Type="http://schemas.openxmlformats.org/officeDocument/2006/relationships/hyperlink" Target="https://fbref.com/en/country/SWE/Sweden-Football" TargetMode="External"/><Relationship Id="rId1585" Type="http://schemas.openxmlformats.org/officeDocument/2006/relationships/hyperlink" Target="https://fbref.com/en/squads/9f13771c/2024/Kalmar-Stats" TargetMode="External"/><Relationship Id="rId991" Type="http://schemas.openxmlformats.org/officeDocument/2006/relationships/hyperlink" Target="https://fbref.com/en/squads/ef1ab26a/2024/Goteborg-Stats" TargetMode="External"/><Relationship Id="rId1102" Type="http://schemas.openxmlformats.org/officeDocument/2006/relationships/hyperlink" Target="https://fbref.com/en/squads/92bfd7f0/2024/Hammarby-Stats" TargetMode="External"/><Relationship Id="rId1586" Type="http://schemas.openxmlformats.org/officeDocument/2006/relationships/hyperlink" Target="https://fbref.com/en/players/a9780d60/matchlogs/2024/summary/Jonathan-Ring-Match-Logs" TargetMode="External"/><Relationship Id="rId1532" Type="http://schemas.openxmlformats.org/officeDocument/2006/relationships/hyperlink" Target="https://fbref.com/en/country/AZE/Azerbaijan-Football" TargetMode="External"/><Relationship Id="rId1533" Type="http://schemas.openxmlformats.org/officeDocument/2006/relationships/hyperlink" Target="https://fbref.com/en/squads/9423c05a/2024/Djurgarden-Stats" TargetMode="External"/><Relationship Id="rId1534" Type="http://schemas.openxmlformats.org/officeDocument/2006/relationships/hyperlink" Target="https://fbref.com/en/players/9c2e7413/matchlogs/2024/summary/Musa-Qurbanli-Match-Logs" TargetMode="External"/><Relationship Id="rId1535" Type="http://schemas.openxmlformats.org/officeDocument/2006/relationships/hyperlink" Target="https://fbref.com/en/players/76c24535/Haris-Radetinac" TargetMode="External"/><Relationship Id="rId1536" Type="http://schemas.openxmlformats.org/officeDocument/2006/relationships/hyperlink" Target="https://fbref.com/en/country/BIH/Bosnia-and-Herzegovina-Football" TargetMode="External"/><Relationship Id="rId1537" Type="http://schemas.openxmlformats.org/officeDocument/2006/relationships/hyperlink" Target="https://fbref.com/en/squads/9423c05a/2024/Djurgarden-Stats" TargetMode="External"/><Relationship Id="rId1538" Type="http://schemas.openxmlformats.org/officeDocument/2006/relationships/hyperlink" Target="https://fbref.com/en/players/76c24535/matchlogs/2024/summary/Haris-Radetinac-Match-Logs" TargetMode="External"/><Relationship Id="rId1539" Type="http://schemas.openxmlformats.org/officeDocument/2006/relationships/hyperlink" Target="https://fbref.com/en/players/a1fbaeb3/Marcus-Rafferty" TargetMode="External"/><Relationship Id="rId949" Type="http://schemas.openxmlformats.org/officeDocument/2006/relationships/hyperlink" Target="https://fbref.com/en/players/bbd74918/matchlogs/2024/summary/Mattias-Johansson-Match-Logs" TargetMode="External"/><Relationship Id="rId948" Type="http://schemas.openxmlformats.org/officeDocument/2006/relationships/hyperlink" Target="https://fbref.com/en/squads/ef1ab26a/2024/Goteborg-Stats" TargetMode="External"/><Relationship Id="rId943" Type="http://schemas.openxmlformats.org/officeDocument/2006/relationships/hyperlink" Target="https://fbref.com/en/country/SWE/Sweden-Football" TargetMode="External"/><Relationship Id="rId942" Type="http://schemas.openxmlformats.org/officeDocument/2006/relationships/hyperlink" Target="https://fbref.com/en/players/240e5395/Julius-Johansson" TargetMode="External"/><Relationship Id="rId941" Type="http://schemas.openxmlformats.org/officeDocument/2006/relationships/hyperlink" Target="https://fbref.com/en/players/6f864562/matchlogs/2024/summary/Herman-Johansson-Match-Logs" TargetMode="External"/><Relationship Id="rId940" Type="http://schemas.openxmlformats.org/officeDocument/2006/relationships/hyperlink" Target="https://fbref.com/en/squads/b1a7a7b9/2024/Mjallby-Stats" TargetMode="External"/><Relationship Id="rId947" Type="http://schemas.openxmlformats.org/officeDocument/2006/relationships/hyperlink" Target="https://fbref.com/en/country/SWE/Sweden-Football" TargetMode="External"/><Relationship Id="rId946" Type="http://schemas.openxmlformats.org/officeDocument/2006/relationships/hyperlink" Target="https://fbref.com/en/players/bbd74918/Mattias-Johansson" TargetMode="External"/><Relationship Id="rId945" Type="http://schemas.openxmlformats.org/officeDocument/2006/relationships/hyperlink" Target="https://fbref.com/en/players/240e5395/matchlogs/2024/summary/Julius-Johansson-Match-Logs" TargetMode="External"/><Relationship Id="rId944" Type="http://schemas.openxmlformats.org/officeDocument/2006/relationships/hyperlink" Target="https://fbref.com/en/squads/a8481ab9/2024/Vasteras-Stats" TargetMode="External"/><Relationship Id="rId1530" Type="http://schemas.openxmlformats.org/officeDocument/2006/relationships/hyperlink" Target="https://fbref.com/en/players/27219ecb/matchlogs/2024/summary/Ahmed-Qasem-Match-Logs" TargetMode="External"/><Relationship Id="rId1531" Type="http://schemas.openxmlformats.org/officeDocument/2006/relationships/hyperlink" Target="https://fbref.com/en/players/9c2e7413/Musa-Qurbanli" TargetMode="External"/><Relationship Id="rId1521" Type="http://schemas.openxmlformats.org/officeDocument/2006/relationships/hyperlink" Target="https://fbref.com/en/squads/e9d60d0c/2024/Sirius-Stats" TargetMode="External"/><Relationship Id="rId1522" Type="http://schemas.openxmlformats.org/officeDocument/2006/relationships/hyperlink" Target="https://fbref.com/en/players/17e8b732/matchlogs/2024/summary/Andreas-Pyndt-Andersen-Match-Logs" TargetMode="External"/><Relationship Id="rId1523" Type="http://schemas.openxmlformats.org/officeDocument/2006/relationships/hyperlink" Target="https://fbref.com/en/players/17e8b732/Andreas-Pyndt-Andersen" TargetMode="External"/><Relationship Id="rId1524" Type="http://schemas.openxmlformats.org/officeDocument/2006/relationships/hyperlink" Target="https://fbref.com/en/country/DEN/Denmark-Football" TargetMode="External"/><Relationship Id="rId1525" Type="http://schemas.openxmlformats.org/officeDocument/2006/relationships/hyperlink" Target="https://fbref.com/en/squads/ef1ab26a/2024/Goteborg-Stats" TargetMode="External"/><Relationship Id="rId1526" Type="http://schemas.openxmlformats.org/officeDocument/2006/relationships/hyperlink" Target="https://fbref.com/en/players/17e8b732/matchlogs/2024/summary/Andreas-Pyndt-Andersen-Match-Logs" TargetMode="External"/><Relationship Id="rId1527" Type="http://schemas.openxmlformats.org/officeDocument/2006/relationships/hyperlink" Target="https://fbref.com/en/players/27219ecb/Ahmed-Qasem" TargetMode="External"/><Relationship Id="rId1528" Type="http://schemas.openxmlformats.org/officeDocument/2006/relationships/hyperlink" Target="https://fbref.com/en/country/SWE/Sweden-Football" TargetMode="External"/><Relationship Id="rId1529" Type="http://schemas.openxmlformats.org/officeDocument/2006/relationships/hyperlink" Target="https://fbref.com/en/squads/50e85bfc/2024/Elfsborg-Stats" TargetMode="External"/><Relationship Id="rId939" Type="http://schemas.openxmlformats.org/officeDocument/2006/relationships/hyperlink" Target="https://fbref.com/en/country/SWE/Sweden-Football" TargetMode="External"/><Relationship Id="rId938" Type="http://schemas.openxmlformats.org/officeDocument/2006/relationships/hyperlink" Target="https://fbref.com/en/players/6f864562/Herman-Johansson" TargetMode="External"/><Relationship Id="rId937" Type="http://schemas.openxmlformats.org/officeDocument/2006/relationships/hyperlink" Target="https://fbref.com/en/players/65df97ab/matchlogs/2024/summary/Carl-Johansson-Match-Logs" TargetMode="External"/><Relationship Id="rId932" Type="http://schemas.openxmlformats.org/officeDocument/2006/relationships/hyperlink" Target="https://fbref.com/en/squads/d048ed60/2024/Varnamo-Stats" TargetMode="External"/><Relationship Id="rId931" Type="http://schemas.openxmlformats.org/officeDocument/2006/relationships/hyperlink" Target="https://fbref.com/en/country/SWE/Sweden-Football" TargetMode="External"/><Relationship Id="rId930" Type="http://schemas.openxmlformats.org/officeDocument/2006/relationships/hyperlink" Target="https://fbref.com/en/players/8f3d288a/Calle-Johansson" TargetMode="External"/><Relationship Id="rId936" Type="http://schemas.openxmlformats.org/officeDocument/2006/relationships/hyperlink" Target="https://fbref.com/en/squads/d048ed60/2024/Varnamo-Stats" TargetMode="External"/><Relationship Id="rId935" Type="http://schemas.openxmlformats.org/officeDocument/2006/relationships/hyperlink" Target="https://fbref.com/en/country/SWE/Sweden-Football" TargetMode="External"/><Relationship Id="rId934" Type="http://schemas.openxmlformats.org/officeDocument/2006/relationships/hyperlink" Target="https://fbref.com/en/players/65df97ab/Carl-Johansson" TargetMode="External"/><Relationship Id="rId933" Type="http://schemas.openxmlformats.org/officeDocument/2006/relationships/hyperlink" Target="https://fbref.com/en/players/8f3d288a/matchlogs/2024/summary/Calle-Johansson-Match-Logs" TargetMode="External"/><Relationship Id="rId1520" Type="http://schemas.openxmlformats.org/officeDocument/2006/relationships/hyperlink" Target="https://fbref.com/en/country/DEN/Denmark-Football" TargetMode="External"/><Relationship Id="rId1554" Type="http://schemas.openxmlformats.org/officeDocument/2006/relationships/hyperlink" Target="https://fbref.com/en/players/30b7d942/matchlogs/2024/summary/Jonathan-Rasheed-Match-Logs" TargetMode="External"/><Relationship Id="rId1555" Type="http://schemas.openxmlformats.org/officeDocument/2006/relationships/hyperlink" Target="https://fbref.com/en/players/4f001fc4/Zakarias-Ravik" TargetMode="External"/><Relationship Id="rId1556" Type="http://schemas.openxmlformats.org/officeDocument/2006/relationships/hyperlink" Target="https://fbref.com/en/country/SWE/Sweden-Football" TargetMode="External"/><Relationship Id="rId1557" Type="http://schemas.openxmlformats.org/officeDocument/2006/relationships/hyperlink" Target="https://fbref.com/en/squads/9f13771c/2024/Kalmar-Stats" TargetMode="External"/><Relationship Id="rId1558" Type="http://schemas.openxmlformats.org/officeDocument/2006/relationships/hyperlink" Target="https://fbref.com/en/players/4f001fc4/matchlogs/2024/summary/Zakarias-Ravik-Match-Logs" TargetMode="External"/><Relationship Id="rId1559" Type="http://schemas.openxmlformats.org/officeDocument/2006/relationships/hyperlink" Target="https://fbref.com/en/players/83063748/Emil-Reyes-Rigo" TargetMode="External"/><Relationship Id="rId965" Type="http://schemas.openxmlformats.org/officeDocument/2006/relationships/hyperlink" Target="https://fbref.com/en/players/4f5078df/Isak-Jonsson" TargetMode="External"/><Relationship Id="rId964" Type="http://schemas.openxmlformats.org/officeDocument/2006/relationships/hyperlink" Target="https://fbref.com/en/players/58dca0f6/matchlogs/2024/summary/Isaac-Johnson-Match-Logs" TargetMode="External"/><Relationship Id="rId963" Type="http://schemas.openxmlformats.org/officeDocument/2006/relationships/hyperlink" Target="https://fbref.com/en/squads/b1a7a7b9/2024/Mjallby-Stats" TargetMode="External"/><Relationship Id="rId962" Type="http://schemas.openxmlformats.org/officeDocument/2006/relationships/hyperlink" Target="https://fbref.com/en/players/58dca0f6/Isaac-Johnson" TargetMode="External"/><Relationship Id="rId969" Type="http://schemas.openxmlformats.org/officeDocument/2006/relationships/hyperlink" Target="https://fbref.com/en/players/3d66c883/Leo-Jonsson" TargetMode="External"/><Relationship Id="rId968" Type="http://schemas.openxmlformats.org/officeDocument/2006/relationships/hyperlink" Target="https://fbref.com/en/players/4f5078df/matchlogs/2024/summary/Isak-Jonsson-Match-Logs" TargetMode="External"/><Relationship Id="rId967" Type="http://schemas.openxmlformats.org/officeDocument/2006/relationships/hyperlink" Target="https://fbref.com/en/squads/a8481ab9/2024/Vasteras-Stats" TargetMode="External"/><Relationship Id="rId966" Type="http://schemas.openxmlformats.org/officeDocument/2006/relationships/hyperlink" Target="https://fbref.com/en/country/SWE/Sweden-Football" TargetMode="External"/><Relationship Id="rId961" Type="http://schemas.openxmlformats.org/officeDocument/2006/relationships/hyperlink" Target="https://fbref.com/en/players/8326e57a/matchlogs/2024/summary/Simon-Johansson-Match-Logs" TargetMode="External"/><Relationship Id="rId1550" Type="http://schemas.openxmlformats.org/officeDocument/2006/relationships/hyperlink" Target="https://fbref.com/en/players/ab86ca19/matchlogs/2024/summary/Johan-Rapp-Match-Logs" TargetMode="External"/><Relationship Id="rId960" Type="http://schemas.openxmlformats.org/officeDocument/2006/relationships/hyperlink" Target="https://fbref.com/en/squads/a8481ab9/2024/Vasteras-Stats" TargetMode="External"/><Relationship Id="rId1551" Type="http://schemas.openxmlformats.org/officeDocument/2006/relationships/hyperlink" Target="https://fbref.com/en/players/30b7d942/Jonathan-Rasheed" TargetMode="External"/><Relationship Id="rId1552" Type="http://schemas.openxmlformats.org/officeDocument/2006/relationships/hyperlink" Target="https://fbref.com/en/country/NOR/Norway-Football" TargetMode="External"/><Relationship Id="rId1553" Type="http://schemas.openxmlformats.org/officeDocument/2006/relationships/hyperlink" Target="https://fbref.com/en/squads/d048ed60/2024/Varnamo-Stats" TargetMode="External"/><Relationship Id="rId1543" Type="http://schemas.openxmlformats.org/officeDocument/2006/relationships/hyperlink" Target="https://fbref.com/en/players/bf214961/Gottfrid-Rapp" TargetMode="External"/><Relationship Id="rId1544" Type="http://schemas.openxmlformats.org/officeDocument/2006/relationships/hyperlink" Target="https://fbref.com/en/country/SWE/Sweden-Football" TargetMode="External"/><Relationship Id="rId1545" Type="http://schemas.openxmlformats.org/officeDocument/2006/relationships/hyperlink" Target="https://fbref.com/en/squads/50e85bfc/2024/Elfsborg-Stats" TargetMode="External"/><Relationship Id="rId1546" Type="http://schemas.openxmlformats.org/officeDocument/2006/relationships/hyperlink" Target="https://fbref.com/en/players/bf214961/matchlogs/2024/summary/Gottfrid-Rapp-Match-Logs" TargetMode="External"/><Relationship Id="rId1547" Type="http://schemas.openxmlformats.org/officeDocument/2006/relationships/hyperlink" Target="https://fbref.com/en/players/ab86ca19/Johan-Rapp" TargetMode="External"/><Relationship Id="rId1548" Type="http://schemas.openxmlformats.org/officeDocument/2006/relationships/hyperlink" Target="https://fbref.com/en/country/SWE/Sweden-Football" TargetMode="External"/><Relationship Id="rId1549" Type="http://schemas.openxmlformats.org/officeDocument/2006/relationships/hyperlink" Target="https://fbref.com/en/squads/d048ed60/2024/Varnamo-Stats" TargetMode="External"/><Relationship Id="rId959" Type="http://schemas.openxmlformats.org/officeDocument/2006/relationships/hyperlink" Target="https://fbref.com/en/country/SWE/Sweden-Football" TargetMode="External"/><Relationship Id="rId954" Type="http://schemas.openxmlformats.org/officeDocument/2006/relationships/hyperlink" Target="https://fbref.com/en/players/5a471a3e/Piotr-Johansson" TargetMode="External"/><Relationship Id="rId953" Type="http://schemas.openxmlformats.org/officeDocument/2006/relationships/hyperlink" Target="https://fbref.com/en/players/0db3fcba/matchlogs/2024/summary/Oscar-Johansson-Match-Logs" TargetMode="External"/><Relationship Id="rId952" Type="http://schemas.openxmlformats.org/officeDocument/2006/relationships/hyperlink" Target="https://fbref.com/en/squads/92bfd7f0/2024/Hammarby-Stats" TargetMode="External"/><Relationship Id="rId951" Type="http://schemas.openxmlformats.org/officeDocument/2006/relationships/hyperlink" Target="https://fbref.com/en/country/SWE/Sweden-Football" TargetMode="External"/><Relationship Id="rId958" Type="http://schemas.openxmlformats.org/officeDocument/2006/relationships/hyperlink" Target="https://fbref.com/en/players/8326e57a/Simon-Johansson" TargetMode="External"/><Relationship Id="rId957" Type="http://schemas.openxmlformats.org/officeDocument/2006/relationships/hyperlink" Target="https://fbref.com/en/players/5a471a3e/matchlogs/2024/summary/Piotr-Johansson-Match-Logs" TargetMode="External"/><Relationship Id="rId956" Type="http://schemas.openxmlformats.org/officeDocument/2006/relationships/hyperlink" Target="https://fbref.com/en/squads/9423c05a/2024/Djurgarden-Stats" TargetMode="External"/><Relationship Id="rId955" Type="http://schemas.openxmlformats.org/officeDocument/2006/relationships/hyperlink" Target="https://fbref.com/en/country/SWE/Sweden-Football" TargetMode="External"/><Relationship Id="rId950" Type="http://schemas.openxmlformats.org/officeDocument/2006/relationships/hyperlink" Target="https://fbref.com/en/players/0db3fcba/Oscar-Johansson" TargetMode="External"/><Relationship Id="rId1540" Type="http://schemas.openxmlformats.org/officeDocument/2006/relationships/hyperlink" Target="https://fbref.com/en/country/SWE/Sweden-Football" TargetMode="External"/><Relationship Id="rId1541" Type="http://schemas.openxmlformats.org/officeDocument/2006/relationships/hyperlink" Target="https://fbref.com/en/squads/92bfd7f0/2024/Hammarby-Stats" TargetMode="External"/><Relationship Id="rId1542" Type="http://schemas.openxmlformats.org/officeDocument/2006/relationships/hyperlink" Target="https://fbref.com/en/players/a1fbaeb3/matchlogs/2024/summary/Marcus-Rafferty-Match-Logs" TargetMode="External"/><Relationship Id="rId2027" Type="http://schemas.openxmlformats.org/officeDocument/2006/relationships/hyperlink" Target="https://fbref.com/en/country/CIV/Cote-dIvoire-Football" TargetMode="External"/><Relationship Id="rId2028" Type="http://schemas.openxmlformats.org/officeDocument/2006/relationships/hyperlink" Target="https://fbref.com/en/squads/ef1ab26a/2024/Goteborg-Stats" TargetMode="External"/><Relationship Id="rId2029" Type="http://schemas.openxmlformats.org/officeDocument/2006/relationships/hyperlink" Target="https://fbref.com/en/players/e295402e/matchlogs/2024/summary/Malick-Yalcouye-Match-Logs" TargetMode="External"/><Relationship Id="rId590" Type="http://schemas.openxmlformats.org/officeDocument/2006/relationships/hyperlink" Target="https://fbref.com/en/players/df894060/Mads-Fenger" TargetMode="External"/><Relationship Id="rId107" Type="http://schemas.openxmlformats.org/officeDocument/2006/relationships/hyperlink" Target="https://fbref.com/en/players/2e5be23c/matchlogs/2024/summary/William-Andersson-Match-Logs" TargetMode="External"/><Relationship Id="rId106" Type="http://schemas.openxmlformats.org/officeDocument/2006/relationships/hyperlink" Target="https://fbref.com/en/squads/9f13771c/2024/Kalmar-Stats" TargetMode="External"/><Relationship Id="rId105" Type="http://schemas.openxmlformats.org/officeDocument/2006/relationships/hyperlink" Target="https://fbref.com/en/country/SWE/Sweden-Football" TargetMode="External"/><Relationship Id="rId589" Type="http://schemas.openxmlformats.org/officeDocument/2006/relationships/hyperlink" Target="https://fbref.com/en/players/de627c8a/matchlogs/2024/summary/Omar-Faraj-Match-Logs" TargetMode="External"/><Relationship Id="rId104" Type="http://schemas.openxmlformats.org/officeDocument/2006/relationships/hyperlink" Target="https://fbref.com/en/players/2e5be23c/William-Andersson" TargetMode="External"/><Relationship Id="rId588" Type="http://schemas.openxmlformats.org/officeDocument/2006/relationships/hyperlink" Target="https://fbref.com/en/squads/b0333581/2024/AIK-Stockholm-Stats" TargetMode="External"/><Relationship Id="rId109" Type="http://schemas.openxmlformats.org/officeDocument/2006/relationships/hyperlink" Target="https://fbref.com/en/country/SWE/Sweden-Football" TargetMode="External"/><Relationship Id="rId1170" Type="http://schemas.openxmlformats.org/officeDocument/2006/relationships/hyperlink" Target="https://fbref.com/en/squads/a8481ab9/2024/Vasteras-Stats" TargetMode="External"/><Relationship Id="rId108" Type="http://schemas.openxmlformats.org/officeDocument/2006/relationships/hyperlink" Target="https://fbref.com/en/players/67594583/Wilmer-Andersson" TargetMode="External"/><Relationship Id="rId1171" Type="http://schemas.openxmlformats.org/officeDocument/2006/relationships/hyperlink" Target="https://fbref.com/en/players/e0103307/matchlogs/2024/summary/Alex-Lindelov-Match-Logs" TargetMode="External"/><Relationship Id="rId583" Type="http://schemas.openxmlformats.org/officeDocument/2006/relationships/hyperlink" Target="https://fbref.com/en/country/SYR/Syria-Football" TargetMode="External"/><Relationship Id="rId1172" Type="http://schemas.openxmlformats.org/officeDocument/2006/relationships/hyperlink" Target="https://fbref.com/en/players/ec1baa9b/Filip-Linderoth" TargetMode="External"/><Relationship Id="rId582" Type="http://schemas.openxmlformats.org/officeDocument/2006/relationships/hyperlink" Target="https://fbref.com/en/players/0f5c93cc/Ahmad-Faqa" TargetMode="External"/><Relationship Id="rId1173" Type="http://schemas.openxmlformats.org/officeDocument/2006/relationships/hyperlink" Target="https://fbref.com/en/country/SWE/Sweden-Football" TargetMode="External"/><Relationship Id="rId2020" Type="http://schemas.openxmlformats.org/officeDocument/2006/relationships/hyperlink" Target="https://fbref.com/en/squads/d048ed60/2024/Varnamo-Stats" TargetMode="External"/><Relationship Id="rId581" Type="http://schemas.openxmlformats.org/officeDocument/2006/relationships/hyperlink" Target="https://fbref.com/en/players/1f6c538c/matchlogs/2024/summary/Lamine-Fanne-Match-Logs" TargetMode="External"/><Relationship Id="rId1174" Type="http://schemas.openxmlformats.org/officeDocument/2006/relationships/hyperlink" Target="https://fbref.com/en/squads/b1a7a7b9/2024/Mjallby-Stats" TargetMode="External"/><Relationship Id="rId2021" Type="http://schemas.openxmlformats.org/officeDocument/2006/relationships/hyperlink" Target="https://fbref.com/en/players/95c840ac/matchlogs/2024/summary/Freddy-Winsth-Match-Logs" TargetMode="External"/><Relationship Id="rId580" Type="http://schemas.openxmlformats.org/officeDocument/2006/relationships/hyperlink" Target="https://fbref.com/en/squads/b0333581/2024/AIK-Stockholm-Stats" TargetMode="External"/><Relationship Id="rId1175" Type="http://schemas.openxmlformats.org/officeDocument/2006/relationships/hyperlink" Target="https://fbref.com/en/players/ec1baa9b/matchlogs/2024/summary/Filip-Linderoth-Match-Logs" TargetMode="External"/><Relationship Id="rId2022" Type="http://schemas.openxmlformats.org/officeDocument/2006/relationships/hyperlink" Target="https://fbref.com/en/players/a1257b5e/Frederik-Winther" TargetMode="External"/><Relationship Id="rId103" Type="http://schemas.openxmlformats.org/officeDocument/2006/relationships/hyperlink" Target="https://fbref.com/en/players/04914da4/matchlogs/2024/summary/Viktor-Andersson-Match-Logs" TargetMode="External"/><Relationship Id="rId587" Type="http://schemas.openxmlformats.org/officeDocument/2006/relationships/hyperlink" Target="https://fbref.com/en/country/PLE/Palestine-Football" TargetMode="External"/><Relationship Id="rId1176" Type="http://schemas.openxmlformats.org/officeDocument/2006/relationships/hyperlink" Target="https://fbref.com/en/players/09a377a3/August-Ljungberg" TargetMode="External"/><Relationship Id="rId2023" Type="http://schemas.openxmlformats.org/officeDocument/2006/relationships/hyperlink" Target="https://fbref.com/en/country/DEN/Denmark-Football" TargetMode="External"/><Relationship Id="rId102" Type="http://schemas.openxmlformats.org/officeDocument/2006/relationships/hyperlink" Target="https://fbref.com/en/squads/d048ed60/2024/Varnamo-Stats" TargetMode="External"/><Relationship Id="rId586" Type="http://schemas.openxmlformats.org/officeDocument/2006/relationships/hyperlink" Target="https://fbref.com/en/players/de627c8a/Omar-Faraj" TargetMode="External"/><Relationship Id="rId1177" Type="http://schemas.openxmlformats.org/officeDocument/2006/relationships/hyperlink" Target="https://fbref.com/en/country/SWE/Sweden-Football" TargetMode="External"/><Relationship Id="rId2024" Type="http://schemas.openxmlformats.org/officeDocument/2006/relationships/hyperlink" Target="https://fbref.com/en/squads/92bfd7f0/2024/Hammarby-Stats" TargetMode="External"/><Relationship Id="rId101" Type="http://schemas.openxmlformats.org/officeDocument/2006/relationships/hyperlink" Target="https://fbref.com/en/country/SWE/Sweden-Football" TargetMode="External"/><Relationship Id="rId585" Type="http://schemas.openxmlformats.org/officeDocument/2006/relationships/hyperlink" Target="https://fbref.com/en/players/0f5c93cc/matchlogs/2024/summary/Ahmad-Faqa-Match-Logs" TargetMode="External"/><Relationship Id="rId1178" Type="http://schemas.openxmlformats.org/officeDocument/2006/relationships/hyperlink" Target="https://fbref.com/en/squads/e9d60d0c/2024/Sirius-Stats" TargetMode="External"/><Relationship Id="rId2025" Type="http://schemas.openxmlformats.org/officeDocument/2006/relationships/hyperlink" Target="https://fbref.com/en/players/a1257b5e/matchlogs/2024/summary/Frederik-Winther-Match-Logs" TargetMode="External"/><Relationship Id="rId100" Type="http://schemas.openxmlformats.org/officeDocument/2006/relationships/hyperlink" Target="https://fbref.com/en/players/04914da4/Viktor-Andersson" TargetMode="External"/><Relationship Id="rId584" Type="http://schemas.openxmlformats.org/officeDocument/2006/relationships/hyperlink" Target="https://fbref.com/en/squads/b0333581/2024/AIK-Stockholm-Stats" TargetMode="External"/><Relationship Id="rId1179" Type="http://schemas.openxmlformats.org/officeDocument/2006/relationships/hyperlink" Target="https://fbref.com/en/players/09a377a3/matchlogs/2024/summary/August-Ljungberg-Match-Logs" TargetMode="External"/><Relationship Id="rId2026" Type="http://schemas.openxmlformats.org/officeDocument/2006/relationships/hyperlink" Target="https://fbref.com/en/players/e295402e/Malick-Yalcouye" TargetMode="External"/><Relationship Id="rId1169" Type="http://schemas.openxmlformats.org/officeDocument/2006/relationships/hyperlink" Target="https://fbref.com/en/country/SWE/Sweden-Football" TargetMode="External"/><Relationship Id="rId2016" Type="http://schemas.openxmlformats.org/officeDocument/2006/relationships/hyperlink" Target="https://fbref.com/en/squads/b0333581/2024/AIK-Stockholm-Stats" TargetMode="External"/><Relationship Id="rId2017" Type="http://schemas.openxmlformats.org/officeDocument/2006/relationships/hyperlink" Target="https://fbref.com/en/players/0e41d307/matchlogs/2024/summary/Stanley-Wilson-Match-Logs" TargetMode="External"/><Relationship Id="rId2018" Type="http://schemas.openxmlformats.org/officeDocument/2006/relationships/hyperlink" Target="https://fbref.com/en/players/95c840ac/Freddy-Winsth" TargetMode="External"/><Relationship Id="rId2019" Type="http://schemas.openxmlformats.org/officeDocument/2006/relationships/hyperlink" Target="https://fbref.com/en/country/SWE/Sweden-Football" TargetMode="External"/><Relationship Id="rId579" Type="http://schemas.openxmlformats.org/officeDocument/2006/relationships/hyperlink" Target="https://fbref.com/en/country/ESP/Spain-Football" TargetMode="External"/><Relationship Id="rId578" Type="http://schemas.openxmlformats.org/officeDocument/2006/relationships/hyperlink" Target="https://fbref.com/en/players/1f6c538c/Lamine-Fanne" TargetMode="External"/><Relationship Id="rId577" Type="http://schemas.openxmlformats.org/officeDocument/2006/relationships/hyperlink" Target="https://fbref.com/en/players/61f2f56a/matchlogs/2024/summary/Andri-Fannar-Baldursson-Match-Logs" TargetMode="External"/><Relationship Id="rId1160" Type="http://schemas.openxmlformats.org/officeDocument/2006/relationships/hyperlink" Target="https://fbref.com/en/players/2c5dae12/Vilmer-Lindberg" TargetMode="External"/><Relationship Id="rId572" Type="http://schemas.openxmlformats.org/officeDocument/2006/relationships/hyperlink" Target="https://fbref.com/en/squads/9423c05a/2024/Djurgarden-Stats" TargetMode="External"/><Relationship Id="rId1161" Type="http://schemas.openxmlformats.org/officeDocument/2006/relationships/hyperlink" Target="https://fbref.com/en/country/SWE/Sweden-Football" TargetMode="External"/><Relationship Id="rId571" Type="http://schemas.openxmlformats.org/officeDocument/2006/relationships/hyperlink" Target="https://fbref.com/en/country/SWE/Sweden-Football" TargetMode="External"/><Relationship Id="rId1162" Type="http://schemas.openxmlformats.org/officeDocument/2006/relationships/hyperlink" Target="https://fbref.com/en/squads/b1a7a7b9/2024/Mjallby-Stats" TargetMode="External"/><Relationship Id="rId570" Type="http://schemas.openxmlformats.org/officeDocument/2006/relationships/hyperlink" Target="https://fbref.com/en/players/7004c558/Oskar-Fallenius" TargetMode="External"/><Relationship Id="rId1163" Type="http://schemas.openxmlformats.org/officeDocument/2006/relationships/hyperlink" Target="https://fbref.com/en/players/2c5dae12/matchlogs/2024/summary/Vilmer-Lindberg-Match-Logs" TargetMode="External"/><Relationship Id="rId2010" Type="http://schemas.openxmlformats.org/officeDocument/2006/relationships/hyperlink" Target="https://fbref.com/en/players/1f050b89/Rasmus-Wikstrom" TargetMode="External"/><Relationship Id="rId1164" Type="http://schemas.openxmlformats.org/officeDocument/2006/relationships/hyperlink" Target="https://fbref.com/en/players/4d6a842d/Andreas-Linde" TargetMode="External"/><Relationship Id="rId2011" Type="http://schemas.openxmlformats.org/officeDocument/2006/relationships/hyperlink" Target="https://fbref.com/en/country/SWE/Sweden-Football" TargetMode="External"/><Relationship Id="rId576" Type="http://schemas.openxmlformats.org/officeDocument/2006/relationships/hyperlink" Target="https://fbref.com/en/squads/50e85bfc/2024/Elfsborg-Stats" TargetMode="External"/><Relationship Id="rId1165" Type="http://schemas.openxmlformats.org/officeDocument/2006/relationships/hyperlink" Target="https://fbref.com/en/country/SWE/Sweden-Football" TargetMode="External"/><Relationship Id="rId2012" Type="http://schemas.openxmlformats.org/officeDocument/2006/relationships/hyperlink" Target="https://fbref.com/en/squads/b1a7a7b9/2024/Mjallby-Stats" TargetMode="External"/><Relationship Id="rId575" Type="http://schemas.openxmlformats.org/officeDocument/2006/relationships/hyperlink" Target="https://fbref.com/en/country/ISL/Iceland-Football" TargetMode="External"/><Relationship Id="rId1166" Type="http://schemas.openxmlformats.org/officeDocument/2006/relationships/hyperlink" Target="https://fbref.com/en/squads/8774e267/2024/BK-Hacken-Stats" TargetMode="External"/><Relationship Id="rId2013" Type="http://schemas.openxmlformats.org/officeDocument/2006/relationships/hyperlink" Target="https://fbref.com/en/players/1f050b89/matchlogs/2024/summary/Rasmus-Wikstrom-Match-Logs" TargetMode="External"/><Relationship Id="rId574" Type="http://schemas.openxmlformats.org/officeDocument/2006/relationships/hyperlink" Target="https://fbref.com/en/players/61f2f56a/Andri-Fannar-Baldursson" TargetMode="External"/><Relationship Id="rId1167" Type="http://schemas.openxmlformats.org/officeDocument/2006/relationships/hyperlink" Target="https://fbref.com/en/players/4d6a842d/matchlogs/2024/summary/Andreas-Linde-Match-Logs" TargetMode="External"/><Relationship Id="rId2014" Type="http://schemas.openxmlformats.org/officeDocument/2006/relationships/hyperlink" Target="https://fbref.com/en/players/0e41d307/Stanley-Wilson" TargetMode="External"/><Relationship Id="rId573" Type="http://schemas.openxmlformats.org/officeDocument/2006/relationships/hyperlink" Target="https://fbref.com/en/players/7004c558/matchlogs/2024/summary/Oskar-Fallenius-Match-Logs" TargetMode="External"/><Relationship Id="rId1168" Type="http://schemas.openxmlformats.org/officeDocument/2006/relationships/hyperlink" Target="https://fbref.com/en/players/e0103307/Alex-Lindelov" TargetMode="External"/><Relationship Id="rId2015" Type="http://schemas.openxmlformats.org/officeDocument/2006/relationships/hyperlink" Target="https://fbref.com/en/country/KEN/Kenya-Football" TargetMode="External"/><Relationship Id="rId2049" Type="http://schemas.openxmlformats.org/officeDocument/2006/relationships/hyperlink" Target="https://fbref.com/en/players/b0ee5895/matchlogs/2024/summary/Ali-Zaher-Match-Logs" TargetMode="External"/><Relationship Id="rId129" Type="http://schemas.openxmlformats.org/officeDocument/2006/relationships/hyperlink" Target="https://fbref.com/en/country/SWE/Sweden-Football" TargetMode="External"/><Relationship Id="rId128" Type="http://schemas.openxmlformats.org/officeDocument/2006/relationships/hyperlink" Target="https://fbref.com/en/players/ef516406/Frode-Aronsson" TargetMode="External"/><Relationship Id="rId127" Type="http://schemas.openxmlformats.org/officeDocument/2006/relationships/hyperlink" Target="https://fbref.com/en/players/b6f76b6b/matchlogs/2024/summary/Eggert-Aron-Gudmundsson-Match-Logs" TargetMode="External"/><Relationship Id="rId126" Type="http://schemas.openxmlformats.org/officeDocument/2006/relationships/hyperlink" Target="https://fbref.com/en/squads/50e85bfc/2024/Elfsborg-Stats" TargetMode="External"/><Relationship Id="rId1190" Type="http://schemas.openxmlformats.org/officeDocument/2006/relationships/hyperlink" Target="https://fbref.com/en/squads/bb9e11b2/2024/Brommapojkarna-Stats" TargetMode="External"/><Relationship Id="rId1191" Type="http://schemas.openxmlformats.org/officeDocument/2006/relationships/hyperlink" Target="https://fbref.com/en/players/d8715759/matchlogs/2024/summary/Alfons-Lohake-Match-Logs" TargetMode="External"/><Relationship Id="rId1192" Type="http://schemas.openxmlformats.org/officeDocument/2006/relationships/hyperlink" Target="https://fbref.com/en/players/cd0c4265/Albin-Lohikangas" TargetMode="External"/><Relationship Id="rId1193" Type="http://schemas.openxmlformats.org/officeDocument/2006/relationships/hyperlink" Target="https://fbref.com/en/country/SWE/Sweden-Football" TargetMode="External"/><Relationship Id="rId2040" Type="http://schemas.openxmlformats.org/officeDocument/2006/relationships/hyperlink" Target="https://fbref.com/en/squads/9f13771c/2024/Kalmar-Stats" TargetMode="External"/><Relationship Id="rId121" Type="http://schemas.openxmlformats.org/officeDocument/2006/relationships/hyperlink" Target="https://fbref.com/en/country/SWE/Sweden-Football" TargetMode="External"/><Relationship Id="rId1194" Type="http://schemas.openxmlformats.org/officeDocument/2006/relationships/hyperlink" Target="https://fbref.com/en/squads/d048ed60/2024/Varnamo-Stats" TargetMode="External"/><Relationship Id="rId2041" Type="http://schemas.openxmlformats.org/officeDocument/2006/relationships/hyperlink" Target="https://fbref.com/en/players/ed87c761/matchlogs/2024/summary/Saku-Ylatupa-Match-Logs" TargetMode="External"/><Relationship Id="rId120" Type="http://schemas.openxmlformats.org/officeDocument/2006/relationships/hyperlink" Target="https://fbref.com/en/players/3e55ba14/Umit-Aras" TargetMode="External"/><Relationship Id="rId1195" Type="http://schemas.openxmlformats.org/officeDocument/2006/relationships/hyperlink" Target="https://fbref.com/en/players/cd0c4265/matchlogs/2024/summary/Albin-Lohikangas-Match-Logs" TargetMode="External"/><Relationship Id="rId2042" Type="http://schemas.openxmlformats.org/officeDocument/2006/relationships/hyperlink" Target="https://fbref.com/en/players/2e820983/Ali-Youssef" TargetMode="External"/><Relationship Id="rId1196" Type="http://schemas.openxmlformats.org/officeDocument/2006/relationships/hyperlink" Target="https://fbref.com/en/players/d2889240/Zakaria-Loukili" TargetMode="External"/><Relationship Id="rId2043" Type="http://schemas.openxmlformats.org/officeDocument/2006/relationships/hyperlink" Target="https://fbref.com/en/country/TUN/Tunisia-Football" TargetMode="External"/><Relationship Id="rId1197" Type="http://schemas.openxmlformats.org/officeDocument/2006/relationships/hyperlink" Target="https://fbref.com/en/country/SWE/Sweden-Football" TargetMode="External"/><Relationship Id="rId2044" Type="http://schemas.openxmlformats.org/officeDocument/2006/relationships/hyperlink" Target="https://fbref.com/en/squads/8774e267/2024/BK-Hacken-Stats" TargetMode="External"/><Relationship Id="rId125" Type="http://schemas.openxmlformats.org/officeDocument/2006/relationships/hyperlink" Target="https://fbref.com/en/country/ISL/Iceland-Football" TargetMode="External"/><Relationship Id="rId1198" Type="http://schemas.openxmlformats.org/officeDocument/2006/relationships/hyperlink" Target="https://fbref.com/en/squads/f3d8c8b9/2024/Malmo-Stats" TargetMode="External"/><Relationship Id="rId2045" Type="http://schemas.openxmlformats.org/officeDocument/2006/relationships/hyperlink" Target="https://fbref.com/en/players/2e820983/matchlogs/2024/summary/Ali-Youssef-Match-Logs" TargetMode="External"/><Relationship Id="rId124" Type="http://schemas.openxmlformats.org/officeDocument/2006/relationships/hyperlink" Target="https://fbref.com/en/players/b6f76b6b/Eggert-Aron-Gudmundsson" TargetMode="External"/><Relationship Id="rId1199" Type="http://schemas.openxmlformats.org/officeDocument/2006/relationships/hyperlink" Target="https://fbref.com/en/players/d2889240/matchlogs/2024/summary/Zakaria-Loukili-Match-Logs" TargetMode="External"/><Relationship Id="rId2046" Type="http://schemas.openxmlformats.org/officeDocument/2006/relationships/hyperlink" Target="https://fbref.com/en/players/b0ee5895/Ali-Zaher" TargetMode="External"/><Relationship Id="rId123" Type="http://schemas.openxmlformats.org/officeDocument/2006/relationships/hyperlink" Target="https://fbref.com/en/players/3e55ba14/matchlogs/2024/summary/Umit-Aras-Match-Logs" TargetMode="External"/><Relationship Id="rId2047" Type="http://schemas.openxmlformats.org/officeDocument/2006/relationships/hyperlink" Target="https://fbref.com/en/country/SWE/Sweden-Football" TargetMode="External"/><Relationship Id="rId122" Type="http://schemas.openxmlformats.org/officeDocument/2006/relationships/hyperlink" Target="https://fbref.com/en/squads/a8481ab9/2024/Vasteras-Stats" TargetMode="External"/><Relationship Id="rId2048" Type="http://schemas.openxmlformats.org/officeDocument/2006/relationships/hyperlink" Target="https://fbref.com/en/squads/9f13771c/2024/Kalmar-Stats" TargetMode="External"/><Relationship Id="rId2038" Type="http://schemas.openxmlformats.org/officeDocument/2006/relationships/hyperlink" Target="https://fbref.com/en/players/ed87c761/Saku-Ylatupa" TargetMode="External"/><Relationship Id="rId2039" Type="http://schemas.openxmlformats.org/officeDocument/2006/relationships/hyperlink" Target="https://fbref.com/en/country/FIN/Finland-Football" TargetMode="External"/><Relationship Id="rId118" Type="http://schemas.openxmlformats.org/officeDocument/2006/relationships/hyperlink" Target="https://fbref.com/en/squads/bb9e11b2/2024/Brommapojkarna-Stats" TargetMode="External"/><Relationship Id="rId117" Type="http://schemas.openxmlformats.org/officeDocument/2006/relationships/hyperlink" Target="https://fbref.com/en/country/SWE/Sweden-Football" TargetMode="External"/><Relationship Id="rId116" Type="http://schemas.openxmlformats.org/officeDocument/2006/relationships/hyperlink" Target="https://fbref.com/en/players/f97d514e/Charlie-Antonelius" TargetMode="External"/><Relationship Id="rId115" Type="http://schemas.openxmlformats.org/officeDocument/2006/relationships/hyperlink" Target="https://fbref.com/en/players/66205d28/matchlogs/2024/summary/Isak-Andri-Sigurgeirsson-Match-Logs" TargetMode="External"/><Relationship Id="rId599" Type="http://schemas.openxmlformats.org/officeDocument/2006/relationships/hyperlink" Target="https://fbref.com/en/country/ISL/Iceland-Football" TargetMode="External"/><Relationship Id="rId1180" Type="http://schemas.openxmlformats.org/officeDocument/2006/relationships/hyperlink" Target="https://fbref.com/en/players/4ff1d88c/Marc-Llinares" TargetMode="External"/><Relationship Id="rId1181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f97d514e/matchlogs/2024/summary/Charlie-Antonelius-Match-Logs" TargetMode="External"/><Relationship Id="rId1182" Type="http://schemas.openxmlformats.org/officeDocument/2006/relationships/hyperlink" Target="https://fbref.com/en/squads/92bfd7f0/2024/Hammarby-Stats" TargetMode="External"/><Relationship Id="rId110" Type="http://schemas.openxmlformats.org/officeDocument/2006/relationships/hyperlink" Target="https://fbref.com/en/squads/9f13771c/2024/Kalmar-Stats" TargetMode="External"/><Relationship Id="rId594" Type="http://schemas.openxmlformats.org/officeDocument/2006/relationships/hyperlink" Target="https://fbref.com/en/players/204df3a8/Robin-Frej" TargetMode="External"/><Relationship Id="rId1183" Type="http://schemas.openxmlformats.org/officeDocument/2006/relationships/hyperlink" Target="https://fbref.com/en/players/4ff1d88c/matchlogs/2024/summary/Marc-Llinares-Match-Logs" TargetMode="External"/><Relationship Id="rId2030" Type="http://schemas.openxmlformats.org/officeDocument/2006/relationships/hyperlink" Target="https://fbref.com/en/players/ad9a7506/Rockson-Yeboah" TargetMode="External"/><Relationship Id="rId593" Type="http://schemas.openxmlformats.org/officeDocument/2006/relationships/hyperlink" Target="https://fbref.com/en/players/df894060/matchlogs/2024/summary/Mads-Fenger-Match-Logs" TargetMode="External"/><Relationship Id="rId1184" Type="http://schemas.openxmlformats.org/officeDocument/2006/relationships/hyperlink" Target="https://fbref.com/en/players/37f341f0/Marius-Lode" TargetMode="External"/><Relationship Id="rId2031" Type="http://schemas.openxmlformats.org/officeDocument/2006/relationships/hyperlink" Target="https://fbref.com/en/country/GHA/Ghana-Football" TargetMode="External"/><Relationship Id="rId592" Type="http://schemas.openxmlformats.org/officeDocument/2006/relationships/hyperlink" Target="https://fbref.com/en/squads/92bfd7f0/2024/Hammarby-Stats" TargetMode="External"/><Relationship Id="rId1185" Type="http://schemas.openxmlformats.org/officeDocument/2006/relationships/hyperlink" Target="https://fbref.com/en/country/NOR/Norway-Football" TargetMode="External"/><Relationship Id="rId2032" Type="http://schemas.openxmlformats.org/officeDocument/2006/relationships/hyperlink" Target="https://fbref.com/en/squads/ef1ab26a/2024/Goteborg-Stats" TargetMode="External"/><Relationship Id="rId591" Type="http://schemas.openxmlformats.org/officeDocument/2006/relationships/hyperlink" Target="https://fbref.com/en/country/DEN/Denmark-Football" TargetMode="External"/><Relationship Id="rId1186" Type="http://schemas.openxmlformats.org/officeDocument/2006/relationships/hyperlink" Target="https://fbref.com/en/squads/8774e267/2024/BK-Hacken-Stats" TargetMode="External"/><Relationship Id="rId2033" Type="http://schemas.openxmlformats.org/officeDocument/2006/relationships/hyperlink" Target="https://fbref.com/en/players/ad9a7506/matchlogs/2024/summary/Rockson-Yeboah-Match-Logs" TargetMode="External"/><Relationship Id="rId114" Type="http://schemas.openxmlformats.org/officeDocument/2006/relationships/hyperlink" Target="https://fbref.com/en/squads/1d0836d6/2024/Norrkoping-Stats" TargetMode="External"/><Relationship Id="rId598" Type="http://schemas.openxmlformats.org/officeDocument/2006/relationships/hyperlink" Target="https://fbref.com/en/players/789b7e89/Hlynur-Freyr-Karlsson" TargetMode="External"/><Relationship Id="rId1187" Type="http://schemas.openxmlformats.org/officeDocument/2006/relationships/hyperlink" Target="https://fbref.com/en/players/37f341f0/matchlogs/2024/summary/Marius-Lode-Match-Logs" TargetMode="External"/><Relationship Id="rId2034" Type="http://schemas.openxmlformats.org/officeDocument/2006/relationships/hyperlink" Target="https://fbref.com/en/players/c9829c9b/Terry-Yegbe" TargetMode="External"/><Relationship Id="rId113" Type="http://schemas.openxmlformats.org/officeDocument/2006/relationships/hyperlink" Target="https://fbref.com/en/country/ISL/Iceland-Football" TargetMode="External"/><Relationship Id="rId597" Type="http://schemas.openxmlformats.org/officeDocument/2006/relationships/hyperlink" Target="https://fbref.com/en/players/204df3a8/matchlogs/2024/summary/Robin-Frej-Match-Logs" TargetMode="External"/><Relationship Id="rId1188" Type="http://schemas.openxmlformats.org/officeDocument/2006/relationships/hyperlink" Target="https://fbref.com/en/players/d8715759/Alfons-Lohake" TargetMode="External"/><Relationship Id="rId2035" Type="http://schemas.openxmlformats.org/officeDocument/2006/relationships/hyperlink" Target="https://fbref.com/en/country/GHA/Ghana-Football" TargetMode="External"/><Relationship Id="rId112" Type="http://schemas.openxmlformats.org/officeDocument/2006/relationships/hyperlink" Target="https://fbref.com/en/players/66205d28/Isak-Andri-Sigurgeirsson" TargetMode="External"/><Relationship Id="rId596" Type="http://schemas.openxmlformats.org/officeDocument/2006/relationships/hyperlink" Target="https://fbref.com/en/squads/7c2d1adb/2024/GAIS-Stats" TargetMode="External"/><Relationship Id="rId1189" Type="http://schemas.openxmlformats.org/officeDocument/2006/relationships/hyperlink" Target="https://fbref.com/en/country/SWE/Sweden-Football" TargetMode="External"/><Relationship Id="rId2036" Type="http://schemas.openxmlformats.org/officeDocument/2006/relationships/hyperlink" Target="https://fbref.com/en/squads/50e85bfc/2024/Elfsborg-Stats" TargetMode="External"/><Relationship Id="rId111" Type="http://schemas.openxmlformats.org/officeDocument/2006/relationships/hyperlink" Target="https://fbref.com/en/players/67594583/matchlogs/2024/summary/Wilmer-Andersson-Match-Logs" TargetMode="External"/><Relationship Id="rId595" Type="http://schemas.openxmlformats.org/officeDocument/2006/relationships/hyperlink" Target="https://fbref.com/en/country/SWE/Sweden-Football" TargetMode="External"/><Relationship Id="rId2037" Type="http://schemas.openxmlformats.org/officeDocument/2006/relationships/hyperlink" Target="https://fbref.com/en/players/c9829c9b/matchlogs/2024/summary/Terry-Yegbe-Match-Logs" TargetMode="External"/><Relationship Id="rId1136" Type="http://schemas.openxmlformats.org/officeDocument/2006/relationships/hyperlink" Target="https://fbref.com/en/players/0c09c984/Oscar-Lewicki" TargetMode="External"/><Relationship Id="rId1137" Type="http://schemas.openxmlformats.org/officeDocument/2006/relationships/hyperlink" Target="https://fbref.com/en/country/SWE/Sweden-Football" TargetMode="External"/><Relationship Id="rId1138" Type="http://schemas.openxmlformats.org/officeDocument/2006/relationships/hyperlink" Target="https://fbref.com/en/squads/f3d8c8b9/2024/Malmo-Stats" TargetMode="External"/><Relationship Id="rId1139" Type="http://schemas.openxmlformats.org/officeDocument/2006/relationships/hyperlink" Target="https://fbref.com/en/players/0c09c984/matchlogs/2024/summary/Oscar-Lewicki-Match-Logs" TargetMode="External"/><Relationship Id="rId547" Type="http://schemas.openxmlformats.org/officeDocument/2006/relationships/hyperlink" Target="https://fbref.com/en/country/SWE/Sweden-Football" TargetMode="External"/><Relationship Id="rId546" Type="http://schemas.openxmlformats.org/officeDocument/2006/relationships/hyperlink" Target="https://fbref.com/en/players/5571f8b5/Magnus-Eriksson" TargetMode="External"/><Relationship Id="rId545" Type="http://schemas.openxmlformats.org/officeDocument/2006/relationships/hyperlink" Target="https://fbref.com/en/players/0c508057/matchlogs/2024/summary/Anton-Eriksson-Match-Logs" TargetMode="External"/><Relationship Id="rId544" Type="http://schemas.openxmlformats.org/officeDocument/2006/relationships/hyperlink" Target="https://fbref.com/en/squads/1d0836d6/2024/Norrkoping-Stats" TargetMode="External"/><Relationship Id="rId549" Type="http://schemas.openxmlformats.org/officeDocument/2006/relationships/hyperlink" Target="https://fbref.com/en/players/5571f8b5/matchlogs/2024/summary/Magnus-Eriksson-Match-Logs" TargetMode="External"/><Relationship Id="rId548" Type="http://schemas.openxmlformats.org/officeDocument/2006/relationships/hyperlink" Target="https://fbref.com/en/squads/9423c05a/2024/Djurgarden-Stats" TargetMode="External"/><Relationship Id="rId1130" Type="http://schemas.openxmlformats.org/officeDocument/2006/relationships/hyperlink" Target="https://fbref.com/en/squads/d048ed60/2024/Varnamo-Stats" TargetMode="External"/><Relationship Id="rId1131" Type="http://schemas.openxmlformats.org/officeDocument/2006/relationships/hyperlink" Target="https://fbref.com/en/players/e30117aa/matchlogs/2024/summary/Luke-Le-Roux-Match-Logs" TargetMode="External"/><Relationship Id="rId543" Type="http://schemas.openxmlformats.org/officeDocument/2006/relationships/hyperlink" Target="https://fbref.com/en/country/SWE/Sweden-Football" TargetMode="External"/><Relationship Id="rId1132" Type="http://schemas.openxmlformats.org/officeDocument/2006/relationships/hyperlink" Target="https://fbref.com/en/players/0b4ecf82/Romeo-Leandersson" TargetMode="External"/><Relationship Id="rId542" Type="http://schemas.openxmlformats.org/officeDocument/2006/relationships/hyperlink" Target="https://fbref.com/en/players/0c508057/Anton-Eriksson" TargetMode="External"/><Relationship Id="rId1133" Type="http://schemas.openxmlformats.org/officeDocument/2006/relationships/hyperlink" Target="https://fbref.com/en/country/SWE/Sweden-Football" TargetMode="External"/><Relationship Id="rId541" Type="http://schemas.openxmlformats.org/officeDocument/2006/relationships/hyperlink" Target="https://fbref.com/en/players/5106b69d/matchlogs/2024/summary/Jusef-Erabi-Match-Logs" TargetMode="External"/><Relationship Id="rId1134" Type="http://schemas.openxmlformats.org/officeDocument/2006/relationships/hyperlink" Target="https://fbref.com/en/squads/b1a7a7b9/2024/Mjallby-Stats" TargetMode="External"/><Relationship Id="rId540" Type="http://schemas.openxmlformats.org/officeDocument/2006/relationships/hyperlink" Target="https://fbref.com/en/squads/92bfd7f0/2024/Hammarby-Stats" TargetMode="External"/><Relationship Id="rId1135" Type="http://schemas.openxmlformats.org/officeDocument/2006/relationships/hyperlink" Target="https://fbref.com/en/players/0b4ecf82/matchlogs/2024/summary/Romeo-Leandersson-Match-Logs" TargetMode="External"/><Relationship Id="rId1125" Type="http://schemas.openxmlformats.org/officeDocument/2006/relationships/hyperlink" Target="https://fbref.com/en/country/TUN/Tunisia-Football" TargetMode="External"/><Relationship Id="rId1126" Type="http://schemas.openxmlformats.org/officeDocument/2006/relationships/hyperlink" Target="https://fbref.com/en/squads/8774e267/2024/BK-Hacken-Stats" TargetMode="External"/><Relationship Id="rId1127" Type="http://schemas.openxmlformats.org/officeDocument/2006/relationships/hyperlink" Target="https://fbref.com/en/players/e9e41fd0/matchlogs/2024/summary/Amor-Layouni-Match-Logs" TargetMode="External"/><Relationship Id="rId1128" Type="http://schemas.openxmlformats.org/officeDocument/2006/relationships/hyperlink" Target="https://fbref.com/en/players/e30117aa/Luke-Le-Roux" TargetMode="External"/><Relationship Id="rId1129" Type="http://schemas.openxmlformats.org/officeDocument/2006/relationships/hyperlink" Target="https://fbref.com/en/country/RSA/South-Africa-Football" TargetMode="External"/><Relationship Id="rId536" Type="http://schemas.openxmlformats.org/officeDocument/2006/relationships/hyperlink" Target="https://fbref.com/en/squads/8774e267/2024/BK-Hacken-Stats" TargetMode="External"/><Relationship Id="rId535" Type="http://schemas.openxmlformats.org/officeDocument/2006/relationships/hyperlink" Target="https://fbref.com/en/country/SWE/Sweden-Football" TargetMode="External"/><Relationship Id="rId534" Type="http://schemas.openxmlformats.org/officeDocument/2006/relationships/hyperlink" Target="https://fbref.com/en/players/59340e08/Johannes-Engvall" TargetMode="External"/><Relationship Id="rId533" Type="http://schemas.openxmlformats.org/officeDocument/2006/relationships/hyperlink" Target="https://fbref.com/en/players/680227aa/matchlogs/2024/summary/Gustav-Engvall-Match-Logs" TargetMode="External"/><Relationship Id="rId539" Type="http://schemas.openxmlformats.org/officeDocument/2006/relationships/hyperlink" Target="https://fbref.com/en/country/SWE/Sweden-Football" TargetMode="External"/><Relationship Id="rId538" Type="http://schemas.openxmlformats.org/officeDocument/2006/relationships/hyperlink" Target="https://fbref.com/en/players/5106b69d/Jusef-Erabi" TargetMode="External"/><Relationship Id="rId537" Type="http://schemas.openxmlformats.org/officeDocument/2006/relationships/hyperlink" Target="https://fbref.com/en/players/59340e08/matchlogs/2024/summary/Johannes-Engvall-Match-Logs" TargetMode="External"/><Relationship Id="rId1120" Type="http://schemas.openxmlformats.org/officeDocument/2006/relationships/hyperlink" Target="https://fbref.com/en/players/9771da8c/Victor-Larsson" TargetMode="External"/><Relationship Id="rId532" Type="http://schemas.openxmlformats.org/officeDocument/2006/relationships/hyperlink" Target="https://fbref.com/en/squads/d048ed60/2024/Varnamo-Stats" TargetMode="External"/><Relationship Id="rId1121" Type="http://schemas.openxmlformats.org/officeDocument/2006/relationships/hyperlink" Target="https://fbref.com/en/country/SWE/Sweden-Football" TargetMode="External"/><Relationship Id="rId531" Type="http://schemas.openxmlformats.org/officeDocument/2006/relationships/hyperlink" Target="https://fbref.com/en/country/SWE/Sweden-Football" TargetMode="External"/><Relationship Id="rId1122" Type="http://schemas.openxmlformats.org/officeDocument/2006/relationships/hyperlink" Target="https://fbref.com/en/squads/d048ed60/2024/Varnamo-Stats" TargetMode="External"/><Relationship Id="rId530" Type="http://schemas.openxmlformats.org/officeDocument/2006/relationships/hyperlink" Target="https://fbref.com/en/players/680227aa/Gustav-Engvall" TargetMode="External"/><Relationship Id="rId1123" Type="http://schemas.openxmlformats.org/officeDocument/2006/relationships/hyperlink" Target="https://fbref.com/en/players/9771da8c/matchlogs/2024/summary/Victor-Larsson-Match-Logs" TargetMode="External"/><Relationship Id="rId1124" Type="http://schemas.openxmlformats.org/officeDocument/2006/relationships/hyperlink" Target="https://fbref.com/en/players/e9e41fd0/Amor-Layouni" TargetMode="External"/><Relationship Id="rId1158" Type="http://schemas.openxmlformats.org/officeDocument/2006/relationships/hyperlink" Target="https://fbref.com/en/squads/e9d60d0c/2024/Sirius-Stats" TargetMode="External"/><Relationship Id="rId2005" Type="http://schemas.openxmlformats.org/officeDocument/2006/relationships/hyperlink" Target="https://fbref.com/en/players/063ae595/matchlogs/2024/summary/Gustav-Wikheim-Match-Logs" TargetMode="External"/><Relationship Id="rId1159" Type="http://schemas.openxmlformats.org/officeDocument/2006/relationships/hyperlink" Target="https://fbref.com/en/players/3173e53f/matchlogs/2024/summary/Marcus-Lindberg-Match-Logs" TargetMode="External"/><Relationship Id="rId2006" Type="http://schemas.openxmlformats.org/officeDocument/2006/relationships/hyperlink" Target="https://fbref.com/en/players/677889a9/Adam-Wikman" TargetMode="External"/><Relationship Id="rId2007" Type="http://schemas.openxmlformats.org/officeDocument/2006/relationships/hyperlink" Target="https://fbref.com/en/country/SWE/Sweden-Football" TargetMode="External"/><Relationship Id="rId2008" Type="http://schemas.openxmlformats.org/officeDocument/2006/relationships/hyperlink" Target="https://fbref.com/en/squads/e9d60d0c/2024/Sirius-Stats" TargetMode="External"/><Relationship Id="rId2009" Type="http://schemas.openxmlformats.org/officeDocument/2006/relationships/hyperlink" Target="https://fbref.com/en/players/677889a9/matchlogs/2024/summary/Adam-Wikman-Match-Logs" TargetMode="External"/><Relationship Id="rId569" Type="http://schemas.openxmlformats.org/officeDocument/2006/relationships/hyperlink" Target="https://fbref.com/en/players/f4fea5b4/matchlogs/2024/summary/Anton-Fagerstrom-Match-Logs" TargetMode="External"/><Relationship Id="rId568" Type="http://schemas.openxmlformats.org/officeDocument/2006/relationships/hyperlink" Target="https://fbref.com/en/squads/a8481ab9/2024/Vasteras-Stats" TargetMode="External"/><Relationship Id="rId567" Type="http://schemas.openxmlformats.org/officeDocument/2006/relationships/hyperlink" Target="https://fbref.com/en/country/SWE/Sweden-Football" TargetMode="External"/><Relationship Id="rId566" Type="http://schemas.openxmlformats.org/officeDocument/2006/relationships/hyperlink" Target="https://fbref.com/en/players/f4fea5b4/Anton-Fagerstrom" TargetMode="External"/><Relationship Id="rId561" Type="http://schemas.openxmlformats.org/officeDocument/2006/relationships/hyperlink" Target="https://fbref.com/en/players/ab54f943/matchlogs/2024/summary/August-Erlingmark-Match-Logs" TargetMode="External"/><Relationship Id="rId1150" Type="http://schemas.openxmlformats.org/officeDocument/2006/relationships/hyperlink" Target="https://fbref.com/en/squads/7c2d1adb/2024/GAIS-Stats" TargetMode="External"/><Relationship Id="rId560" Type="http://schemas.openxmlformats.org/officeDocument/2006/relationships/hyperlink" Target="https://fbref.com/en/squads/ef1ab26a/2024/Goteborg-Stats" TargetMode="External"/><Relationship Id="rId1151" Type="http://schemas.openxmlformats.org/officeDocument/2006/relationships/hyperlink" Target="https://fbref.com/en/players/89eb3e9c/matchlogs/2024/summary/Jonas-Lindberg-Match-Logs" TargetMode="External"/><Relationship Id="rId1152" Type="http://schemas.openxmlformats.org/officeDocument/2006/relationships/hyperlink" Target="https://fbref.com/en/players/12111bc7/Julius-Lindberg" TargetMode="External"/><Relationship Id="rId1153" Type="http://schemas.openxmlformats.org/officeDocument/2006/relationships/hyperlink" Target="https://fbref.com/en/country/SWE/Sweden-Football" TargetMode="External"/><Relationship Id="rId2000" Type="http://schemas.openxmlformats.org/officeDocument/2006/relationships/hyperlink" Target="https://fbref.com/en/squads/17366e53/2024/Halmstad-Stats" TargetMode="External"/><Relationship Id="rId565" Type="http://schemas.openxmlformats.org/officeDocument/2006/relationships/hyperlink" Target="https://fbref.com/en/players/e3a6f507/matchlogs/2024/summary/Gisli-Eyjolfsson-Match-Logs" TargetMode="External"/><Relationship Id="rId1154" Type="http://schemas.openxmlformats.org/officeDocument/2006/relationships/hyperlink" Target="https://fbref.com/en/squads/8774e267/2024/BK-Hacken-Stats" TargetMode="External"/><Relationship Id="rId2001" Type="http://schemas.openxmlformats.org/officeDocument/2006/relationships/hyperlink" Target="https://fbref.com/en/players/e23db68b/matchlogs/2024/summary/Rasmus-Wiedesheim-Match-Logs" TargetMode="External"/><Relationship Id="rId564" Type="http://schemas.openxmlformats.org/officeDocument/2006/relationships/hyperlink" Target="https://fbref.com/en/squads/17366e53/2024/Halmstad-Stats" TargetMode="External"/><Relationship Id="rId1155" Type="http://schemas.openxmlformats.org/officeDocument/2006/relationships/hyperlink" Target="https://fbref.com/en/players/12111bc7/matchlogs/2024/summary/Julius-Lindberg-Match-Logs" TargetMode="External"/><Relationship Id="rId2002" Type="http://schemas.openxmlformats.org/officeDocument/2006/relationships/hyperlink" Target="https://fbref.com/en/players/063ae595/Gustav-Wikheim" TargetMode="External"/><Relationship Id="rId563" Type="http://schemas.openxmlformats.org/officeDocument/2006/relationships/hyperlink" Target="https://fbref.com/en/country/ISL/Iceland-Football" TargetMode="External"/><Relationship Id="rId1156" Type="http://schemas.openxmlformats.org/officeDocument/2006/relationships/hyperlink" Target="https://fbref.com/en/players/3173e53f/Marcus-Lindberg" TargetMode="External"/><Relationship Id="rId2003" Type="http://schemas.openxmlformats.org/officeDocument/2006/relationships/hyperlink" Target="https://fbref.com/en/country/NOR/Norway-Football" TargetMode="External"/><Relationship Id="rId562" Type="http://schemas.openxmlformats.org/officeDocument/2006/relationships/hyperlink" Target="https://fbref.com/en/players/e3a6f507/Gisli-Eyjolfsson" TargetMode="External"/><Relationship Id="rId1157" Type="http://schemas.openxmlformats.org/officeDocument/2006/relationships/hyperlink" Target="https://fbref.com/en/country/DEN/Denmark-Football" TargetMode="External"/><Relationship Id="rId2004" Type="http://schemas.openxmlformats.org/officeDocument/2006/relationships/hyperlink" Target="https://fbref.com/en/squads/9423c05a/2024/Djurgarden-Stats" TargetMode="External"/><Relationship Id="rId1147" Type="http://schemas.openxmlformats.org/officeDocument/2006/relationships/hyperlink" Target="https://fbref.com/en/players/521c90b8/matchlogs/2024/summary/Marcus-Linday-Match-Logs" TargetMode="External"/><Relationship Id="rId1148" Type="http://schemas.openxmlformats.org/officeDocument/2006/relationships/hyperlink" Target="https://fbref.com/en/players/89eb3e9c/Jonas-Lindberg" TargetMode="External"/><Relationship Id="rId1149" Type="http://schemas.openxmlformats.org/officeDocument/2006/relationships/hyperlink" Target="https://fbref.com/en/country/SWE/Sweden-Football" TargetMode="External"/><Relationship Id="rId558" Type="http://schemas.openxmlformats.org/officeDocument/2006/relationships/hyperlink" Target="https://fbref.com/en/players/ab54f943/August-Erlingmark" TargetMode="External"/><Relationship Id="rId557" Type="http://schemas.openxmlformats.org/officeDocument/2006/relationships/hyperlink" Target="https://fbref.com/en/players/aa6f8baa/matchlogs/2024/summary/Tim-Erlandsson-Match-Logs" TargetMode="External"/><Relationship Id="rId556" Type="http://schemas.openxmlformats.org/officeDocument/2006/relationships/hyperlink" Target="https://fbref.com/en/squads/17366e53/2024/Halmstad-Stats" TargetMode="External"/><Relationship Id="rId555" Type="http://schemas.openxmlformats.org/officeDocument/2006/relationships/hyperlink" Target="https://fbref.com/en/country/SWE/Sweden-Football" TargetMode="External"/><Relationship Id="rId559" Type="http://schemas.openxmlformats.org/officeDocument/2006/relationships/hyperlink" Target="https://fbref.com/en/country/SWE/Sweden-Football" TargetMode="External"/><Relationship Id="rId550" Type="http://schemas.openxmlformats.org/officeDocument/2006/relationships/hyperlink" Target="https://fbref.com/en/players/b567c8ff/Victor-Eriksson" TargetMode="External"/><Relationship Id="rId1140" Type="http://schemas.openxmlformats.org/officeDocument/2006/relationships/hyperlink" Target="https://fbref.com/en/players/eee8bff2/Axel-Lindahl" TargetMode="External"/><Relationship Id="rId1141" Type="http://schemas.openxmlformats.org/officeDocument/2006/relationships/hyperlink" Target="https://fbref.com/en/country/SWE/Sweden-Football" TargetMode="External"/><Relationship Id="rId1142" Type="http://schemas.openxmlformats.org/officeDocument/2006/relationships/hyperlink" Target="https://fbref.com/en/squads/8774e267/2024/BK-Hacken-Stats" TargetMode="External"/><Relationship Id="rId554" Type="http://schemas.openxmlformats.org/officeDocument/2006/relationships/hyperlink" Target="https://fbref.com/en/players/aa6f8baa/Tim-Erlandsson" TargetMode="External"/><Relationship Id="rId1143" Type="http://schemas.openxmlformats.org/officeDocument/2006/relationships/hyperlink" Target="https://fbref.com/en/players/eee8bff2/matchlogs/2024/summary/Axel-Lindahl-Match-Logs" TargetMode="External"/><Relationship Id="rId553" Type="http://schemas.openxmlformats.org/officeDocument/2006/relationships/hyperlink" Target="https://fbref.com/en/players/b567c8ff/matchlogs/2024/summary/Victor-Eriksson-Match-Logs" TargetMode="External"/><Relationship Id="rId1144" Type="http://schemas.openxmlformats.org/officeDocument/2006/relationships/hyperlink" Target="https://fbref.com/en/players/521c90b8/Marcus-Linday" TargetMode="External"/><Relationship Id="rId552" Type="http://schemas.openxmlformats.org/officeDocument/2006/relationships/hyperlink" Target="https://fbref.com/en/squads/92bfd7f0/2024/Hammarby-Stats" TargetMode="External"/><Relationship Id="rId1145" Type="http://schemas.openxmlformats.org/officeDocument/2006/relationships/hyperlink" Target="https://fbref.com/en/country/SWE/Sweden-Football" TargetMode="External"/><Relationship Id="rId551" Type="http://schemas.openxmlformats.org/officeDocument/2006/relationships/hyperlink" Target="https://fbref.com/en/country/SWE/Sweden-Football" TargetMode="External"/><Relationship Id="rId1146" Type="http://schemas.openxmlformats.org/officeDocument/2006/relationships/hyperlink" Target="https://fbref.com/en/squads/a8481ab9/2024/Vasteras-Stats" TargetMode="External"/><Relationship Id="rId2060" Type="http://schemas.openxmlformats.org/officeDocument/2006/relationships/hyperlink" Target="https://fbref.com/en/squads/d048ed60/2024/Varnamo-Stats" TargetMode="External"/><Relationship Id="rId2061" Type="http://schemas.openxmlformats.org/officeDocument/2006/relationships/hyperlink" Target="https://fbref.com/en/players/bbbf30ad/matchlogs/2024/summary/Ajdin-Zeljkovic-Match-Logs" TargetMode="External"/><Relationship Id="rId2062" Type="http://schemas.openxmlformats.org/officeDocument/2006/relationships/hyperlink" Target="https://fbref.com/en/players/62dd4b30/Elias-Zemmale" TargetMode="External"/><Relationship Id="rId2063" Type="http://schemas.openxmlformats.org/officeDocument/2006/relationships/hyperlink" Target="https://fbref.com/en/country/SWE/Sweden-Football" TargetMode="External"/><Relationship Id="rId2064" Type="http://schemas.openxmlformats.org/officeDocument/2006/relationships/hyperlink" Target="https://fbref.com/en/squads/7c2d1adb/2024/GAIS-Stats" TargetMode="External"/><Relationship Id="rId2065" Type="http://schemas.openxmlformats.org/officeDocument/2006/relationships/hyperlink" Target="https://fbref.com/en/players/62dd4b30/matchlogs/2024/summary/Elias-Zemmale-Match-Logs" TargetMode="External"/><Relationship Id="rId2066" Type="http://schemas.openxmlformats.org/officeDocument/2006/relationships/hyperlink" Target="https://fbref.com/en/players/095e4199/Arber-Zeneli" TargetMode="External"/><Relationship Id="rId2067" Type="http://schemas.openxmlformats.org/officeDocument/2006/relationships/hyperlink" Target="https://fbref.com/en/country/KVX/Kosovo-Football" TargetMode="External"/><Relationship Id="rId2068" Type="http://schemas.openxmlformats.org/officeDocument/2006/relationships/hyperlink" Target="https://fbref.com/en/squads/50e85bfc/2024/Elfsborg-Stats" TargetMode="External"/><Relationship Id="rId2069" Type="http://schemas.openxmlformats.org/officeDocument/2006/relationships/hyperlink" Target="https://fbref.com/en/players/095e4199/matchlogs/2024/summary/Arber-Zeneli-Match-Logs" TargetMode="External"/><Relationship Id="rId2050" Type="http://schemas.openxmlformats.org/officeDocument/2006/relationships/hyperlink" Target="https://fbref.com/en/players/10a69a43/Nils-Zatterstrom" TargetMode="External"/><Relationship Id="rId2051" Type="http://schemas.openxmlformats.org/officeDocument/2006/relationships/hyperlink" Target="https://fbref.com/en/country/SWE/Sweden-Football" TargetMode="External"/><Relationship Id="rId495" Type="http://schemas.openxmlformats.org/officeDocument/2006/relationships/hyperlink" Target="https://fbref.com/en/players/9f12e0f8/Oliver-Dovin" TargetMode="External"/><Relationship Id="rId2052" Type="http://schemas.openxmlformats.org/officeDocument/2006/relationships/hyperlink" Target="https://fbref.com/en/squads/f3d8c8b9/2024/Malmo-Stats" TargetMode="External"/><Relationship Id="rId494" Type="http://schemas.openxmlformats.org/officeDocument/2006/relationships/hyperlink" Target="https://fbref.com/en/players/20910907/matchlogs/2024/summary/Alex-Douglas-Match-Logs" TargetMode="External"/><Relationship Id="rId2053" Type="http://schemas.openxmlformats.org/officeDocument/2006/relationships/hyperlink" Target="https://fbref.com/en/players/10a69a43/matchlogs/2024/summary/Nils-Zatterstrom-Match-Logs" TargetMode="External"/><Relationship Id="rId493" Type="http://schemas.openxmlformats.org/officeDocument/2006/relationships/hyperlink" Target="https://fbref.com/en/squads/a8481ab9/2024/Vasteras-Stats" TargetMode="External"/><Relationship Id="rId2054" Type="http://schemas.openxmlformats.org/officeDocument/2006/relationships/hyperlink" Target="https://fbref.com/en/players/69bbb06a/Nikola-Zecevic" TargetMode="External"/><Relationship Id="rId492" Type="http://schemas.openxmlformats.org/officeDocument/2006/relationships/hyperlink" Target="https://fbref.com/en/country/SWE/Sweden-Football" TargetMode="External"/><Relationship Id="rId2055" Type="http://schemas.openxmlformats.org/officeDocument/2006/relationships/hyperlink" Target="https://fbref.com/en/country/SRB/Serbia-Football" TargetMode="External"/><Relationship Id="rId499" Type="http://schemas.openxmlformats.org/officeDocument/2006/relationships/hyperlink" Target="https://fbref.com/en/players/91bee6ac/Leon-Dusi" TargetMode="External"/><Relationship Id="rId2056" Type="http://schemas.openxmlformats.org/officeDocument/2006/relationships/hyperlink" Target="https://fbref.com/en/squads/8774e267/2024/BK-Hacken-Stats" TargetMode="External"/><Relationship Id="rId498" Type="http://schemas.openxmlformats.org/officeDocument/2006/relationships/hyperlink" Target="https://fbref.com/en/players/9f12e0f8/matchlogs/2024/summary/Oliver-Dovin-Match-Logs" TargetMode="External"/><Relationship Id="rId2057" Type="http://schemas.openxmlformats.org/officeDocument/2006/relationships/hyperlink" Target="https://fbref.com/en/players/69bbb06a/matchlogs/2024/summary/Nikola-Zecevic-Match-Logs" TargetMode="External"/><Relationship Id="rId497" Type="http://schemas.openxmlformats.org/officeDocument/2006/relationships/hyperlink" Target="https://fbref.com/en/squads/92bfd7f0/2024/Hammarby-Stats" TargetMode="External"/><Relationship Id="rId2058" Type="http://schemas.openxmlformats.org/officeDocument/2006/relationships/hyperlink" Target="https://fbref.com/en/players/bbbf30ad/Ajdin-Zeljkovic" TargetMode="External"/><Relationship Id="rId496" Type="http://schemas.openxmlformats.org/officeDocument/2006/relationships/hyperlink" Target="https://fbref.com/en/country/SWE/Sweden-Football" TargetMode="External"/><Relationship Id="rId2059" Type="http://schemas.openxmlformats.org/officeDocument/2006/relationships/hyperlink" Target="https://fbref.com/en/country/SWE/Sweden-Football" TargetMode="External"/><Relationship Id="rId2080" Type="http://schemas.openxmlformats.org/officeDocument/2006/relationships/hyperlink" Target="https://fbref.com/en/squads/ef1ab26a/2024/Goteborg-Stats" TargetMode="External"/><Relationship Id="rId2081" Type="http://schemas.openxmlformats.org/officeDocument/2006/relationships/hyperlink" Target="https://fbref.com/en/players/fcd3f666/matchlogs/2024/summary/Kolbeinn-Thordarson-Match-Logs" TargetMode="External"/><Relationship Id="rId2082" Type="http://schemas.openxmlformats.org/officeDocument/2006/relationships/hyperlink" Target="https://fbref.com/en/players/1f749053/Viktor-Djukanovic" TargetMode="External"/><Relationship Id="rId2083" Type="http://schemas.openxmlformats.org/officeDocument/2006/relationships/hyperlink" Target="https://fbref.com/en/country/MNE/Montenegro-Football" TargetMode="External"/><Relationship Id="rId2084" Type="http://schemas.openxmlformats.org/officeDocument/2006/relationships/hyperlink" Target="https://fbref.com/en/squads/92bfd7f0/2024/Hammarby-Stats" TargetMode="External"/><Relationship Id="rId2085" Type="http://schemas.openxmlformats.org/officeDocument/2006/relationships/hyperlink" Target="https://fbref.com/en/players/1f749053/matchlogs/2024/summary/Viktor-Djukanovic-Match-Logs" TargetMode="External"/><Relationship Id="rId2086" Type="http://schemas.openxmlformats.org/officeDocument/2006/relationships/drawing" Target="../drawings/drawing1.xml"/><Relationship Id="rId2070" Type="http://schemas.openxmlformats.org/officeDocument/2006/relationships/hyperlink" Target="https://fbref.com/en/players/6be253bf/Besfort-Zeneli" TargetMode="External"/><Relationship Id="rId2071" Type="http://schemas.openxmlformats.org/officeDocument/2006/relationships/hyperlink" Target="https://fbref.com/en/country/SWE/Sweden-Football" TargetMode="External"/><Relationship Id="rId2072" Type="http://schemas.openxmlformats.org/officeDocument/2006/relationships/hyperlink" Target="https://fbref.com/en/squads/50e85bfc/2024/Elfsborg-Stats" TargetMode="External"/><Relationship Id="rId2073" Type="http://schemas.openxmlformats.org/officeDocument/2006/relationships/hyperlink" Target="https://fbref.com/en/players/6be253bf/matchlogs/2024/summary/Besfort-Zeneli-Match-Logs" TargetMode="External"/><Relationship Id="rId2074" Type="http://schemas.openxmlformats.org/officeDocument/2006/relationships/hyperlink" Target="https://fbref.com/en/players/248be14f/Leonard-Zuta" TargetMode="External"/><Relationship Id="rId2075" Type="http://schemas.openxmlformats.org/officeDocument/2006/relationships/hyperlink" Target="https://fbref.com/en/country/MKD/North-Macedonia-Football" TargetMode="External"/><Relationship Id="rId2076" Type="http://schemas.openxmlformats.org/officeDocument/2006/relationships/hyperlink" Target="https://fbref.com/en/squads/bb9e11b2/2024/Brommapojkarna-Stats" TargetMode="External"/><Relationship Id="rId2077" Type="http://schemas.openxmlformats.org/officeDocument/2006/relationships/hyperlink" Target="https://fbref.com/en/players/248be14f/matchlogs/2024/summary/Leonard-Zuta-Match-Logs" TargetMode="External"/><Relationship Id="rId2078" Type="http://schemas.openxmlformats.org/officeDocument/2006/relationships/hyperlink" Target="https://fbref.com/en/players/fcd3f666/Kolbeinn-Thordarson" TargetMode="External"/><Relationship Id="rId2079" Type="http://schemas.openxmlformats.org/officeDocument/2006/relationships/hyperlink" Target="https://fbref.com/en/country/ISL/Iceland-Football" TargetMode="External"/><Relationship Id="rId1610" Type="http://schemas.openxmlformats.org/officeDocument/2006/relationships/hyperlink" Target="https://fbref.com/en/players/a6d339fa/matchlogs/2024/summary/Colin-Rosler-Match-Logs" TargetMode="External"/><Relationship Id="rId1611" Type="http://schemas.openxmlformats.org/officeDocument/2006/relationships/hyperlink" Target="https://fbref.com/en/players/a6d339fa/Colin-Rosler" TargetMode="External"/><Relationship Id="rId1612" Type="http://schemas.openxmlformats.org/officeDocument/2006/relationships/hyperlink" Target="https://fbref.com/en/country/NOR/Norway-Football" TargetMode="External"/><Relationship Id="rId1613" Type="http://schemas.openxmlformats.org/officeDocument/2006/relationships/hyperlink" Target="https://fbref.com/en/squads/f3d8c8b9/2024/Malmo-Stats" TargetMode="External"/><Relationship Id="rId1614" Type="http://schemas.openxmlformats.org/officeDocument/2006/relationships/hyperlink" Target="https://fbref.com/en/players/a6d339fa/matchlogs/2024/summary/Colin-Rosler-Match-Logs" TargetMode="External"/><Relationship Id="rId1615" Type="http://schemas.openxmlformats.org/officeDocument/2006/relationships/hyperlink" Target="https://fbref.com/en/players/4307bdfc/Mohammed-Rufaai" TargetMode="External"/><Relationship Id="rId1616" Type="http://schemas.openxmlformats.org/officeDocument/2006/relationships/hyperlink" Target="https://fbref.com/en/country/GHA/Ghana-Football" TargetMode="External"/><Relationship Id="rId907" Type="http://schemas.openxmlformats.org/officeDocument/2006/relationships/hyperlink" Target="https://fbref.com/en/country/SWE/Sweden-Football" TargetMode="External"/><Relationship Id="rId1617" Type="http://schemas.openxmlformats.org/officeDocument/2006/relationships/hyperlink" Target="https://fbref.com/en/squads/50e85bfc/2024/Elfsborg-Stats" TargetMode="External"/><Relationship Id="rId906" Type="http://schemas.openxmlformats.org/officeDocument/2006/relationships/hyperlink" Target="https://fbref.com/en/players/8dbf56c8/Malcolm-Jeng" TargetMode="External"/><Relationship Id="rId1618" Type="http://schemas.openxmlformats.org/officeDocument/2006/relationships/hyperlink" Target="https://fbref.com/en/players/4307bdfc/matchlogs/2024/summary/Mohammed-Rufaai-Match-Logs" TargetMode="External"/><Relationship Id="rId905" Type="http://schemas.openxmlformats.org/officeDocument/2006/relationships/hyperlink" Target="https://fbref.com/en/players/af72b819/matchlogs/2024/summary/Camil-Jebara-Match-Logs" TargetMode="External"/><Relationship Id="rId1619" Type="http://schemas.openxmlformats.org/officeDocument/2006/relationships/hyperlink" Target="https://fbref.com/en/players/5f3a46fb/Mikkel-Rygaard-Jensen" TargetMode="External"/><Relationship Id="rId904" Type="http://schemas.openxmlformats.org/officeDocument/2006/relationships/hyperlink" Target="https://fbref.com/en/squads/50e85bfc/2024/Elfsborg-Stats" TargetMode="External"/><Relationship Id="rId909" Type="http://schemas.openxmlformats.org/officeDocument/2006/relationships/hyperlink" Target="https://fbref.com/en/players/8dbf56c8/matchlogs/2024/summary/Malcolm-Jeng-Match-Logs" TargetMode="External"/><Relationship Id="rId908" Type="http://schemas.openxmlformats.org/officeDocument/2006/relationships/hyperlink" Target="https://fbref.com/en/squads/e9d60d0c/2024/Sirius-Stats" TargetMode="External"/><Relationship Id="rId903" Type="http://schemas.openxmlformats.org/officeDocument/2006/relationships/hyperlink" Target="https://fbref.com/en/country/SWE/Sweden-Football" TargetMode="External"/><Relationship Id="rId902" Type="http://schemas.openxmlformats.org/officeDocument/2006/relationships/hyperlink" Target="https://fbref.com/en/players/af72b819/Camil-Jebara" TargetMode="External"/><Relationship Id="rId901" Type="http://schemas.openxmlformats.org/officeDocument/2006/relationships/hyperlink" Target="https://fbref.com/en/players/af72b819/matchlogs/2024/summary/Camil-Jebara-Match-Logs" TargetMode="External"/><Relationship Id="rId900" Type="http://schemas.openxmlformats.org/officeDocument/2006/relationships/hyperlink" Target="https://fbref.com/en/squads/a8481ab9/2024/Vasteras-Stats" TargetMode="External"/><Relationship Id="rId1600" Type="http://schemas.openxmlformats.org/officeDocument/2006/relationships/hyperlink" Target="https://fbref.com/en/country/SWE/Sweden-Football" TargetMode="External"/><Relationship Id="rId1601" Type="http://schemas.openxmlformats.org/officeDocument/2006/relationships/hyperlink" Target="https://fbref.com/en/squads/d048ed60/2024/Varnamo-Stats" TargetMode="External"/><Relationship Id="rId1602" Type="http://schemas.openxmlformats.org/officeDocument/2006/relationships/hyperlink" Target="https://fbref.com/en/players/1871b45b/matchlogs/2024/summary/Alvar-Rosander-Match-Logs" TargetMode="External"/><Relationship Id="rId1603" Type="http://schemas.openxmlformats.org/officeDocument/2006/relationships/hyperlink" Target="https://fbref.com/en/players/1c6f0559/Otto-Rosengren" TargetMode="External"/><Relationship Id="rId1604" Type="http://schemas.openxmlformats.org/officeDocument/2006/relationships/hyperlink" Target="https://fbref.com/en/country/SWE/Sweden-Football" TargetMode="External"/><Relationship Id="rId1605" Type="http://schemas.openxmlformats.org/officeDocument/2006/relationships/hyperlink" Target="https://fbref.com/en/squads/f3d8c8b9/2024/Malmo-Stats" TargetMode="External"/><Relationship Id="rId1606" Type="http://schemas.openxmlformats.org/officeDocument/2006/relationships/hyperlink" Target="https://fbref.com/en/players/1c6f0559/matchlogs/2024/summary/Otto-Rosengren-Match-Logs" TargetMode="External"/><Relationship Id="rId1607" Type="http://schemas.openxmlformats.org/officeDocument/2006/relationships/hyperlink" Target="https://fbref.com/en/players/a6d339fa/Colin-Rosler" TargetMode="External"/><Relationship Id="rId1608" Type="http://schemas.openxmlformats.org/officeDocument/2006/relationships/hyperlink" Target="https://fbref.com/en/country/NOR/Norway-Football" TargetMode="External"/><Relationship Id="rId1609" Type="http://schemas.openxmlformats.org/officeDocument/2006/relationships/hyperlink" Target="https://fbref.com/en/squads/b1a7a7b9/2024/Mjallby-Stats" TargetMode="External"/><Relationship Id="rId1631" Type="http://schemas.openxmlformats.org/officeDocument/2006/relationships/hyperlink" Target="https://fbref.com/en/players/c456358e/Abdelrahman-Saidi" TargetMode="External"/><Relationship Id="rId1632" Type="http://schemas.openxmlformats.org/officeDocument/2006/relationships/hyperlink" Target="https://fbref.com/en/country/SWE/Sweden-Football" TargetMode="External"/><Relationship Id="rId1633" Type="http://schemas.openxmlformats.org/officeDocument/2006/relationships/hyperlink" Target="https://fbref.com/en/squads/92bfd7f0/2024/Hammarby-Stats" TargetMode="External"/><Relationship Id="rId1634" Type="http://schemas.openxmlformats.org/officeDocument/2006/relationships/hyperlink" Target="https://fbref.com/en/players/c456358e/matchlogs/2024/summary/Abdelrahman-Saidi-Match-Logs" TargetMode="External"/><Relationship Id="rId1635" Type="http://schemas.openxmlformats.org/officeDocument/2006/relationships/hyperlink" Target="https://fbref.com/en/players/c456358e/Abdelrahman-Saidi" TargetMode="External"/><Relationship Id="rId1636" Type="http://schemas.openxmlformats.org/officeDocument/2006/relationships/hyperlink" Target="https://fbref.com/en/country/SWE/Sweden-Football" TargetMode="External"/><Relationship Id="rId1637" Type="http://schemas.openxmlformats.org/officeDocument/2006/relationships/hyperlink" Target="https://fbref.com/en/squads/a8481ab9/2024/Vasteras-Stats" TargetMode="External"/><Relationship Id="rId1638" Type="http://schemas.openxmlformats.org/officeDocument/2006/relationships/hyperlink" Target="https://fbref.com/en/players/c456358e/matchlogs/2024/summary/Abdelrahman-Saidi-Match-Logs" TargetMode="External"/><Relationship Id="rId929" Type="http://schemas.openxmlformats.org/officeDocument/2006/relationships/hyperlink" Target="https://fbref.com/en/players/49a0c4f9/matchlogs/2024/summary/Andreas-Johansson-Match-Logs" TargetMode="External"/><Relationship Id="rId1639" Type="http://schemas.openxmlformats.org/officeDocument/2006/relationships/hyperlink" Target="https://fbref.com/en/players/cfc794fb/Abundance-Salaou" TargetMode="External"/><Relationship Id="rId928" Type="http://schemas.openxmlformats.org/officeDocument/2006/relationships/hyperlink" Target="https://fbref.com/en/squads/17366e53/2024/Halmstad-Stats" TargetMode="External"/><Relationship Id="rId927" Type="http://schemas.openxmlformats.org/officeDocument/2006/relationships/hyperlink" Target="https://fbref.com/en/country/SWE/Sweden-Football" TargetMode="External"/><Relationship Id="rId926" Type="http://schemas.openxmlformats.org/officeDocument/2006/relationships/hyperlink" Target="https://fbref.com/en/players/49a0c4f9/Andreas-Johansson" TargetMode="External"/><Relationship Id="rId921" Type="http://schemas.openxmlformats.org/officeDocument/2006/relationships/hyperlink" Target="https://fbref.com/en/players/94180993/matchlogs/2024/summary/Alexander-Johansson-Match-Logs" TargetMode="External"/><Relationship Id="rId920" Type="http://schemas.openxmlformats.org/officeDocument/2006/relationships/hyperlink" Target="https://fbref.com/en/squads/b1a7a7b9/2024/Mjallby-Stats" TargetMode="External"/><Relationship Id="rId925" Type="http://schemas.openxmlformats.org/officeDocument/2006/relationships/hyperlink" Target="https://fbref.com/en/players/835023a5/matchlogs/2024/summary/Alexander-Johansson-Match-Logs" TargetMode="External"/><Relationship Id="rId924" Type="http://schemas.openxmlformats.org/officeDocument/2006/relationships/hyperlink" Target="https://fbref.com/en/squads/bb9e11b2/2024/Brommapojkarna-Stats" TargetMode="External"/><Relationship Id="rId923" Type="http://schemas.openxmlformats.org/officeDocument/2006/relationships/hyperlink" Target="https://fbref.com/en/country/SWE/Sweden-Football" TargetMode="External"/><Relationship Id="rId922" Type="http://schemas.openxmlformats.org/officeDocument/2006/relationships/hyperlink" Target="https://fbref.com/en/players/835023a5/Alexander-Johansson" TargetMode="External"/><Relationship Id="rId1630" Type="http://schemas.openxmlformats.org/officeDocument/2006/relationships/hyperlink" Target="https://fbref.com/en/players/6fde84aa/matchlogs/2024/summary/Besard-Sabovic-Match-Logs" TargetMode="External"/><Relationship Id="rId1620" Type="http://schemas.openxmlformats.org/officeDocument/2006/relationships/hyperlink" Target="https://fbref.com/en/country/DEN/Denmark-Football" TargetMode="External"/><Relationship Id="rId1621" Type="http://schemas.openxmlformats.org/officeDocument/2006/relationships/hyperlink" Target="https://fbref.com/en/squads/8774e267/2024/BK-Hacken-Stats" TargetMode="External"/><Relationship Id="rId1622" Type="http://schemas.openxmlformats.org/officeDocument/2006/relationships/hyperlink" Target="https://fbref.com/en/players/5f3a46fb/matchlogs/2024/summary/Mikkel-Rygaard-Jensen-Match-Logs" TargetMode="External"/><Relationship Id="rId1623" Type="http://schemas.openxmlformats.org/officeDocument/2006/relationships/hyperlink" Target="https://fbref.com/en/players/0d938ef6/Nicklas-Rojkjaer" TargetMode="External"/><Relationship Id="rId1624" Type="http://schemas.openxmlformats.org/officeDocument/2006/relationships/hyperlink" Target="https://fbref.com/en/country/DEN/Denmark-Football" TargetMode="External"/><Relationship Id="rId1625" Type="http://schemas.openxmlformats.org/officeDocument/2006/relationships/hyperlink" Target="https://fbref.com/en/squads/b1a7a7b9/2024/Mjallby-Stats" TargetMode="External"/><Relationship Id="rId1626" Type="http://schemas.openxmlformats.org/officeDocument/2006/relationships/hyperlink" Target="https://fbref.com/en/players/0d938ef6/matchlogs/2024/summary/Nicklas-Rojkjaer-Match-Logs" TargetMode="External"/><Relationship Id="rId1627" Type="http://schemas.openxmlformats.org/officeDocument/2006/relationships/hyperlink" Target="https://fbref.com/en/players/6fde84aa/Besard-Sabovic" TargetMode="External"/><Relationship Id="rId918" Type="http://schemas.openxmlformats.org/officeDocument/2006/relationships/hyperlink" Target="https://fbref.com/en/players/94180993/Alexander-Johansson" TargetMode="External"/><Relationship Id="rId1628" Type="http://schemas.openxmlformats.org/officeDocument/2006/relationships/hyperlink" Target="https://fbref.com/en/country/SWE/Sweden-Football" TargetMode="External"/><Relationship Id="rId917" Type="http://schemas.openxmlformats.org/officeDocument/2006/relationships/hyperlink" Target="https://fbref.com/en/players/40140ea3/matchlogs/2024/summary/Kevin-Jensen-Match-Logs" TargetMode="External"/><Relationship Id="rId1629" Type="http://schemas.openxmlformats.org/officeDocument/2006/relationships/hyperlink" Target="https://fbref.com/en/squads/9423c05a/2024/Djurgarden-Stats" TargetMode="External"/><Relationship Id="rId916" Type="http://schemas.openxmlformats.org/officeDocument/2006/relationships/hyperlink" Target="https://fbref.com/en/squads/9f13771c/2024/Kalmar-Stats" TargetMode="External"/><Relationship Id="rId915" Type="http://schemas.openxmlformats.org/officeDocument/2006/relationships/hyperlink" Target="https://fbref.com/en/country/SWE/Sweden-Football" TargetMode="External"/><Relationship Id="rId919" Type="http://schemas.openxmlformats.org/officeDocument/2006/relationships/hyperlink" Target="https://fbref.com/en/country/SWE/Sweden-Football" TargetMode="External"/><Relationship Id="rId910" Type="http://schemas.openxmlformats.org/officeDocument/2006/relationships/hyperlink" Target="https://fbref.com/en/players/a1947492/Alexander-Jensen" TargetMode="External"/><Relationship Id="rId914" Type="http://schemas.openxmlformats.org/officeDocument/2006/relationships/hyperlink" Target="https://fbref.com/en/players/40140ea3/Kevin-Jensen" TargetMode="External"/><Relationship Id="rId913" Type="http://schemas.openxmlformats.org/officeDocument/2006/relationships/hyperlink" Target="https://fbref.com/en/players/a1947492/matchlogs/2024/summary/Alexander-Jensen-Match-Logs" TargetMode="External"/><Relationship Id="rId912" Type="http://schemas.openxmlformats.org/officeDocument/2006/relationships/hyperlink" Target="https://fbref.com/en/squads/bb9e11b2/2024/Brommapojkarna-Stats" TargetMode="External"/><Relationship Id="rId911" Type="http://schemas.openxmlformats.org/officeDocument/2006/relationships/hyperlink" Target="https://fbref.com/en/country/DEN/Denmark-Football" TargetMode="External"/><Relationship Id="rId1213" Type="http://schemas.openxmlformats.org/officeDocument/2006/relationships/hyperlink" Target="https://fbref.com/en/country/SWE/Sweden-Football" TargetMode="External"/><Relationship Id="rId1697" Type="http://schemas.openxmlformats.org/officeDocument/2006/relationships/hyperlink" Target="https://fbref.com/en/players/4c8ad16c/matchlogs/2024/summary/Laorent-Shabani-Match-Logs" TargetMode="External"/><Relationship Id="rId1214" Type="http://schemas.openxmlformats.org/officeDocument/2006/relationships/hyperlink" Target="https://fbref.com/en/squads/8774e267/2024/BK-Hacken-Stats" TargetMode="External"/><Relationship Id="rId1698" Type="http://schemas.openxmlformats.org/officeDocument/2006/relationships/hyperlink" Target="https://fbref.com/en/players/2934dd4e/Collins-Sichenje" TargetMode="External"/><Relationship Id="rId1215" Type="http://schemas.openxmlformats.org/officeDocument/2006/relationships/hyperlink" Target="https://fbref.com/en/players/91769a24/matchlogs/2024/summary/Adam-Lundqvist-Match-Logs" TargetMode="External"/><Relationship Id="rId1699" Type="http://schemas.openxmlformats.org/officeDocument/2006/relationships/hyperlink" Target="https://fbref.com/en/country/KEN/Kenya-Football" TargetMode="External"/><Relationship Id="rId1216" Type="http://schemas.openxmlformats.org/officeDocument/2006/relationships/hyperlink" Target="https://fbref.com/en/players/094e6df2/Ramon-Lundqvist" TargetMode="External"/><Relationship Id="rId1217" Type="http://schemas.openxmlformats.org/officeDocument/2006/relationships/hyperlink" Target="https://fbref.com/en/country/SWE/Sweden-Football" TargetMode="External"/><Relationship Id="rId1218" Type="http://schemas.openxmlformats.org/officeDocument/2006/relationships/hyperlink" Target="https://fbref.com/en/squads/ef1ab26a/2024/Goteborg-Stats" TargetMode="External"/><Relationship Id="rId1219" Type="http://schemas.openxmlformats.org/officeDocument/2006/relationships/hyperlink" Target="https://fbref.com/en/players/094e6df2/matchlogs/2024/summary/Ramon-Lundqvist-Match-Logs" TargetMode="External"/><Relationship Id="rId866" Type="http://schemas.openxmlformats.org/officeDocument/2006/relationships/hyperlink" Target="https://fbref.com/en/players/152bb410/Adam-Jakobsen" TargetMode="External"/><Relationship Id="rId865" Type="http://schemas.openxmlformats.org/officeDocument/2006/relationships/hyperlink" Target="https://fbref.com/en/players/0746dbd1/matchlogs/2024/summary/Jens-Jakob-Thomasen-Match-Logs" TargetMode="External"/><Relationship Id="rId864" Type="http://schemas.openxmlformats.org/officeDocument/2006/relationships/hyperlink" Target="https://fbref.com/en/squads/50e85bfc/2024/Elfsborg-Stats" TargetMode="External"/><Relationship Id="rId863" Type="http://schemas.openxmlformats.org/officeDocument/2006/relationships/hyperlink" Target="https://fbref.com/en/country/DEN/Denmark-Football" TargetMode="External"/><Relationship Id="rId869" Type="http://schemas.openxmlformats.org/officeDocument/2006/relationships/hyperlink" Target="https://fbref.com/en/players/152bb410/matchlogs/2024/summary/Adam-Jakobsen-Match-Logs" TargetMode="External"/><Relationship Id="rId868" Type="http://schemas.openxmlformats.org/officeDocument/2006/relationships/hyperlink" Target="https://fbref.com/en/squads/bb9e11b2/2024/Brommapojkarna-Stats" TargetMode="External"/><Relationship Id="rId867" Type="http://schemas.openxmlformats.org/officeDocument/2006/relationships/hyperlink" Target="https://fbref.com/en/country/DEN/Denmark-Football" TargetMode="External"/><Relationship Id="rId1690" Type="http://schemas.openxmlformats.org/officeDocument/2006/relationships/hyperlink" Target="https://fbref.com/en/players/257b6d31/matchlogs/2024/summary/Noel-Sernelius-Match-Logs" TargetMode="External"/><Relationship Id="rId1691" Type="http://schemas.openxmlformats.org/officeDocument/2006/relationships/hyperlink" Target="https://fbref.com/en/players/467c0a0d/Kamilcan-Sever" TargetMode="External"/><Relationship Id="rId1692" Type="http://schemas.openxmlformats.org/officeDocument/2006/relationships/hyperlink" Target="https://fbref.com/en/squads/bb9e11b2/2024/Brommapojkarna-Stats" TargetMode="External"/><Relationship Id="rId862" Type="http://schemas.openxmlformats.org/officeDocument/2006/relationships/hyperlink" Target="https://fbref.com/en/players/0746dbd1/Jens-Jakob-Thomasen" TargetMode="External"/><Relationship Id="rId1693" Type="http://schemas.openxmlformats.org/officeDocument/2006/relationships/hyperlink" Target="https://fbref.com/en/players/467c0a0d/matchlogs/2024/summary/Kamilcan-Sever-Match-Logs" TargetMode="External"/><Relationship Id="rId861" Type="http://schemas.openxmlformats.org/officeDocument/2006/relationships/hyperlink" Target="https://fbref.com/en/players/e3730cd8/matchlogs/2024/summary/Seedy-Jagne-Match-Logs" TargetMode="External"/><Relationship Id="rId1210" Type="http://schemas.openxmlformats.org/officeDocument/2006/relationships/hyperlink" Target="https://fbref.com/en/squads/b1a7a7b9/2024/Mjallby-Stats" TargetMode="External"/><Relationship Id="rId1694" Type="http://schemas.openxmlformats.org/officeDocument/2006/relationships/hyperlink" Target="https://fbref.com/en/players/4c8ad16c/Laorent-Shabani" TargetMode="External"/><Relationship Id="rId860" Type="http://schemas.openxmlformats.org/officeDocument/2006/relationships/hyperlink" Target="https://fbref.com/en/squads/b1a7a7b9/2024/Mjallby-Stats" TargetMode="External"/><Relationship Id="rId1211" Type="http://schemas.openxmlformats.org/officeDocument/2006/relationships/hyperlink" Target="https://fbref.com/en/players/30df6b9b/matchlogs/2024/summary/Alexander-Lundin-Match-Logs" TargetMode="External"/><Relationship Id="rId1695" Type="http://schemas.openxmlformats.org/officeDocument/2006/relationships/hyperlink" Target="https://fbref.com/en/country/SWE/Sweden-Football" TargetMode="External"/><Relationship Id="rId1212" Type="http://schemas.openxmlformats.org/officeDocument/2006/relationships/hyperlink" Target="https://fbref.com/en/players/91769a24/Adam-Lundqvist" TargetMode="External"/><Relationship Id="rId1696" Type="http://schemas.openxmlformats.org/officeDocument/2006/relationships/hyperlink" Target="https://fbref.com/en/squads/1d0836d6/2024/Norrkoping-Stats" TargetMode="External"/><Relationship Id="rId1202" Type="http://schemas.openxmlformats.org/officeDocument/2006/relationships/hyperlink" Target="https://fbref.com/en/squads/8774e267/2024/BK-Hacken-Stats" TargetMode="External"/><Relationship Id="rId1686" Type="http://schemas.openxmlformats.org/officeDocument/2006/relationships/hyperlink" Target="https://fbref.com/en/players/68a31b26/matchlogs/2024/summary/Sebastian-Selin-Match-Logs" TargetMode="External"/><Relationship Id="rId1203" Type="http://schemas.openxmlformats.org/officeDocument/2006/relationships/hyperlink" Target="https://fbref.com/en/players/3945764e/matchlogs/2024/summary/Valgeir-Lunddal-Fridriksson-Match-Logs" TargetMode="External"/><Relationship Id="rId1687" Type="http://schemas.openxmlformats.org/officeDocument/2006/relationships/hyperlink" Target="https://fbref.com/en/players/257b6d31/Noel-Sernelius" TargetMode="External"/><Relationship Id="rId1204" Type="http://schemas.openxmlformats.org/officeDocument/2006/relationships/hyperlink" Target="https://fbref.com/en/players/61c2f027/Gustav-Lundgren" TargetMode="External"/><Relationship Id="rId1688" Type="http://schemas.openxmlformats.org/officeDocument/2006/relationships/hyperlink" Target="https://fbref.com/en/country/SWE/Sweden-Football" TargetMode="External"/><Relationship Id="rId1205" Type="http://schemas.openxmlformats.org/officeDocument/2006/relationships/hyperlink" Target="https://fbref.com/en/country/SWE/Sweden-Football" TargetMode="External"/><Relationship Id="rId1689" Type="http://schemas.openxmlformats.org/officeDocument/2006/relationships/hyperlink" Target="https://fbref.com/en/squads/1d0836d6/2024/Norrkoping-Stats" TargetMode="External"/><Relationship Id="rId1206" Type="http://schemas.openxmlformats.org/officeDocument/2006/relationships/hyperlink" Target="https://fbref.com/en/squads/7c2d1adb/2024/GAIS-Stats" TargetMode="External"/><Relationship Id="rId1207" Type="http://schemas.openxmlformats.org/officeDocument/2006/relationships/hyperlink" Target="https://fbref.com/en/players/61c2f027/matchlogs/2024/summary/Gustav-Lundgren-Match-Logs" TargetMode="External"/><Relationship Id="rId1208" Type="http://schemas.openxmlformats.org/officeDocument/2006/relationships/hyperlink" Target="https://fbref.com/en/players/30df6b9b/Alexander-Lundin" TargetMode="External"/><Relationship Id="rId1209" Type="http://schemas.openxmlformats.org/officeDocument/2006/relationships/hyperlink" Target="https://fbref.com/en/country/SWE/Sweden-Football" TargetMode="External"/><Relationship Id="rId855" Type="http://schemas.openxmlformats.org/officeDocument/2006/relationships/hyperlink" Target="https://fbref.com/en/country/MNE/Montenegro-Football" TargetMode="External"/><Relationship Id="rId854" Type="http://schemas.openxmlformats.org/officeDocument/2006/relationships/hyperlink" Target="https://fbref.com/en/players/721608e5/Dino-Islamovic" TargetMode="External"/><Relationship Id="rId853" Type="http://schemas.openxmlformats.org/officeDocument/2006/relationships/hyperlink" Target="https://fbref.com/en/players/2be28a0c/matchlogs/2024/summary/Thomas-Isherwood-Match-Logs" TargetMode="External"/><Relationship Id="rId852" Type="http://schemas.openxmlformats.org/officeDocument/2006/relationships/hyperlink" Target="https://fbref.com/en/squads/b0333581/2024/AIK-Stockholm-Stats" TargetMode="External"/><Relationship Id="rId859" Type="http://schemas.openxmlformats.org/officeDocument/2006/relationships/hyperlink" Target="https://fbref.com/en/country/SWE/Sweden-Football" TargetMode="External"/><Relationship Id="rId858" Type="http://schemas.openxmlformats.org/officeDocument/2006/relationships/hyperlink" Target="https://fbref.com/en/players/e3730cd8/Seedy-Jagne" TargetMode="External"/><Relationship Id="rId857" Type="http://schemas.openxmlformats.org/officeDocument/2006/relationships/hyperlink" Target="https://fbref.com/en/players/721608e5/matchlogs/2024/summary/Dino-Islamovic-Match-Logs" TargetMode="External"/><Relationship Id="rId856" Type="http://schemas.openxmlformats.org/officeDocument/2006/relationships/hyperlink" Target="https://fbref.com/en/squads/9f13771c/2024/Kalmar-Stats" TargetMode="External"/><Relationship Id="rId1680" Type="http://schemas.openxmlformats.org/officeDocument/2006/relationships/hyperlink" Target="https://fbref.com/en/country/FIN/Finland-Football" TargetMode="External"/><Relationship Id="rId1681" Type="http://schemas.openxmlformats.org/officeDocument/2006/relationships/hyperlink" Target="https://fbref.com/en/squads/9423c05a/2024/Djurgarden-Stats" TargetMode="External"/><Relationship Id="rId851" Type="http://schemas.openxmlformats.org/officeDocument/2006/relationships/hyperlink" Target="https://fbref.com/en/country/SWE/Sweden-Football" TargetMode="External"/><Relationship Id="rId1682" Type="http://schemas.openxmlformats.org/officeDocument/2006/relationships/hyperlink" Target="https://fbref.com/en/players/0e624c72/matchlogs/2024/summary/Rasmus-Schuller-Match-Logs" TargetMode="External"/><Relationship Id="rId850" Type="http://schemas.openxmlformats.org/officeDocument/2006/relationships/hyperlink" Target="https://fbref.com/en/players/2be28a0c/Thomas-Isherwood" TargetMode="External"/><Relationship Id="rId1683" Type="http://schemas.openxmlformats.org/officeDocument/2006/relationships/hyperlink" Target="https://fbref.com/en/players/68a31b26/Sebastian-Selin" TargetMode="External"/><Relationship Id="rId1200" Type="http://schemas.openxmlformats.org/officeDocument/2006/relationships/hyperlink" Target="https://fbref.com/en/players/3945764e/Valgeir-Lunddal-Fridriksson" TargetMode="External"/><Relationship Id="rId1684" Type="http://schemas.openxmlformats.org/officeDocument/2006/relationships/hyperlink" Target="https://fbref.com/en/country/SWE/Sweden-Football" TargetMode="External"/><Relationship Id="rId1201" Type="http://schemas.openxmlformats.org/officeDocument/2006/relationships/hyperlink" Target="https://fbref.com/en/country/ISL/Iceland-Football" TargetMode="External"/><Relationship Id="rId1685" Type="http://schemas.openxmlformats.org/officeDocument/2006/relationships/hyperlink" Target="https://fbref.com/en/squads/92bfd7f0/2024/Hammarby-Stats" TargetMode="External"/><Relationship Id="rId1235" Type="http://schemas.openxmlformats.org/officeDocument/2006/relationships/hyperlink" Target="https://fbref.com/en/players/5bd35cff/matchlogs/2024/summary/Abdussalam-Magashy-Match-Logs" TargetMode="External"/><Relationship Id="rId1236" Type="http://schemas.openxmlformats.org/officeDocument/2006/relationships/hyperlink" Target="https://fbref.com/en/players/7d334863/Herman-Magnusson" TargetMode="External"/><Relationship Id="rId1237" Type="http://schemas.openxmlformats.org/officeDocument/2006/relationships/hyperlink" Target="https://fbref.com/en/country/SWE/Sweden-Football" TargetMode="External"/><Relationship Id="rId1238" Type="http://schemas.openxmlformats.org/officeDocument/2006/relationships/hyperlink" Target="https://fbref.com/en/squads/a8481ab9/2024/Vasteras-Stats" TargetMode="External"/><Relationship Id="rId1239" Type="http://schemas.openxmlformats.org/officeDocument/2006/relationships/hyperlink" Target="https://fbref.com/en/players/7d334863/matchlogs/2024/summary/Herman-Magnusson-Match-Logs" TargetMode="External"/><Relationship Id="rId409" Type="http://schemas.openxmlformats.org/officeDocument/2006/relationships/hyperlink" Target="https://fbref.com/en/squads/e9d60d0c/2024/Sirius-Stats" TargetMode="External"/><Relationship Id="rId404" Type="http://schemas.openxmlformats.org/officeDocument/2006/relationships/hyperlink" Target="https://fbref.com/en/country/GAM/Gambia-Football" TargetMode="External"/><Relationship Id="rId888" Type="http://schemas.openxmlformats.org/officeDocument/2006/relationships/hyperlink" Target="https://fbref.com/en/squads/9f13771c/2024/Kalmar-Stats" TargetMode="External"/><Relationship Id="rId403" Type="http://schemas.openxmlformats.org/officeDocument/2006/relationships/hyperlink" Target="https://fbref.com/en/players/350ad032/Joseph-Ceesay" TargetMode="External"/><Relationship Id="rId887" Type="http://schemas.openxmlformats.org/officeDocument/2006/relationships/hyperlink" Target="https://fbref.com/en/country/FIN/Finland-Football" TargetMode="External"/><Relationship Id="rId402" Type="http://schemas.openxmlformats.org/officeDocument/2006/relationships/hyperlink" Target="https://fbref.com/en/players/606c9990/matchlogs/2024/summary/Jesper-Ceesay-Match-Logs" TargetMode="External"/><Relationship Id="rId886" Type="http://schemas.openxmlformats.org/officeDocument/2006/relationships/hyperlink" Target="https://fbref.com/en/players/28dffb73/Rony-Jansson" TargetMode="External"/><Relationship Id="rId401" Type="http://schemas.openxmlformats.org/officeDocument/2006/relationships/hyperlink" Target="https://fbref.com/en/squads/1d0836d6/2024/Norrkoping-Stats" TargetMode="External"/><Relationship Id="rId885" Type="http://schemas.openxmlformats.org/officeDocument/2006/relationships/hyperlink" Target="https://fbref.com/en/players/172e52d8/matchlogs/2024/summary/Pontus-Jansson-Match-Logs" TargetMode="External"/><Relationship Id="rId408" Type="http://schemas.openxmlformats.org/officeDocument/2006/relationships/hyperlink" Target="https://fbref.com/en/country/SWE/Sweden-Football" TargetMode="External"/><Relationship Id="rId407" Type="http://schemas.openxmlformats.org/officeDocument/2006/relationships/hyperlink" Target="https://fbref.com/en/players/7dec0efa/David-Celic" TargetMode="External"/><Relationship Id="rId406" Type="http://schemas.openxmlformats.org/officeDocument/2006/relationships/hyperlink" Target="https://fbref.com/en/players/350ad032/matchlogs/2024/summary/Joseph-Ceesay-Match-Logs" TargetMode="External"/><Relationship Id="rId405" Type="http://schemas.openxmlformats.org/officeDocument/2006/relationships/hyperlink" Target="https://fbref.com/en/squads/1d0836d6/2024/Norrkoping-Stats" TargetMode="External"/><Relationship Id="rId889" Type="http://schemas.openxmlformats.org/officeDocument/2006/relationships/hyperlink" Target="https://fbref.com/en/players/28dffb73/matchlogs/2024/summary/Rony-Jansson-Match-Logs" TargetMode="External"/><Relationship Id="rId880" Type="http://schemas.openxmlformats.org/officeDocument/2006/relationships/hyperlink" Target="https://fbref.com/en/squads/9423c05a/2024/Djurgarden-Stats" TargetMode="External"/><Relationship Id="rId1230" Type="http://schemas.openxmlformats.org/officeDocument/2006/relationships/hyperlink" Target="https://fbref.com/en/squads/17366e53/2024/Halmstad-Stats" TargetMode="External"/><Relationship Id="rId400" Type="http://schemas.openxmlformats.org/officeDocument/2006/relationships/hyperlink" Target="https://fbref.com/en/country/GAM/Gambia-Football" TargetMode="External"/><Relationship Id="rId884" Type="http://schemas.openxmlformats.org/officeDocument/2006/relationships/hyperlink" Target="https://fbref.com/en/squads/f3d8c8b9/2024/Malmo-Stats" TargetMode="External"/><Relationship Id="rId1231" Type="http://schemas.openxmlformats.org/officeDocument/2006/relationships/hyperlink" Target="https://fbref.com/en/players/2fd1571d/matchlogs/2024/summary/Niilo-Maenpaa-Match-Logs" TargetMode="External"/><Relationship Id="rId883" Type="http://schemas.openxmlformats.org/officeDocument/2006/relationships/hyperlink" Target="https://fbref.com/en/country/SWE/Sweden-Football" TargetMode="External"/><Relationship Id="rId1232" Type="http://schemas.openxmlformats.org/officeDocument/2006/relationships/hyperlink" Target="https://fbref.com/en/players/5bd35cff/Abdussalam-Magashy" TargetMode="External"/><Relationship Id="rId882" Type="http://schemas.openxmlformats.org/officeDocument/2006/relationships/hyperlink" Target="https://fbref.com/en/players/172e52d8/Pontus-Jansson" TargetMode="External"/><Relationship Id="rId1233" Type="http://schemas.openxmlformats.org/officeDocument/2006/relationships/hyperlink" Target="https://fbref.com/en/country/SWE/Sweden-Football" TargetMode="External"/><Relationship Id="rId881" Type="http://schemas.openxmlformats.org/officeDocument/2006/relationships/hyperlink" Target="https://fbref.com/en/players/a33c4ee2/matchlogs/2024/summary/Oscar-Jansson-Match-Logs" TargetMode="External"/><Relationship Id="rId1234" Type="http://schemas.openxmlformats.org/officeDocument/2006/relationships/hyperlink" Target="https://fbref.com/en/squads/9f13771c/2024/Kalmar-Stats" TargetMode="External"/><Relationship Id="rId1224" Type="http://schemas.openxmlformats.org/officeDocument/2006/relationships/hyperlink" Target="https://fbref.com/en/players/048293db/Montader-Madjed" TargetMode="External"/><Relationship Id="rId1225" Type="http://schemas.openxmlformats.org/officeDocument/2006/relationships/hyperlink" Target="https://fbref.com/en/country/IRQ/Iraq-Football" TargetMode="External"/><Relationship Id="rId1226" Type="http://schemas.openxmlformats.org/officeDocument/2006/relationships/hyperlink" Target="https://fbref.com/en/squads/92bfd7f0/2024/Hammarby-Stats" TargetMode="External"/><Relationship Id="rId1227" Type="http://schemas.openxmlformats.org/officeDocument/2006/relationships/hyperlink" Target="https://fbref.com/en/players/048293db/matchlogs/2024/summary/Montader-Madjed-Match-Logs" TargetMode="External"/><Relationship Id="rId1228" Type="http://schemas.openxmlformats.org/officeDocument/2006/relationships/hyperlink" Target="https://fbref.com/en/players/2fd1571d/Niilo-Maenpaa" TargetMode="External"/><Relationship Id="rId1229" Type="http://schemas.openxmlformats.org/officeDocument/2006/relationships/hyperlink" Target="https://fbref.com/en/country/FIN/Finland-Football" TargetMode="External"/><Relationship Id="rId877" Type="http://schemas.openxmlformats.org/officeDocument/2006/relationships/hyperlink" Target="https://fbref.com/en/players/a33c4ee2/matchlogs/2024/summary/Oscar-Jansson-Match-Logs" TargetMode="External"/><Relationship Id="rId876" Type="http://schemas.openxmlformats.org/officeDocument/2006/relationships/hyperlink" Target="https://fbref.com/en/squads/1d0836d6/2024/Norrkoping-Stats" TargetMode="External"/><Relationship Id="rId875" Type="http://schemas.openxmlformats.org/officeDocument/2006/relationships/hyperlink" Target="https://fbref.com/en/country/SWE/Sweden-Football" TargetMode="External"/><Relationship Id="rId874" Type="http://schemas.openxmlformats.org/officeDocument/2006/relationships/hyperlink" Target="https://fbref.com/en/players/a33c4ee2/Oscar-Jansson" TargetMode="External"/><Relationship Id="rId879" Type="http://schemas.openxmlformats.org/officeDocument/2006/relationships/hyperlink" Target="https://fbref.com/en/country/SWE/Sweden-Football" TargetMode="External"/><Relationship Id="rId878" Type="http://schemas.openxmlformats.org/officeDocument/2006/relationships/hyperlink" Target="https://fbref.com/en/players/a33c4ee2/Oscar-Jansson" TargetMode="External"/><Relationship Id="rId873" Type="http://schemas.openxmlformats.org/officeDocument/2006/relationships/hyperlink" Target="https://fbref.com/en/players/26d26396/matchlogs/2024/summary/Budimir-Janosevic-Match-Logs" TargetMode="External"/><Relationship Id="rId1220" Type="http://schemas.openxmlformats.org/officeDocument/2006/relationships/hyperlink" Target="https://fbref.com/en/players/94a51661/Ismet-Lushaku" TargetMode="External"/><Relationship Id="rId872" Type="http://schemas.openxmlformats.org/officeDocument/2006/relationships/hyperlink" Target="https://fbref.com/en/squads/b0333581/2024/AIK-Stockholm-Stats" TargetMode="External"/><Relationship Id="rId1221" Type="http://schemas.openxmlformats.org/officeDocument/2006/relationships/hyperlink" Target="https://fbref.com/en/country/KVX/Kosovo-Football" TargetMode="External"/><Relationship Id="rId871" Type="http://schemas.openxmlformats.org/officeDocument/2006/relationships/hyperlink" Target="https://fbref.com/en/country/SRB/Serbia-Football" TargetMode="External"/><Relationship Id="rId1222" Type="http://schemas.openxmlformats.org/officeDocument/2006/relationships/hyperlink" Target="https://fbref.com/en/squads/1d0836d6/2024/Norrkoping-Stats" TargetMode="External"/><Relationship Id="rId870" Type="http://schemas.openxmlformats.org/officeDocument/2006/relationships/hyperlink" Target="https://fbref.com/en/players/26d26396/Budimir-Janosevic" TargetMode="External"/><Relationship Id="rId1223" Type="http://schemas.openxmlformats.org/officeDocument/2006/relationships/hyperlink" Target="https://fbref.com/en/players/94a51661/matchlogs/2024/summary/Ismet-Lushaku-Match-Logs" TargetMode="External"/><Relationship Id="rId1653" Type="http://schemas.openxmlformats.org/officeDocument/2006/relationships/hyperlink" Target="https://fbref.com/en/squads/1d0836d6/2024/Norrkoping-Stats" TargetMode="External"/><Relationship Id="rId1654" Type="http://schemas.openxmlformats.org/officeDocument/2006/relationships/hyperlink" Target="https://fbref.com/en/players/3be274de/matchlogs/2024/summary/Dino-Salihovic-Match-Logs" TargetMode="External"/><Relationship Id="rId1655" Type="http://schemas.openxmlformats.org/officeDocument/2006/relationships/hyperlink" Target="https://fbref.com/en/players/74cdb56a/Mohammad-Al-Salkhadi" TargetMode="External"/><Relationship Id="rId1656" Type="http://schemas.openxmlformats.org/officeDocument/2006/relationships/hyperlink" Target="https://fbref.com/en/country/SYR/Syria-Football" TargetMode="External"/><Relationship Id="rId1657" Type="http://schemas.openxmlformats.org/officeDocument/2006/relationships/hyperlink" Target="https://fbref.com/en/squads/d048ed60/2024/Varnamo-Stats" TargetMode="External"/><Relationship Id="rId1658" Type="http://schemas.openxmlformats.org/officeDocument/2006/relationships/hyperlink" Target="https://fbref.com/en/players/74cdb56a/matchlogs/2024/summary/Mohammad-Al-Salkhadi-Match-Logs" TargetMode="External"/><Relationship Id="rId1659" Type="http://schemas.openxmlformats.org/officeDocument/2006/relationships/hyperlink" Target="https://fbref.com/en/players/9e092a09/Emil-Salomonsson" TargetMode="External"/><Relationship Id="rId829" Type="http://schemas.openxmlformats.org/officeDocument/2006/relationships/hyperlink" Target="https://fbref.com/en/players/c80ff5d1/matchlogs/2024/summary/Zeidane-Inoussa-Match-Logs" TargetMode="External"/><Relationship Id="rId828" Type="http://schemas.openxmlformats.org/officeDocument/2006/relationships/hyperlink" Target="https://fbref.com/en/squads/8774e267/2024/BK-Hacken-Stats" TargetMode="External"/><Relationship Id="rId827" Type="http://schemas.openxmlformats.org/officeDocument/2006/relationships/hyperlink" Target="https://fbref.com/en/country/SWE/Sweden-Football" TargetMode="External"/><Relationship Id="rId822" Type="http://schemas.openxmlformats.org/officeDocument/2006/relationships/hyperlink" Target="https://fbref.com/en/players/7d036b4a/Arnor-Ingvi-Traustason" TargetMode="External"/><Relationship Id="rId821" Type="http://schemas.openxmlformats.org/officeDocument/2006/relationships/hyperlink" Target="https://fbref.com/en/players/ea69be20/matchlogs/2024/summary/Birnir-Ingason-Match-Logs" TargetMode="External"/><Relationship Id="rId820" Type="http://schemas.openxmlformats.org/officeDocument/2006/relationships/hyperlink" Target="https://fbref.com/en/squads/17366e53/2024/Halmstad-Stats" TargetMode="External"/><Relationship Id="rId826" Type="http://schemas.openxmlformats.org/officeDocument/2006/relationships/hyperlink" Target="https://fbref.com/en/players/c80ff5d1/Zeidane-Inoussa" TargetMode="External"/><Relationship Id="rId825" Type="http://schemas.openxmlformats.org/officeDocument/2006/relationships/hyperlink" Target="https://fbref.com/en/players/7d036b4a/matchlogs/2024/summary/Arnor-Ingvi-Traustason-Match-Logs" TargetMode="External"/><Relationship Id="rId824" Type="http://schemas.openxmlformats.org/officeDocument/2006/relationships/hyperlink" Target="https://fbref.com/en/squads/1d0836d6/2024/Norrkoping-Stats" TargetMode="External"/><Relationship Id="rId823" Type="http://schemas.openxmlformats.org/officeDocument/2006/relationships/hyperlink" Target="https://fbref.com/en/country/ISL/Iceland-Football" TargetMode="External"/><Relationship Id="rId1650" Type="http://schemas.openxmlformats.org/officeDocument/2006/relationships/hyperlink" Target="https://fbref.com/en/players/3da8c3f9/matchlogs/2024/summary/Anton-Saletros-Match-Logs" TargetMode="External"/><Relationship Id="rId1651" Type="http://schemas.openxmlformats.org/officeDocument/2006/relationships/hyperlink" Target="https://fbref.com/en/players/3be274de/Dino-Salihovic" TargetMode="External"/><Relationship Id="rId1652" Type="http://schemas.openxmlformats.org/officeDocument/2006/relationships/hyperlink" Target="https://fbref.com/en/country/SWE/Sweden-Football" TargetMode="External"/><Relationship Id="rId1642" Type="http://schemas.openxmlformats.org/officeDocument/2006/relationships/hyperlink" Target="https://fbref.com/en/players/cfc794fb/matchlogs/2024/summary/Abundance-Salaou-Match-Logs" TargetMode="External"/><Relationship Id="rId1643" Type="http://schemas.openxmlformats.org/officeDocument/2006/relationships/hyperlink" Target="https://fbref.com/en/players/4cf80d1d/Yousef-Salech" TargetMode="External"/><Relationship Id="rId1644" Type="http://schemas.openxmlformats.org/officeDocument/2006/relationships/hyperlink" Target="https://fbref.com/en/country/DEN/Denmark-Football" TargetMode="External"/><Relationship Id="rId1645" Type="http://schemas.openxmlformats.org/officeDocument/2006/relationships/hyperlink" Target="https://fbref.com/en/squads/e9d60d0c/2024/Sirius-Stats" TargetMode="External"/><Relationship Id="rId1646" Type="http://schemas.openxmlformats.org/officeDocument/2006/relationships/hyperlink" Target="https://fbref.com/en/players/4cf80d1d/matchlogs/2024/summary/Yousef-Salech-Match-Logs" TargetMode="External"/><Relationship Id="rId1647" Type="http://schemas.openxmlformats.org/officeDocument/2006/relationships/hyperlink" Target="https://fbref.com/en/players/3da8c3f9/Anton-Saletros" TargetMode="External"/><Relationship Id="rId1648" Type="http://schemas.openxmlformats.org/officeDocument/2006/relationships/hyperlink" Target="https://fbref.com/en/country/SWE/Sweden-Football" TargetMode="External"/><Relationship Id="rId1649" Type="http://schemas.openxmlformats.org/officeDocument/2006/relationships/hyperlink" Target="https://fbref.com/en/squads/b0333581/2024/AIK-Stockholm-Stats" TargetMode="External"/><Relationship Id="rId819" Type="http://schemas.openxmlformats.org/officeDocument/2006/relationships/hyperlink" Target="https://fbref.com/en/country/ISL/Iceland-Football" TargetMode="External"/><Relationship Id="rId818" Type="http://schemas.openxmlformats.org/officeDocument/2006/relationships/hyperlink" Target="https://fbref.com/en/players/ea69be20/Birnir-Ingason" TargetMode="External"/><Relationship Id="rId817" Type="http://schemas.openxmlformats.org/officeDocument/2006/relationships/hyperlink" Target="https://fbref.com/en/players/b8508ea3/matchlogs/2024/summary/Harun-Ibrahim-Match-Logs" TargetMode="External"/><Relationship Id="rId816" Type="http://schemas.openxmlformats.org/officeDocument/2006/relationships/hyperlink" Target="https://fbref.com/en/squads/7c2d1adb/2024/GAIS-Stats" TargetMode="External"/><Relationship Id="rId811" Type="http://schemas.openxmlformats.org/officeDocument/2006/relationships/hyperlink" Target="https://fbref.com/en/country/TUR/Turkey-Football" TargetMode="External"/><Relationship Id="rId810" Type="http://schemas.openxmlformats.org/officeDocument/2006/relationships/hyperlink" Target="https://fbref.com/en/players/754f87d6/Deniz-Hummet" TargetMode="External"/><Relationship Id="rId815" Type="http://schemas.openxmlformats.org/officeDocument/2006/relationships/hyperlink" Target="https://fbref.com/en/country/SWE/Sweden-Football" TargetMode="External"/><Relationship Id="rId814" Type="http://schemas.openxmlformats.org/officeDocument/2006/relationships/hyperlink" Target="https://fbref.com/en/players/b8508ea3/Harun-Ibrahim" TargetMode="External"/><Relationship Id="rId813" Type="http://schemas.openxmlformats.org/officeDocument/2006/relationships/hyperlink" Target="https://fbref.com/en/players/754f87d6/matchlogs/2024/summary/Deniz-Hummet-Match-Logs" TargetMode="External"/><Relationship Id="rId812" Type="http://schemas.openxmlformats.org/officeDocument/2006/relationships/hyperlink" Target="https://fbref.com/en/squads/9423c05a/2024/Djurgarden-Stats" TargetMode="External"/><Relationship Id="rId1640" Type="http://schemas.openxmlformats.org/officeDocument/2006/relationships/hyperlink" Target="https://fbref.com/en/country/CIV/Cote-dIvoire-Football" TargetMode="External"/><Relationship Id="rId1641" Type="http://schemas.openxmlformats.org/officeDocument/2006/relationships/hyperlink" Target="https://fbref.com/en/squads/ef1ab26a/2024/Goteborg-Stats" TargetMode="External"/><Relationship Id="rId1675" Type="http://schemas.openxmlformats.org/officeDocument/2006/relationships/hyperlink" Target="https://fbref.com/en/players/a2f92bfc/Youssoupha-Sanyang" TargetMode="External"/><Relationship Id="rId1676" Type="http://schemas.openxmlformats.org/officeDocument/2006/relationships/hyperlink" Target="https://fbref.com/en/country/SEN/Senegal-Football" TargetMode="External"/><Relationship Id="rId1677" Type="http://schemas.openxmlformats.org/officeDocument/2006/relationships/hyperlink" Target="https://fbref.com/en/squads/a8481ab9/2024/Vasteras-Stats" TargetMode="External"/><Relationship Id="rId1678" Type="http://schemas.openxmlformats.org/officeDocument/2006/relationships/hyperlink" Target="https://fbref.com/en/players/a2f92bfc/matchlogs/2024/summary/Youssoupha-Sanyang-Match-Logs" TargetMode="External"/><Relationship Id="rId1679" Type="http://schemas.openxmlformats.org/officeDocument/2006/relationships/hyperlink" Target="https://fbref.com/en/players/0e624c72/Rasmus-Schuller" TargetMode="External"/><Relationship Id="rId849" Type="http://schemas.openxmlformats.org/officeDocument/2006/relationships/hyperlink" Target="https://fbref.com/en/players/4d2d7ea5/matchlogs/2024/summary/Abdulrazaq-Ishaq-Match-Logs" TargetMode="External"/><Relationship Id="rId844" Type="http://schemas.openxmlformats.org/officeDocument/2006/relationships/hyperlink" Target="https://fbref.com/en/squads/9f13771c/2024/Kalmar-Stats" TargetMode="External"/><Relationship Id="rId843" Type="http://schemas.openxmlformats.org/officeDocument/2006/relationships/hyperlink" Target="https://fbref.com/en/country/SWE/Sweden-Football" TargetMode="External"/><Relationship Id="rId842" Type="http://schemas.openxmlformats.org/officeDocument/2006/relationships/hyperlink" Target="https://fbref.com/en/players/39655292/Leon-Isa" TargetMode="External"/><Relationship Id="rId841" Type="http://schemas.openxmlformats.org/officeDocument/2006/relationships/hyperlink" Target="https://fbref.com/en/players/371c77c6/matchlogs/2024/summary/Daleho-Irandust-Match-Logs" TargetMode="External"/><Relationship Id="rId848" Type="http://schemas.openxmlformats.org/officeDocument/2006/relationships/hyperlink" Target="https://fbref.com/en/squads/8774e267/2024/BK-Hacken-Stats" TargetMode="External"/><Relationship Id="rId847" Type="http://schemas.openxmlformats.org/officeDocument/2006/relationships/hyperlink" Target="https://fbref.com/en/country/NGA/Nigeria-Football" TargetMode="External"/><Relationship Id="rId846" Type="http://schemas.openxmlformats.org/officeDocument/2006/relationships/hyperlink" Target="https://fbref.com/en/players/4d2d7ea5/Abdulrazaq-Ishaq" TargetMode="External"/><Relationship Id="rId845" Type="http://schemas.openxmlformats.org/officeDocument/2006/relationships/hyperlink" Target="https://fbref.com/en/players/39655292/matchlogs/2024/summary/Leon-Isa-Match-Logs" TargetMode="External"/><Relationship Id="rId1670" Type="http://schemas.openxmlformats.org/officeDocument/2006/relationships/hyperlink" Target="https://fbref.com/en/players/9cd1f5d0/matchlogs/2024/summary/Ture-Sandberg-Match-Logs" TargetMode="External"/><Relationship Id="rId840" Type="http://schemas.openxmlformats.org/officeDocument/2006/relationships/hyperlink" Target="https://fbref.com/en/squads/bb9e11b2/2024/Brommapojkarna-Stats" TargetMode="External"/><Relationship Id="rId1671" Type="http://schemas.openxmlformats.org/officeDocument/2006/relationships/hyperlink" Target="https://fbref.com/en/players/d21a8046/Thomas-Santos" TargetMode="External"/><Relationship Id="rId1672" Type="http://schemas.openxmlformats.org/officeDocument/2006/relationships/hyperlink" Target="https://fbref.com/en/country/DEN/Denmark-Football" TargetMode="External"/><Relationship Id="rId1673" Type="http://schemas.openxmlformats.org/officeDocument/2006/relationships/hyperlink" Target="https://fbref.com/en/squads/ef1ab26a/2024/Goteborg-Stats" TargetMode="External"/><Relationship Id="rId1674" Type="http://schemas.openxmlformats.org/officeDocument/2006/relationships/hyperlink" Target="https://fbref.com/en/players/d21a8046/matchlogs/2024/summary/Thomas-Santos-Match-Logs" TargetMode="External"/><Relationship Id="rId1664" Type="http://schemas.openxmlformats.org/officeDocument/2006/relationships/hyperlink" Target="https://fbref.com/en/country/SWE/Sweden-Football" TargetMode="External"/><Relationship Id="rId1665" Type="http://schemas.openxmlformats.org/officeDocument/2006/relationships/hyperlink" Target="https://fbref.com/en/squads/8774e267/2024/BK-Hacken-Stats" TargetMode="External"/><Relationship Id="rId1666" Type="http://schemas.openxmlformats.org/officeDocument/2006/relationships/hyperlink" Target="https://fbref.com/en/players/05b00fef/matchlogs/2024/summary/Simon-Sandberg-Match-Logs" TargetMode="External"/><Relationship Id="rId1667" Type="http://schemas.openxmlformats.org/officeDocument/2006/relationships/hyperlink" Target="https://fbref.com/en/players/9cd1f5d0/Ture-Sandberg" TargetMode="External"/><Relationship Id="rId1668" Type="http://schemas.openxmlformats.org/officeDocument/2006/relationships/hyperlink" Target="https://fbref.com/en/country/SWE/Sweden-Football" TargetMode="External"/><Relationship Id="rId1669" Type="http://schemas.openxmlformats.org/officeDocument/2006/relationships/hyperlink" Target="https://fbref.com/en/squads/1d0836d6/2024/Norrkoping-Stats" TargetMode="External"/><Relationship Id="rId839" Type="http://schemas.openxmlformats.org/officeDocument/2006/relationships/hyperlink" Target="https://fbref.com/en/country/SYR/Syria-Football" TargetMode="External"/><Relationship Id="rId838" Type="http://schemas.openxmlformats.org/officeDocument/2006/relationships/hyperlink" Target="https://fbref.com/en/players/371c77c6/Daleho-Irandust" TargetMode="External"/><Relationship Id="rId833" Type="http://schemas.openxmlformats.org/officeDocument/2006/relationships/hyperlink" Target="https://fbref.com/en/players/50a048f3/matchlogs/2024/summary/Ivan-Inzoudine-Match-Logs" TargetMode="External"/><Relationship Id="rId832" Type="http://schemas.openxmlformats.org/officeDocument/2006/relationships/hyperlink" Target="https://fbref.com/en/squads/9f13771c/2024/Kalmar-Stats" TargetMode="External"/><Relationship Id="rId831" Type="http://schemas.openxmlformats.org/officeDocument/2006/relationships/hyperlink" Target="https://fbref.com/en/country/FRA/France-Football" TargetMode="External"/><Relationship Id="rId830" Type="http://schemas.openxmlformats.org/officeDocument/2006/relationships/hyperlink" Target="https://fbref.com/en/players/50a048f3/Ivan-Inzoudine" TargetMode="External"/><Relationship Id="rId837" Type="http://schemas.openxmlformats.org/officeDocument/2006/relationships/hyperlink" Target="https://fbref.com/en/players/67141182/matchlogs/2024/summary/Abdullah-Iqbal-Match-Logs" TargetMode="External"/><Relationship Id="rId836" Type="http://schemas.openxmlformats.org/officeDocument/2006/relationships/hyperlink" Target="https://fbref.com/en/squads/b1a7a7b9/2024/Mjallby-Stats" TargetMode="External"/><Relationship Id="rId835" Type="http://schemas.openxmlformats.org/officeDocument/2006/relationships/hyperlink" Target="https://fbref.com/en/country/PAK/Pakistan-Football" TargetMode="External"/><Relationship Id="rId834" Type="http://schemas.openxmlformats.org/officeDocument/2006/relationships/hyperlink" Target="https://fbref.com/en/players/67141182/Abdullah-Iqbal" TargetMode="External"/><Relationship Id="rId1660" Type="http://schemas.openxmlformats.org/officeDocument/2006/relationships/hyperlink" Target="https://fbref.com/en/country/SWE/Sweden-Football" TargetMode="External"/><Relationship Id="rId1661" Type="http://schemas.openxmlformats.org/officeDocument/2006/relationships/hyperlink" Target="https://fbref.com/en/squads/ef1ab26a/2024/Goteborg-Stats" TargetMode="External"/><Relationship Id="rId1662" Type="http://schemas.openxmlformats.org/officeDocument/2006/relationships/hyperlink" Target="https://fbref.com/en/players/9e092a09/matchlogs/2024/summary/Emil-Salomonsson-Match-Logs" TargetMode="External"/><Relationship Id="rId1663" Type="http://schemas.openxmlformats.org/officeDocument/2006/relationships/hyperlink" Target="https://fbref.com/en/players/05b00fef/Simon-Sandberg" TargetMode="External"/><Relationship Id="rId469" Type="http://schemas.openxmlformats.org/officeDocument/2006/relationships/hyperlink" Target="https://fbref.com/en/squads/f3d8c8b9/2024/Malmo-Stats" TargetMode="External"/><Relationship Id="rId468" Type="http://schemas.openxmlformats.org/officeDocument/2006/relationships/hyperlink" Target="https://fbref.com/en/country/SWE/Sweden-Football" TargetMode="External"/><Relationship Id="rId467" Type="http://schemas.openxmlformats.org/officeDocument/2006/relationships/hyperlink" Target="https://fbref.com/en/players/a04e2dd2/Johan-Dahlin" TargetMode="External"/><Relationship Id="rId1290" Type="http://schemas.openxmlformats.org/officeDocument/2006/relationships/hyperlink" Target="https://fbref.com/en/squads/1d0836d6/2024/Norrkoping-Stats" TargetMode="External"/><Relationship Id="rId1291" Type="http://schemas.openxmlformats.org/officeDocument/2006/relationships/hyperlink" Target="https://fbref.com/en/players/34829444/matchlogs/2024/summary/David-Mitov-Nilsson-Match-Logs" TargetMode="External"/><Relationship Id="rId1292" Type="http://schemas.openxmlformats.org/officeDocument/2006/relationships/hyperlink" Target="https://fbref.com/en/players/34829444/David-Mitov-Nilsson" TargetMode="External"/><Relationship Id="rId462" Type="http://schemas.openxmlformats.org/officeDocument/2006/relationships/hyperlink" Target="https://fbref.com/en/players/62cf5c04/matchlogs/2024/summary/Pontus-Dahbo-Match-Logs" TargetMode="External"/><Relationship Id="rId1293" Type="http://schemas.openxmlformats.org/officeDocument/2006/relationships/hyperlink" Target="https://fbref.com/en/country/MKD/North-Macedonia-Football" TargetMode="External"/><Relationship Id="rId461" Type="http://schemas.openxmlformats.org/officeDocument/2006/relationships/hyperlink" Target="https://fbref.com/en/squads/8774e267/2024/BK-Hacken-Stats" TargetMode="External"/><Relationship Id="rId1294" Type="http://schemas.openxmlformats.org/officeDocument/2006/relationships/hyperlink" Target="https://fbref.com/en/squads/e9d60d0c/2024/Sirius-Stats" TargetMode="External"/><Relationship Id="rId460" Type="http://schemas.openxmlformats.org/officeDocument/2006/relationships/hyperlink" Target="https://fbref.com/en/country/SWE/Sweden-Football" TargetMode="External"/><Relationship Id="rId1295" Type="http://schemas.openxmlformats.org/officeDocument/2006/relationships/hyperlink" Target="https://fbref.com/en/players/34829444/matchlogs/2024/summary/David-Mitov-Nilsson-Match-Logs" TargetMode="External"/><Relationship Id="rId1296" Type="http://schemas.openxmlformats.org/officeDocument/2006/relationships/hyperlink" Target="https://fbref.com/en/players/4044e8d8/David-Moberg-Karlsson" TargetMode="External"/><Relationship Id="rId466" Type="http://schemas.openxmlformats.org/officeDocument/2006/relationships/hyperlink" Target="https://fbref.com/en/players/bbe7d20b/matchlogs/2024/summary/Samuel-Dahl-Match-Logs" TargetMode="External"/><Relationship Id="rId1297" Type="http://schemas.openxmlformats.org/officeDocument/2006/relationships/hyperlink" Target="https://fbref.com/en/country/SWE/Sweden-Football" TargetMode="External"/><Relationship Id="rId465" Type="http://schemas.openxmlformats.org/officeDocument/2006/relationships/hyperlink" Target="https://fbref.com/en/squads/9423c05a/2024/Djurgarden-Stats" TargetMode="External"/><Relationship Id="rId1298" Type="http://schemas.openxmlformats.org/officeDocument/2006/relationships/hyperlink" Target="https://fbref.com/en/squads/1d0836d6/2024/Norrkoping-Stats" TargetMode="External"/><Relationship Id="rId464" Type="http://schemas.openxmlformats.org/officeDocument/2006/relationships/hyperlink" Target="https://fbref.com/en/country/SWE/Sweden-Football" TargetMode="External"/><Relationship Id="rId1299" Type="http://schemas.openxmlformats.org/officeDocument/2006/relationships/hyperlink" Target="https://fbref.com/en/players/4044e8d8/matchlogs/2024/summary/David-Moberg-Karlsson-Match-Logs" TargetMode="External"/><Relationship Id="rId463" Type="http://schemas.openxmlformats.org/officeDocument/2006/relationships/hyperlink" Target="https://fbref.com/en/players/bbe7d20b/Samuel-Dahl" TargetMode="External"/><Relationship Id="rId459" Type="http://schemas.openxmlformats.org/officeDocument/2006/relationships/hyperlink" Target="https://fbref.com/en/players/62cf5c04/Pontus-Dahbo" TargetMode="External"/><Relationship Id="rId458" Type="http://schemas.openxmlformats.org/officeDocument/2006/relationships/hyperlink" Target="https://fbref.com/en/players/415290df/matchlogs/2024/summary/Aly-Coulibaly-Match-Logs" TargetMode="External"/><Relationship Id="rId457" Type="http://schemas.openxmlformats.org/officeDocument/2006/relationships/hyperlink" Target="https://fbref.com/en/squads/a8481ab9/2024/Vasteras-Stats" TargetMode="External"/><Relationship Id="rId456" Type="http://schemas.openxmlformats.org/officeDocument/2006/relationships/hyperlink" Target="https://fbref.com/en/country/FRA/France-Football" TargetMode="External"/><Relationship Id="rId1280" Type="http://schemas.openxmlformats.org/officeDocument/2006/relationships/hyperlink" Target="https://fbref.com/en/players/2f065e3a/Alexander-Milosevic" TargetMode="External"/><Relationship Id="rId1281" Type="http://schemas.openxmlformats.org/officeDocument/2006/relationships/hyperlink" Target="https://fbref.com/en/country/SWE/Sweden-Football" TargetMode="External"/><Relationship Id="rId451" Type="http://schemas.openxmlformats.org/officeDocument/2006/relationships/hyperlink" Target="https://fbref.com/en/players/577744b8/Derek-Cornelius" TargetMode="External"/><Relationship Id="rId1282" Type="http://schemas.openxmlformats.org/officeDocument/2006/relationships/hyperlink" Target="https://fbref.com/en/squads/b0333581/2024/AIK-Stockholm-Stats" TargetMode="External"/><Relationship Id="rId450" Type="http://schemas.openxmlformats.org/officeDocument/2006/relationships/hyperlink" Target="https://fbref.com/en/players/0b6360b0/matchlogs/2024/summary/Jack-Cooper-Love-Match-Logs" TargetMode="External"/><Relationship Id="rId1283" Type="http://schemas.openxmlformats.org/officeDocument/2006/relationships/hyperlink" Target="https://fbref.com/en/players/2f065e3a/matchlogs/2024/summary/Alexander-Milosevic-Match-Logs" TargetMode="External"/><Relationship Id="rId1284" Type="http://schemas.openxmlformats.org/officeDocument/2006/relationships/hyperlink" Target="https://fbref.com/en/players/b3b7a592/William-Milovanovic" TargetMode="External"/><Relationship Id="rId1285" Type="http://schemas.openxmlformats.org/officeDocument/2006/relationships/hyperlink" Target="https://fbref.com/en/country/SWE/Sweden-Football" TargetMode="External"/><Relationship Id="rId455" Type="http://schemas.openxmlformats.org/officeDocument/2006/relationships/hyperlink" Target="https://fbref.com/en/players/415290df/Aly-Coulibaly" TargetMode="External"/><Relationship Id="rId1286" Type="http://schemas.openxmlformats.org/officeDocument/2006/relationships/hyperlink" Target="https://fbref.com/en/squads/7c2d1adb/2024/GAIS-Stats" TargetMode="External"/><Relationship Id="rId454" Type="http://schemas.openxmlformats.org/officeDocument/2006/relationships/hyperlink" Target="https://fbref.com/en/players/577744b8/matchlogs/2024/summary/Derek-Cornelius-Match-Logs" TargetMode="External"/><Relationship Id="rId1287" Type="http://schemas.openxmlformats.org/officeDocument/2006/relationships/hyperlink" Target="https://fbref.com/en/players/b3b7a592/matchlogs/2024/summary/William-Milovanovic-Match-Logs" TargetMode="External"/><Relationship Id="rId453" Type="http://schemas.openxmlformats.org/officeDocument/2006/relationships/hyperlink" Target="https://fbref.com/en/squads/f3d8c8b9/2024/Malmo-Stats" TargetMode="External"/><Relationship Id="rId1288" Type="http://schemas.openxmlformats.org/officeDocument/2006/relationships/hyperlink" Target="https://fbref.com/en/players/34829444/David-Mitov-Nilsson" TargetMode="External"/><Relationship Id="rId452" Type="http://schemas.openxmlformats.org/officeDocument/2006/relationships/hyperlink" Target="https://fbref.com/en/country/CAN/Canada-Football" TargetMode="External"/><Relationship Id="rId1289" Type="http://schemas.openxmlformats.org/officeDocument/2006/relationships/hyperlink" Target="https://fbref.com/en/country/MKD/North-Macedonia-Football" TargetMode="External"/><Relationship Id="rId491" Type="http://schemas.openxmlformats.org/officeDocument/2006/relationships/hyperlink" Target="https://fbref.com/en/players/20910907/Alex-Douglas" TargetMode="External"/><Relationship Id="rId490" Type="http://schemas.openxmlformats.org/officeDocument/2006/relationships/hyperlink" Target="https://fbref.com/en/players/a9107589/matchlogs/2024/summary/Ismael-Diawara-Match-Logs" TargetMode="External"/><Relationship Id="rId489" Type="http://schemas.openxmlformats.org/officeDocument/2006/relationships/hyperlink" Target="https://fbref.com/en/squads/b0333581/2024/AIK-Stockholm-Stats" TargetMode="External"/><Relationship Id="rId484" Type="http://schemas.openxmlformats.org/officeDocument/2006/relationships/hyperlink" Target="https://fbref.com/en/country/CIV/Cote-dIvoire-Football" TargetMode="External"/><Relationship Id="rId483" Type="http://schemas.openxmlformats.org/officeDocument/2006/relationships/hyperlink" Target="https://fbref.com/en/players/41463424/Ibrahim-Diabate" TargetMode="External"/><Relationship Id="rId482" Type="http://schemas.openxmlformats.org/officeDocument/2006/relationships/hyperlink" Target="https://fbref.com/en/players/678feac5/matchlogs/2024/summary/Arvin-Davoudi-Kia-Match-Logs" TargetMode="External"/><Relationship Id="rId481" Type="http://schemas.openxmlformats.org/officeDocument/2006/relationships/hyperlink" Target="https://fbref.com/en/squads/9f13771c/2024/Kalmar-Stats" TargetMode="External"/><Relationship Id="rId488" Type="http://schemas.openxmlformats.org/officeDocument/2006/relationships/hyperlink" Target="https://fbref.com/en/country/MLI/Mali-Football" TargetMode="External"/><Relationship Id="rId487" Type="http://schemas.openxmlformats.org/officeDocument/2006/relationships/hyperlink" Target="https://fbref.com/en/players/a9107589/Ismael-Diawara" TargetMode="External"/><Relationship Id="rId486" Type="http://schemas.openxmlformats.org/officeDocument/2006/relationships/hyperlink" Target="https://fbref.com/en/players/41463424/matchlogs/2024/summary/Ibrahim-Diabate-Match-Logs" TargetMode="External"/><Relationship Id="rId485" Type="http://schemas.openxmlformats.org/officeDocument/2006/relationships/hyperlink" Target="https://fbref.com/en/squads/a8481ab9/2024/Vasteras-Stats" TargetMode="External"/><Relationship Id="rId480" Type="http://schemas.openxmlformats.org/officeDocument/2006/relationships/hyperlink" Target="https://fbref.com/en/country/SWE/Sweden-Football" TargetMode="External"/><Relationship Id="rId479" Type="http://schemas.openxmlformats.org/officeDocument/2006/relationships/hyperlink" Target="https://fbref.com/en/players/678feac5/Arvin-Davoudi-Kia" TargetMode="External"/><Relationship Id="rId478" Type="http://schemas.openxmlformats.org/officeDocument/2006/relationships/hyperlink" Target="https://fbref.com/en/players/aae48df1/matchlogs/2024/summary/Marcus-Danielsson-Match-Logs" TargetMode="External"/><Relationship Id="rId473" Type="http://schemas.openxmlformats.org/officeDocument/2006/relationships/hyperlink" Target="https://fbref.com/en/squads/17366e53/2024/Halmstad-Stats" TargetMode="External"/><Relationship Id="rId472" Type="http://schemas.openxmlformats.org/officeDocument/2006/relationships/hyperlink" Target="https://fbref.com/en/country/SWE/Sweden-Football" TargetMode="External"/><Relationship Id="rId471" Type="http://schemas.openxmlformats.org/officeDocument/2006/relationships/hyperlink" Target="https://fbref.com/en/players/9f95d007/Villiam-Dahlstrom" TargetMode="External"/><Relationship Id="rId470" Type="http://schemas.openxmlformats.org/officeDocument/2006/relationships/hyperlink" Target="https://fbref.com/en/players/a04e2dd2/matchlogs/2024/summary/Johan-Dahlin-Match-Logs" TargetMode="External"/><Relationship Id="rId477" Type="http://schemas.openxmlformats.org/officeDocument/2006/relationships/hyperlink" Target="https://fbref.com/en/squads/9423c05a/2024/Djurgarden-Stats" TargetMode="External"/><Relationship Id="rId476" Type="http://schemas.openxmlformats.org/officeDocument/2006/relationships/hyperlink" Target="https://fbref.com/en/country/SWE/Sweden-Football" TargetMode="External"/><Relationship Id="rId475" Type="http://schemas.openxmlformats.org/officeDocument/2006/relationships/hyperlink" Target="https://fbref.com/en/players/aae48df1/Marcus-Danielsson" TargetMode="External"/><Relationship Id="rId474" Type="http://schemas.openxmlformats.org/officeDocument/2006/relationships/hyperlink" Target="https://fbref.com/en/players/9f95d007/matchlogs/2024/summary/Villiam-Dahlstrom-Match-Logs" TargetMode="External"/><Relationship Id="rId1257" Type="http://schemas.openxmlformats.org/officeDocument/2006/relationships/hyperlink" Target="https://fbref.com/en/country/GAM/Gambia-Football" TargetMode="External"/><Relationship Id="rId1258" Type="http://schemas.openxmlformats.org/officeDocument/2006/relationships/hyperlink" Target="https://fbref.com/en/squads/b1a7a7b9/2024/Mjallby-Stats" TargetMode="External"/><Relationship Id="rId1259" Type="http://schemas.openxmlformats.org/officeDocument/2006/relationships/hyperlink" Target="https://fbref.com/en/players/0d8ca6b3/matchlogs/2024/summary/Abdoulie-Manneh-Match-Logs" TargetMode="External"/><Relationship Id="rId426" Type="http://schemas.openxmlformats.org/officeDocument/2006/relationships/hyperlink" Target="https://fbref.com/en/players/fffdbab7/matchlogs/2024/summary/Chisomnazu-Chika-Chidi-Match-Logs" TargetMode="External"/><Relationship Id="rId425" Type="http://schemas.openxmlformats.org/officeDocument/2006/relationships/hyperlink" Target="https://fbref.com/en/squads/7c2d1adb/2024/GAIS-Stats" TargetMode="External"/><Relationship Id="rId424" Type="http://schemas.openxmlformats.org/officeDocument/2006/relationships/hyperlink" Target="https://fbref.com/en/country/SWE/Sweden-Football" TargetMode="External"/><Relationship Id="rId423" Type="http://schemas.openxmlformats.org/officeDocument/2006/relationships/hyperlink" Target="https://fbref.com/en/players/fffdbab7/Chisomnazu-Chika-Chidi" TargetMode="External"/><Relationship Id="rId429" Type="http://schemas.openxmlformats.org/officeDocument/2006/relationships/hyperlink" Target="https://fbref.com/en/squads/8774e267/2024/BK-Hacken-Stats" TargetMode="External"/><Relationship Id="rId428" Type="http://schemas.openxmlformats.org/officeDocument/2006/relationships/hyperlink" Target="https://fbref.com/en/country/ZAM/Zambia-Football" TargetMode="External"/><Relationship Id="rId427" Type="http://schemas.openxmlformats.org/officeDocument/2006/relationships/hyperlink" Target="https://fbref.com/en/players/b7b27de0/Edward-Chilufya" TargetMode="External"/><Relationship Id="rId1250" Type="http://schemas.openxmlformats.org/officeDocument/2006/relationships/hyperlink" Target="https://fbref.com/en/squads/b1a7a7b9/2024/Mjallby-Stats" TargetMode="External"/><Relationship Id="rId1251" Type="http://schemas.openxmlformats.org/officeDocument/2006/relationships/hyperlink" Target="https://fbref.com/en/players/68737f06/matchlogs/2024/summary/Tim-Malmstrom-Match-Logs" TargetMode="External"/><Relationship Id="rId1252" Type="http://schemas.openxmlformats.org/officeDocument/2006/relationships/hyperlink" Target="https://fbref.com/en/players/d1e1a9b6/Saba-Mamatsashvili" TargetMode="External"/><Relationship Id="rId422" Type="http://schemas.openxmlformats.org/officeDocument/2006/relationships/hyperlink" Target="https://fbref.com/en/players/d33e3242/matchlogs/2024/summary/Ismaila-Cheick-Coulibaly-Match-Logs" TargetMode="External"/><Relationship Id="rId1253" Type="http://schemas.openxmlformats.org/officeDocument/2006/relationships/hyperlink" Target="https://fbref.com/en/country/GEO/Georgia-Football" TargetMode="External"/><Relationship Id="rId421" Type="http://schemas.openxmlformats.org/officeDocument/2006/relationships/hyperlink" Target="https://fbref.com/en/squads/b0333581/2024/AIK-Stockholm-Stats" TargetMode="External"/><Relationship Id="rId1254" Type="http://schemas.openxmlformats.org/officeDocument/2006/relationships/hyperlink" Target="https://fbref.com/en/squads/e9d60d0c/2024/Sirius-Stats" TargetMode="External"/><Relationship Id="rId420" Type="http://schemas.openxmlformats.org/officeDocument/2006/relationships/hyperlink" Target="https://fbref.com/en/country/MLI/Mali-Football" TargetMode="External"/><Relationship Id="rId1255" Type="http://schemas.openxmlformats.org/officeDocument/2006/relationships/hyperlink" Target="https://fbref.com/en/players/d1e1a9b6/matchlogs/2024/summary/Saba-Mamatsashvili-Match-Logs" TargetMode="External"/><Relationship Id="rId1256" Type="http://schemas.openxmlformats.org/officeDocument/2006/relationships/hyperlink" Target="https://fbref.com/en/players/0d8ca6b3/Abdoulie-Manneh" TargetMode="External"/><Relationship Id="rId1246" Type="http://schemas.openxmlformats.org/officeDocument/2006/relationships/hyperlink" Target="https://fbref.com/en/squads/f3d8c8b9/2024/Malmo-Stats" TargetMode="External"/><Relationship Id="rId1247" Type="http://schemas.openxmlformats.org/officeDocument/2006/relationships/hyperlink" Target="https://fbref.com/en/players/4ee36b23/matchlogs/2024/summary/Elison-Makolli-Match-Logs" TargetMode="External"/><Relationship Id="rId1248" Type="http://schemas.openxmlformats.org/officeDocument/2006/relationships/hyperlink" Target="https://fbref.com/en/players/68737f06/Tim-Malmstrom" TargetMode="External"/><Relationship Id="rId1249" Type="http://schemas.openxmlformats.org/officeDocument/2006/relationships/hyperlink" Target="https://fbref.com/en/country/SWE/Sweden-Football" TargetMode="External"/><Relationship Id="rId415" Type="http://schemas.openxmlformats.org/officeDocument/2006/relationships/hyperlink" Target="https://fbref.com/en/players/3043d33f/Bersant-Celina" TargetMode="External"/><Relationship Id="rId899" Type="http://schemas.openxmlformats.org/officeDocument/2006/relationships/hyperlink" Target="https://fbref.com/en/country/SWE/Sweden-Football" TargetMode="External"/><Relationship Id="rId414" Type="http://schemas.openxmlformats.org/officeDocument/2006/relationships/hyperlink" Target="https://fbref.com/en/players/5ab8d533/matchlogs/2024/summary/Mervan-Celik-Match-Logs" TargetMode="External"/><Relationship Id="rId898" Type="http://schemas.openxmlformats.org/officeDocument/2006/relationships/hyperlink" Target="https://fbref.com/en/players/af72b819/Camil-Jebara" TargetMode="External"/><Relationship Id="rId413" Type="http://schemas.openxmlformats.org/officeDocument/2006/relationships/hyperlink" Target="https://fbref.com/en/squads/7c2d1adb/2024/GAIS-Stats" TargetMode="External"/><Relationship Id="rId897" Type="http://schemas.openxmlformats.org/officeDocument/2006/relationships/hyperlink" Target="https://fbref.com/en/players/ab015921/matchlogs/2024/summary/Linus-Jareteg-Match-Logs" TargetMode="External"/><Relationship Id="rId412" Type="http://schemas.openxmlformats.org/officeDocument/2006/relationships/hyperlink" Target="https://fbref.com/en/country/SWE/Sweden-Football" TargetMode="External"/><Relationship Id="rId896" Type="http://schemas.openxmlformats.org/officeDocument/2006/relationships/hyperlink" Target="https://fbref.com/en/squads/b0333581/2024/AIK-Stockholm-Stats" TargetMode="External"/><Relationship Id="rId419" Type="http://schemas.openxmlformats.org/officeDocument/2006/relationships/hyperlink" Target="https://fbref.com/en/players/d33e3242/Ismaila-Cheick-Coulibaly" TargetMode="External"/><Relationship Id="rId418" Type="http://schemas.openxmlformats.org/officeDocument/2006/relationships/hyperlink" Target="https://fbref.com/en/players/3043d33f/matchlogs/2024/summary/Bersant-Celina-Match-Logs" TargetMode="External"/><Relationship Id="rId417" Type="http://schemas.openxmlformats.org/officeDocument/2006/relationships/hyperlink" Target="https://fbref.com/en/squads/b0333581/2024/AIK-Stockholm-Stats" TargetMode="External"/><Relationship Id="rId416" Type="http://schemas.openxmlformats.org/officeDocument/2006/relationships/hyperlink" Target="https://fbref.com/en/country/KVX/Kosovo-Football" TargetMode="External"/><Relationship Id="rId891" Type="http://schemas.openxmlformats.org/officeDocument/2006/relationships/hyperlink" Target="https://fbref.com/en/country/SWE/Sweden-Football" TargetMode="External"/><Relationship Id="rId890" Type="http://schemas.openxmlformats.org/officeDocument/2006/relationships/hyperlink" Target="https://fbref.com/en/players/9db24d24/Sigge-Jansson" TargetMode="External"/><Relationship Id="rId1240" Type="http://schemas.openxmlformats.org/officeDocument/2006/relationships/hyperlink" Target="https://fbref.com/en/players/7bdc5696/Jens-Magnusson" TargetMode="External"/><Relationship Id="rId1241" Type="http://schemas.openxmlformats.org/officeDocument/2006/relationships/hyperlink" Target="https://fbref.com/en/country/SWE/Sweden-Football" TargetMode="External"/><Relationship Id="rId411" Type="http://schemas.openxmlformats.org/officeDocument/2006/relationships/hyperlink" Target="https://fbref.com/en/players/5ab8d533/Mervan-Celik" TargetMode="External"/><Relationship Id="rId895" Type="http://schemas.openxmlformats.org/officeDocument/2006/relationships/hyperlink" Target="https://fbref.com/en/country/SWE/Sweden-Football" TargetMode="External"/><Relationship Id="rId1242" Type="http://schemas.openxmlformats.org/officeDocument/2006/relationships/hyperlink" Target="https://fbref.com/en/squads/a8481ab9/2024/Vasteras-Stats" TargetMode="External"/><Relationship Id="rId410" Type="http://schemas.openxmlformats.org/officeDocument/2006/relationships/hyperlink" Target="https://fbref.com/en/players/7dec0efa/matchlogs/2024/summary/David-Celic-Match-Logs" TargetMode="External"/><Relationship Id="rId894" Type="http://schemas.openxmlformats.org/officeDocument/2006/relationships/hyperlink" Target="https://fbref.com/en/players/ab015921/Linus-Jareteg" TargetMode="External"/><Relationship Id="rId1243" Type="http://schemas.openxmlformats.org/officeDocument/2006/relationships/hyperlink" Target="https://fbref.com/en/players/7bdc5696/matchlogs/2024/summary/Jens-Magnusson-Match-Logs" TargetMode="External"/><Relationship Id="rId893" Type="http://schemas.openxmlformats.org/officeDocument/2006/relationships/hyperlink" Target="https://fbref.com/en/players/9db24d24/matchlogs/2024/summary/Sigge-Jansson-Match-Logs" TargetMode="External"/><Relationship Id="rId1244" Type="http://schemas.openxmlformats.org/officeDocument/2006/relationships/hyperlink" Target="https://fbref.com/en/players/4ee36b23/Elison-Makolli" TargetMode="External"/><Relationship Id="rId892" Type="http://schemas.openxmlformats.org/officeDocument/2006/relationships/hyperlink" Target="https://fbref.com/en/squads/8774e267/2024/BK-Hacken-Stats" TargetMode="External"/><Relationship Id="rId1245" Type="http://schemas.openxmlformats.org/officeDocument/2006/relationships/hyperlink" Target="https://fbref.com/en/country/SWE/Sweden-Football" TargetMode="External"/><Relationship Id="rId1279" Type="http://schemas.openxmlformats.org/officeDocument/2006/relationships/hyperlink" Target="https://fbref.com/en/players/efd84678/matchlogs/2024/summary/Noel-Milleskog-Match-Logs" TargetMode="External"/><Relationship Id="rId448" Type="http://schemas.openxmlformats.org/officeDocument/2006/relationships/hyperlink" Target="https://fbref.com/en/country/SWE/Sweden-Football" TargetMode="External"/><Relationship Id="rId447" Type="http://schemas.openxmlformats.org/officeDocument/2006/relationships/hyperlink" Target="https://fbref.com/en/players/0b6360b0/Jack-Cooper-Love" TargetMode="External"/><Relationship Id="rId446" Type="http://schemas.openxmlformats.org/officeDocument/2006/relationships/hyperlink" Target="https://fbref.com/en/players/9b6a4927/matchlogs/2024/summary/Dennis-Collander-Match-Logs" TargetMode="External"/><Relationship Id="rId445" Type="http://schemas.openxmlformats.org/officeDocument/2006/relationships/hyperlink" Target="https://fbref.com/en/squads/92bfd7f0/2024/Hammarby-Stats" TargetMode="External"/><Relationship Id="rId449" Type="http://schemas.openxmlformats.org/officeDocument/2006/relationships/hyperlink" Target="https://fbref.com/en/squads/7c2d1adb/2024/GAIS-Stats" TargetMode="External"/><Relationship Id="rId1270" Type="http://schemas.openxmlformats.org/officeDocument/2006/relationships/hyperlink" Target="https://fbref.com/en/squads/bb9e11b2/2024/Brommapojkarna-Stats" TargetMode="External"/><Relationship Id="rId440" Type="http://schemas.openxmlformats.org/officeDocument/2006/relationships/hyperlink" Target="https://fbref.com/en/country/DEN/Denmark-Football" TargetMode="External"/><Relationship Id="rId1271" Type="http://schemas.openxmlformats.org/officeDocument/2006/relationships/hyperlink" Target="https://fbref.com/en/players/9d1aeaa6/matchlogs/2024/summary/Serge-Junior-Martinsson-Ngouali-Match-Logs" TargetMode="External"/><Relationship Id="rId1272" Type="http://schemas.openxmlformats.org/officeDocument/2006/relationships/hyperlink" Target="https://fbref.com/en/players/a8b5d05a/David-Mikhail" TargetMode="External"/><Relationship Id="rId1273" Type="http://schemas.openxmlformats.org/officeDocument/2006/relationships/hyperlink" Target="https://fbref.com/en/country/SWE/Sweden-Football" TargetMode="External"/><Relationship Id="rId1274" Type="http://schemas.openxmlformats.org/officeDocument/2006/relationships/hyperlink" Target="https://fbref.com/en/squads/d048ed60/2024/Varnamo-Stats" TargetMode="External"/><Relationship Id="rId444" Type="http://schemas.openxmlformats.org/officeDocument/2006/relationships/hyperlink" Target="https://fbref.com/en/country/SWE/Sweden-Football" TargetMode="External"/><Relationship Id="rId1275" Type="http://schemas.openxmlformats.org/officeDocument/2006/relationships/hyperlink" Target="https://fbref.com/en/players/a8b5d05a/matchlogs/2024/summary/David-Mikhail-Match-Logs" TargetMode="External"/><Relationship Id="rId443" Type="http://schemas.openxmlformats.org/officeDocument/2006/relationships/hyperlink" Target="https://fbref.com/en/players/9b6a4927/Dennis-Collander" TargetMode="External"/><Relationship Id="rId1276" Type="http://schemas.openxmlformats.org/officeDocument/2006/relationships/hyperlink" Target="https://fbref.com/en/players/efd84678/Noel-Milleskog" TargetMode="External"/><Relationship Id="rId442" Type="http://schemas.openxmlformats.org/officeDocument/2006/relationships/hyperlink" Target="https://fbref.com/en/players/a926faf3/matchlogs/2024/summary/Sebastian-Clemmensen-Match-Logs" TargetMode="External"/><Relationship Id="rId1277" Type="http://schemas.openxmlformats.org/officeDocument/2006/relationships/hyperlink" Target="https://fbref.com/en/country/SWE/Sweden-Football" TargetMode="External"/><Relationship Id="rId441" Type="http://schemas.openxmlformats.org/officeDocument/2006/relationships/hyperlink" Target="https://fbref.com/en/squads/92bfd7f0/2024/Hammarby-Stats" TargetMode="External"/><Relationship Id="rId1278" Type="http://schemas.openxmlformats.org/officeDocument/2006/relationships/hyperlink" Target="https://fbref.com/en/squads/e9d60d0c/2024/Sirius-Stats" TargetMode="External"/><Relationship Id="rId1268" Type="http://schemas.openxmlformats.org/officeDocument/2006/relationships/hyperlink" Target="https://fbref.com/en/players/9d1aeaa6/Serge-Junior-Martinsson-Ngouali" TargetMode="External"/><Relationship Id="rId1269" Type="http://schemas.openxmlformats.org/officeDocument/2006/relationships/hyperlink" Target="https://fbref.com/en/country/GAB/Gabon-Football" TargetMode="External"/><Relationship Id="rId437" Type="http://schemas.openxmlformats.org/officeDocument/2006/relationships/hyperlink" Target="https://fbref.com/en/squads/f3d8c8b9/2024/Malmo-Stats" TargetMode="External"/><Relationship Id="rId436" Type="http://schemas.openxmlformats.org/officeDocument/2006/relationships/hyperlink" Target="https://fbref.com/en/country/DEN/Denmark-Football" TargetMode="External"/><Relationship Id="rId435" Type="http://schemas.openxmlformats.org/officeDocument/2006/relationships/hyperlink" Target="https://fbref.com/en/players/770ebf00/Anders-Christiansen" TargetMode="External"/><Relationship Id="rId434" Type="http://schemas.openxmlformats.org/officeDocument/2006/relationships/hyperlink" Target="https://fbref.com/en/players/a112ab29/matchlogs/2024/summary/Frederik-Christensen-Match-Logs" TargetMode="External"/><Relationship Id="rId439" Type="http://schemas.openxmlformats.org/officeDocument/2006/relationships/hyperlink" Target="https://fbref.com/en/players/a926faf3/Sebastian-Clemmensen" TargetMode="External"/><Relationship Id="rId438" Type="http://schemas.openxmlformats.org/officeDocument/2006/relationships/hyperlink" Target="https://fbref.com/en/players/770ebf00/matchlogs/2024/summary/Anders-Christiansen-Match-Logs" TargetMode="External"/><Relationship Id="rId1260" Type="http://schemas.openxmlformats.org/officeDocument/2006/relationships/hyperlink" Target="https://fbref.com/en/players/01802cf6/Mikael-Marques" TargetMode="External"/><Relationship Id="rId1261" Type="http://schemas.openxmlformats.org/officeDocument/2006/relationships/hyperlink" Target="https://fbref.com/en/country/SWE/Sweden-Football" TargetMode="External"/><Relationship Id="rId1262" Type="http://schemas.openxmlformats.org/officeDocument/2006/relationships/hyperlink" Target="https://fbref.com/en/squads/a8481ab9/2024/Vasteras-Stats" TargetMode="External"/><Relationship Id="rId1263" Type="http://schemas.openxmlformats.org/officeDocument/2006/relationships/hyperlink" Target="https://fbref.com/en/players/01802cf6/matchlogs/2024/summary/Mikael-Marques-Match-Logs" TargetMode="External"/><Relationship Id="rId433" Type="http://schemas.openxmlformats.org/officeDocument/2006/relationships/hyperlink" Target="https://fbref.com/en/squads/bb9e11b2/2024/Brommapojkarna-Stats" TargetMode="External"/><Relationship Id="rId1264" Type="http://schemas.openxmlformats.org/officeDocument/2006/relationships/hyperlink" Target="https://fbref.com/en/players/e69be56a/Michael-Martin" TargetMode="External"/><Relationship Id="rId432" Type="http://schemas.openxmlformats.org/officeDocument/2006/relationships/hyperlink" Target="https://fbref.com/en/country/DEN/Denmark-Football" TargetMode="External"/><Relationship Id="rId1265" Type="http://schemas.openxmlformats.org/officeDocument/2006/relationships/hyperlink" Target="https://fbref.com/en/country/GER/Germany-Football" TargetMode="External"/><Relationship Id="rId431" Type="http://schemas.openxmlformats.org/officeDocument/2006/relationships/hyperlink" Target="https://fbref.com/en/players/a112ab29/Frederik-Christensen" TargetMode="External"/><Relationship Id="rId1266" Type="http://schemas.openxmlformats.org/officeDocument/2006/relationships/hyperlink" Target="https://fbref.com/en/squads/e9d60d0c/2024/Sirius-Stats" TargetMode="External"/><Relationship Id="rId430" Type="http://schemas.openxmlformats.org/officeDocument/2006/relationships/hyperlink" Target="https://fbref.com/en/players/b7b27de0/matchlogs/2024/summary/Edward-Chilufya-Match-Logs" TargetMode="External"/><Relationship Id="rId1267" Type="http://schemas.openxmlformats.org/officeDocument/2006/relationships/hyperlink" Target="https://fbref.com/en/players/e69be56a/matchlogs/2024/summary/Michael-Martin-Match-Logs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country/SWE/Sweden-Football" TargetMode="External"/><Relationship Id="rId391" Type="http://schemas.openxmlformats.org/officeDocument/2006/relationships/hyperlink" Target="https://fbref.com/en/players/0cc5e712/Hussein-Carneil" TargetMode="External"/><Relationship Id="rId390" Type="http://schemas.openxmlformats.org/officeDocument/2006/relationships/hyperlink" Target="https://fbref.com/en/players/36b9ab20/matchlogs/2024/summary/Linus-Carlstrand-Match-Logs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2024/Malmo-Stats" TargetMode="External"/><Relationship Id="rId4" Type="http://schemas.openxmlformats.org/officeDocument/2006/relationships/hyperlink" Target="https://fbref.com/en/players/da4b8a4e/matchlogs/2024/summary/Taha-Abdi-Ali-Match-Logs" TargetMode="External"/><Relationship Id="rId9" Type="http://schemas.openxmlformats.org/officeDocument/2006/relationships/hyperlink" Target="https://fbref.com/en/players/44e4dfab/Jalal-Abdulai" TargetMode="External"/><Relationship Id="rId385" Type="http://schemas.openxmlformats.org/officeDocument/2006/relationships/hyperlink" Target="https://fbref.com/en/squads/ef1ab26a/2024/Goteborg-Stats" TargetMode="External"/><Relationship Id="rId384" Type="http://schemas.openxmlformats.org/officeDocument/2006/relationships/hyperlink" Target="https://fbref.com/en/country/SWE/Sweden-Football" TargetMode="External"/><Relationship Id="rId383" Type="http://schemas.openxmlformats.org/officeDocument/2006/relationships/hyperlink" Target="https://fbref.com/en/players/5d2dd3fd/Adam-Carlen" TargetMode="External"/><Relationship Id="rId382" Type="http://schemas.openxmlformats.org/officeDocument/2006/relationships/hyperlink" Target="https://fbref.com/en/players/6e00b323/matchlogs/2024/summary/Anes-Cardaklija-Match-Logs" TargetMode="External"/><Relationship Id="rId5" Type="http://schemas.openxmlformats.org/officeDocument/2006/relationships/hyperlink" Target="https://fbref.com/en/players/e6f2ccc2/Jabir-Abdihakim" TargetMode="External"/><Relationship Id="rId389" Type="http://schemas.openxmlformats.org/officeDocument/2006/relationships/hyperlink" Target="https://fbref.com/en/squads/ef1ab26a/2024/Goteborg-Stats" TargetMode="External"/><Relationship Id="rId6" Type="http://schemas.openxmlformats.org/officeDocument/2006/relationships/hyperlink" Target="https://fbref.com/en/country/DJI/Djibouti-Football" TargetMode="External"/><Relationship Id="rId388" Type="http://schemas.openxmlformats.org/officeDocument/2006/relationships/hyperlink" Target="https://fbref.com/en/country/SWE/Sweden-Football" TargetMode="External"/><Relationship Id="rId7" Type="http://schemas.openxmlformats.org/officeDocument/2006/relationships/hyperlink" Target="https://fbref.com/en/squads/a8481ab9/2024/Vasteras-Stats" TargetMode="External"/><Relationship Id="rId387" Type="http://schemas.openxmlformats.org/officeDocument/2006/relationships/hyperlink" Target="https://fbref.com/en/players/36b9ab20/Linus-Carlstrand" TargetMode="External"/><Relationship Id="rId8" Type="http://schemas.openxmlformats.org/officeDocument/2006/relationships/hyperlink" Target="https://fbref.com/en/players/e6f2ccc2/matchlogs/2024/summary/Jabir-Abdihakim-Match-Logs" TargetMode="External"/><Relationship Id="rId386" Type="http://schemas.openxmlformats.org/officeDocument/2006/relationships/hyperlink" Target="https://fbref.com/en/players/5d2dd3fd/matchlogs/2024/summary/Adam-Carlen-Match-Logs" TargetMode="External"/><Relationship Id="rId381" Type="http://schemas.openxmlformats.org/officeDocument/2006/relationships/hyperlink" Target="https://fbref.com/en/squads/7c2d1adb/2024/GAIS-Stats" TargetMode="External"/><Relationship Id="rId380" Type="http://schemas.openxmlformats.org/officeDocument/2006/relationships/hyperlink" Target="https://fbref.com/en/country/BIH/Bosnia-and-Herzegovina-Football" TargetMode="External"/><Relationship Id="rId379" Type="http://schemas.openxmlformats.org/officeDocument/2006/relationships/hyperlink" Target="https://fbref.com/en/players/6e00b323/Anes-Cardaklija" TargetMode="External"/><Relationship Id="rId374" Type="http://schemas.openxmlformats.org/officeDocument/2006/relationships/hyperlink" Target="https://fbref.com/en/players/dd78642f/matchlogs/2024/summary/Mario-Butros-Match-Logs" TargetMode="External"/><Relationship Id="rId373" Type="http://schemas.openxmlformats.org/officeDocument/2006/relationships/hyperlink" Target="https://fbref.com/en/squads/bb9e11b2/2024/Brommapojkarna-Stats" TargetMode="External"/><Relationship Id="rId372" Type="http://schemas.openxmlformats.org/officeDocument/2006/relationships/hyperlink" Target="https://fbref.com/en/country/SWE/Sweden-Football" TargetMode="External"/><Relationship Id="rId371" Type="http://schemas.openxmlformats.org/officeDocument/2006/relationships/hyperlink" Target="https://fbref.com/en/players/dd78642f/Mario-Butros" TargetMode="External"/><Relationship Id="rId378" Type="http://schemas.openxmlformats.org/officeDocument/2006/relationships/hyperlink" Target="https://fbref.com/en/players/b33fa7ce/matchlogs/2024/summary/Andre-Calisir-Match-Logs" TargetMode="External"/><Relationship Id="rId377" Type="http://schemas.openxmlformats.org/officeDocument/2006/relationships/hyperlink" Target="https://fbref.com/en/squads/bb9e11b2/2024/Brommapojkarna-Stats" TargetMode="External"/><Relationship Id="rId376" Type="http://schemas.openxmlformats.org/officeDocument/2006/relationships/hyperlink" Target="https://fbref.com/en/country/ARM/Armenia-Football" TargetMode="External"/><Relationship Id="rId375" Type="http://schemas.openxmlformats.org/officeDocument/2006/relationships/hyperlink" Target="https://fbref.com/en/players/b33fa7ce/Andre-Calisir" TargetMode="External"/><Relationship Id="rId396" Type="http://schemas.openxmlformats.org/officeDocument/2006/relationships/hyperlink" Target="https://fbref.com/en/country/SWE/Sweden-Football" TargetMode="External"/><Relationship Id="rId395" Type="http://schemas.openxmlformats.org/officeDocument/2006/relationships/hyperlink" Target="https://fbref.com/en/players/ba20d6d1/Henrik-Castegren" TargetMode="External"/><Relationship Id="rId394" Type="http://schemas.openxmlformats.org/officeDocument/2006/relationships/hyperlink" Target="https://fbref.com/en/players/0cc5e712/matchlogs/2024/summary/Hussein-Carneil-Match-Logs" TargetMode="External"/><Relationship Id="rId393" Type="http://schemas.openxmlformats.org/officeDocument/2006/relationships/hyperlink" Target="https://fbref.com/en/squads/ef1ab26a/2024/Goteborg-Stats" TargetMode="External"/><Relationship Id="rId399" Type="http://schemas.openxmlformats.org/officeDocument/2006/relationships/hyperlink" Target="https://fbref.com/en/players/606c9990/Jesper-Ceesay" TargetMode="External"/><Relationship Id="rId398" Type="http://schemas.openxmlformats.org/officeDocument/2006/relationships/hyperlink" Target="https://fbref.com/en/players/ba20d6d1/matchlogs/2024/summary/Henrik-Castegren-Match-Logs" TargetMode="External"/><Relationship Id="rId397" Type="http://schemas.openxmlformats.org/officeDocument/2006/relationships/hyperlink" Target="https://fbref.com/en/squads/e9d60d0c/2024/Sirius-Stats" TargetMode="External"/><Relationship Id="rId1730" Type="http://schemas.openxmlformats.org/officeDocument/2006/relationships/hyperlink" Target="https://fbref.com/en/players/0c574b7f/Adrian-Skogmar" TargetMode="External"/><Relationship Id="rId1731" Type="http://schemas.openxmlformats.org/officeDocument/2006/relationships/hyperlink" Target="https://fbref.com/en/country/SWE/Sweden-Football" TargetMode="External"/><Relationship Id="rId1732" Type="http://schemas.openxmlformats.org/officeDocument/2006/relationships/hyperlink" Target="https://fbref.com/en/squads/f3d8c8b9/2024/Malmo-Stats" TargetMode="External"/><Relationship Id="rId1733" Type="http://schemas.openxmlformats.org/officeDocument/2006/relationships/hyperlink" Target="https://fbref.com/en/players/0c574b7f/matchlogs/2024/summary/Adrian-Skogmar-Match-Logs" TargetMode="External"/><Relationship Id="rId1734" Type="http://schemas.openxmlformats.org/officeDocument/2006/relationships/hyperlink" Target="https://fbref.com/en/players/45af5134/Simon-Skrabb" TargetMode="External"/><Relationship Id="rId1735" Type="http://schemas.openxmlformats.org/officeDocument/2006/relationships/hyperlink" Target="https://fbref.com/en/country/FIN/Finland-Football" TargetMode="External"/><Relationship Id="rId1736" Type="http://schemas.openxmlformats.org/officeDocument/2006/relationships/hyperlink" Target="https://fbref.com/en/squads/9f13771c/2024/Kalmar-Stats" TargetMode="External"/><Relationship Id="rId1737" Type="http://schemas.openxmlformats.org/officeDocument/2006/relationships/hyperlink" Target="https://fbref.com/en/players/45af5134/matchlogs/2024/summary/Simon-Skrabb-Match-Logs" TargetMode="External"/><Relationship Id="rId1738" Type="http://schemas.openxmlformats.org/officeDocument/2006/relationships/hyperlink" Target="https://fbref.com/en/players/9e1ca579/Floris-Smand" TargetMode="External"/><Relationship Id="rId1739" Type="http://schemas.openxmlformats.org/officeDocument/2006/relationships/hyperlink" Target="https://fbref.com/en/country/NED/Netherlands-Football" TargetMode="External"/><Relationship Id="rId1720" Type="http://schemas.openxmlformats.org/officeDocument/2006/relationships/hyperlink" Target="https://fbref.com/en/squads/9f13771c/2024/Kalmar-Stats" TargetMode="External"/><Relationship Id="rId1721" Type="http://schemas.openxmlformats.org/officeDocument/2006/relationships/hyperlink" Target="https://fbref.com/en/players/b8b8b314/matchlogs/2024/summary/Rasmus-Sjostedt-Match-Logs" TargetMode="External"/><Relationship Id="rId1722" Type="http://schemas.openxmlformats.org/officeDocument/2006/relationships/hyperlink" Target="https://fbref.com/en/players/5f2d3485/Laurs-Skjellerup" TargetMode="External"/><Relationship Id="rId1723" Type="http://schemas.openxmlformats.org/officeDocument/2006/relationships/hyperlink" Target="https://fbref.com/en/country/DEN/Denmark-Football" TargetMode="External"/><Relationship Id="rId1724" Type="http://schemas.openxmlformats.org/officeDocument/2006/relationships/hyperlink" Target="https://fbref.com/en/squads/ef1ab26a/2024/Goteborg-Stats" TargetMode="External"/><Relationship Id="rId1725" Type="http://schemas.openxmlformats.org/officeDocument/2006/relationships/hyperlink" Target="https://fbref.com/en/players/5f2d3485/matchlogs/2024/summary/Laurs-Skjellerup-Match-Logs" TargetMode="External"/><Relationship Id="rId1726" Type="http://schemas.openxmlformats.org/officeDocument/2006/relationships/hyperlink" Target="https://fbref.com/en/players/ce650991/Hampus-Skoglund" TargetMode="External"/><Relationship Id="rId1727" Type="http://schemas.openxmlformats.org/officeDocument/2006/relationships/hyperlink" Target="https://fbref.com/en/country/SWE/Sweden-Football" TargetMode="External"/><Relationship Id="rId1728" Type="http://schemas.openxmlformats.org/officeDocument/2006/relationships/hyperlink" Target="https://fbref.com/en/squads/92bfd7f0/2024/Hammarby-Stats" TargetMode="External"/><Relationship Id="rId1729" Type="http://schemas.openxmlformats.org/officeDocument/2006/relationships/hyperlink" Target="https://fbref.com/en/players/ce650991/matchlogs/2024/summary/Hampus-Skoglund-Match-Logs" TargetMode="External"/><Relationship Id="rId1752" Type="http://schemas.openxmlformats.org/officeDocument/2006/relationships/hyperlink" Target="https://fbref.com/en/squads/50e85bfc/2024/Elfsborg-Stats" TargetMode="External"/><Relationship Id="rId1753" Type="http://schemas.openxmlformats.org/officeDocument/2006/relationships/hyperlink" Target="https://fbref.com/en/players/23562628/matchlogs/2024/summary/Noah-Soderberg-Match-Logs" TargetMode="External"/><Relationship Id="rId1754" Type="http://schemas.openxmlformats.org/officeDocument/2006/relationships/hyperlink" Target="https://fbref.com/en/players/f162adb9/Tim-Soderstrom" TargetMode="External"/><Relationship Id="rId1755" Type="http://schemas.openxmlformats.org/officeDocument/2006/relationships/hyperlink" Target="https://fbref.com/en/country/SWE/Sweden-Football" TargetMode="External"/><Relationship Id="rId1756" Type="http://schemas.openxmlformats.org/officeDocument/2006/relationships/hyperlink" Target="https://fbref.com/en/squads/bb9e11b2/2024/Brommapojkarna-Stats" TargetMode="External"/><Relationship Id="rId1757" Type="http://schemas.openxmlformats.org/officeDocument/2006/relationships/hyperlink" Target="https://fbref.com/en/players/f162adb9/matchlogs/2024/summary/Tim-Soderstrom-Match-Logs" TargetMode="External"/><Relationship Id="rId1758" Type="http://schemas.openxmlformats.org/officeDocument/2006/relationships/hyperlink" Target="https://fbref.com/en/players/774dc73f/Amadeus-Sogaard" TargetMode="External"/><Relationship Id="rId1759" Type="http://schemas.openxmlformats.org/officeDocument/2006/relationships/hyperlink" Target="https://fbref.com/en/country/SWE/Sweden-Football" TargetMode="External"/><Relationship Id="rId808" Type="http://schemas.openxmlformats.org/officeDocument/2006/relationships/hyperlink" Target="https://fbref.com/en/squads/50e85bfc/2024/Elfsborg-Stats" TargetMode="External"/><Relationship Id="rId807" Type="http://schemas.openxmlformats.org/officeDocument/2006/relationships/hyperlink" Target="https://fbref.com/en/country/SWE/Sweden-Football" TargetMode="External"/><Relationship Id="rId806" Type="http://schemas.openxmlformats.org/officeDocument/2006/relationships/hyperlink" Target="https://fbref.com/en/players/497228f9/Niklas-Hult" TargetMode="External"/><Relationship Id="rId805" Type="http://schemas.openxmlformats.org/officeDocument/2006/relationships/hyperlink" Target="https://fbref.com/en/players/856eefa6/matchlogs/2024/summary/Srdjan-Hrstic-Match-Logs" TargetMode="External"/><Relationship Id="rId809" Type="http://schemas.openxmlformats.org/officeDocument/2006/relationships/hyperlink" Target="https://fbref.com/en/players/497228f9/matchlogs/2024/summary/Niklas-Hult-Match-Logs" TargetMode="External"/><Relationship Id="rId800" Type="http://schemas.openxmlformats.org/officeDocument/2006/relationships/hyperlink" Target="https://fbref.com/en/squads/8774e267/2024/BK-Hacken-Stats" TargetMode="External"/><Relationship Id="rId804" Type="http://schemas.openxmlformats.org/officeDocument/2006/relationships/hyperlink" Target="https://fbref.com/en/squads/8774e267/2024/BK-Hacken-Stats" TargetMode="External"/><Relationship Id="rId803" Type="http://schemas.openxmlformats.org/officeDocument/2006/relationships/hyperlink" Target="https://fbref.com/en/country/SRB/Serbia-Football" TargetMode="External"/><Relationship Id="rId802" Type="http://schemas.openxmlformats.org/officeDocument/2006/relationships/hyperlink" Target="https://fbref.com/en/players/856eefa6/Srdjan-Hrstic" TargetMode="External"/><Relationship Id="rId801" Type="http://schemas.openxmlformats.org/officeDocument/2006/relationships/hyperlink" Target="https://fbref.com/en/players/d1fea02e/matchlogs/2024/summary/Even-Hovland-Match-Logs" TargetMode="External"/><Relationship Id="rId1750" Type="http://schemas.openxmlformats.org/officeDocument/2006/relationships/hyperlink" Target="https://fbref.com/en/players/23562628/Noah-Soderberg" TargetMode="External"/><Relationship Id="rId1751" Type="http://schemas.openxmlformats.org/officeDocument/2006/relationships/hyperlink" Target="https://fbref.com/en/country/SWE/Sweden-Football" TargetMode="External"/><Relationship Id="rId1741" Type="http://schemas.openxmlformats.org/officeDocument/2006/relationships/hyperlink" Target="https://fbref.com/en/players/9e1ca579/matchlogs/2024/summary/Floris-Smand-Match-Logs" TargetMode="External"/><Relationship Id="rId1742" Type="http://schemas.openxmlformats.org/officeDocument/2006/relationships/hyperlink" Target="https://fbref.com/en/players/e3372668/Eskil-Smidesang-Edh" TargetMode="External"/><Relationship Id="rId1743" Type="http://schemas.openxmlformats.org/officeDocument/2006/relationships/hyperlink" Target="https://fbref.com/en/country/NOR/Norway-Football" TargetMode="External"/><Relationship Id="rId1744" Type="http://schemas.openxmlformats.org/officeDocument/2006/relationships/hyperlink" Target="https://fbref.com/en/squads/b0333581/2024/AIK-Stockholm-Stats" TargetMode="External"/><Relationship Id="rId1745" Type="http://schemas.openxmlformats.org/officeDocument/2006/relationships/hyperlink" Target="https://fbref.com/en/players/e3372668/matchlogs/2024/summary/Eskil-Smidesang-Edh-Match-Logs" TargetMode="External"/><Relationship Id="rId1746" Type="http://schemas.openxmlformats.org/officeDocument/2006/relationships/hyperlink" Target="https://fbref.com/en/players/23562628/Noah-Soderberg" TargetMode="External"/><Relationship Id="rId1747" Type="http://schemas.openxmlformats.org/officeDocument/2006/relationships/hyperlink" Target="https://fbref.com/en/country/SWE/Sweden-Football" TargetMode="External"/><Relationship Id="rId1748" Type="http://schemas.openxmlformats.org/officeDocument/2006/relationships/hyperlink" Target="https://fbref.com/en/squads/17366e53/2024/Halmstad-Stats" TargetMode="External"/><Relationship Id="rId1749" Type="http://schemas.openxmlformats.org/officeDocument/2006/relationships/hyperlink" Target="https://fbref.com/en/players/23562628/matchlogs/2024/summary/Noah-Soderberg-Match-Logs" TargetMode="External"/><Relationship Id="rId1740" Type="http://schemas.openxmlformats.org/officeDocument/2006/relationships/hyperlink" Target="https://fbref.com/en/squads/a8481ab9/2024/Vasteras-Stats" TargetMode="External"/><Relationship Id="rId1710" Type="http://schemas.openxmlformats.org/officeDocument/2006/relationships/hyperlink" Target="https://fbref.com/en/players/f5ea4560/Herman-Sjogrell" TargetMode="External"/><Relationship Id="rId1711" Type="http://schemas.openxmlformats.org/officeDocument/2006/relationships/hyperlink" Target="https://fbref.com/en/country/SWE/Sweden-Football" TargetMode="External"/><Relationship Id="rId1712" Type="http://schemas.openxmlformats.org/officeDocument/2006/relationships/hyperlink" Target="https://fbref.com/en/squads/e9d60d0c/2024/Sirius-Stats" TargetMode="External"/><Relationship Id="rId1713" Type="http://schemas.openxmlformats.org/officeDocument/2006/relationships/hyperlink" Target="https://fbref.com/en/players/f5ea4560/matchlogs/2024/summary/Herman-Sjogrell-Match-Logs" TargetMode="External"/><Relationship Id="rId1714" Type="http://schemas.openxmlformats.org/officeDocument/2006/relationships/hyperlink" Target="https://fbref.com/en/players/10fe6c1d/Simon-Sjoholm" TargetMode="External"/><Relationship Id="rId1715" Type="http://schemas.openxmlformats.org/officeDocument/2006/relationships/hyperlink" Target="https://fbref.com/en/country/SWE/Sweden-Football" TargetMode="External"/><Relationship Id="rId1716" Type="http://schemas.openxmlformats.org/officeDocument/2006/relationships/hyperlink" Target="https://fbref.com/en/squads/7c2d1adb/2024/GAIS-Stats" TargetMode="External"/><Relationship Id="rId1717" Type="http://schemas.openxmlformats.org/officeDocument/2006/relationships/hyperlink" Target="https://fbref.com/en/players/10fe6c1d/matchlogs/2024/summary/Simon-Sjoholm-Match-Logs" TargetMode="External"/><Relationship Id="rId1718" Type="http://schemas.openxmlformats.org/officeDocument/2006/relationships/hyperlink" Target="https://fbref.com/en/players/b8b8b314/Rasmus-Sjostedt" TargetMode="External"/><Relationship Id="rId1719" Type="http://schemas.openxmlformats.org/officeDocument/2006/relationships/hyperlink" Target="https://fbref.com/en/country/SWE/Sweden-Football" TargetMode="External"/><Relationship Id="rId1700" Type="http://schemas.openxmlformats.org/officeDocument/2006/relationships/hyperlink" Target="https://fbref.com/en/squads/b0333581/2024/AIK-Stockholm-Stats" TargetMode="External"/><Relationship Id="rId1701" Type="http://schemas.openxmlformats.org/officeDocument/2006/relationships/hyperlink" Target="https://fbref.com/en/players/2934dd4e/matchlogs/2024/summary/Collins-Sichenje-Match-Logs" TargetMode="External"/><Relationship Id="rId1702" Type="http://schemas.openxmlformats.org/officeDocument/2006/relationships/hyperlink" Target="https://fbref.com/en/players/c94b4d28/Filip-Sidklev" TargetMode="External"/><Relationship Id="rId1703" Type="http://schemas.openxmlformats.org/officeDocument/2006/relationships/hyperlink" Target="https://fbref.com/en/country/SWE/Sweden-Football" TargetMode="External"/><Relationship Id="rId1704" Type="http://schemas.openxmlformats.org/officeDocument/2006/relationships/hyperlink" Target="https://fbref.com/en/squads/bb9e11b2/2024/Brommapojkarna-Stats" TargetMode="External"/><Relationship Id="rId1705" Type="http://schemas.openxmlformats.org/officeDocument/2006/relationships/hyperlink" Target="https://fbref.com/en/players/c94b4d28/matchlogs/2024/summary/Filip-Sidklev-Match-Logs" TargetMode="External"/><Relationship Id="rId1706" Type="http://schemas.openxmlformats.org/officeDocument/2006/relationships/hyperlink" Target="https://fbref.com/en/players/7b21750a/Kees-Sims" TargetMode="External"/><Relationship Id="rId1707" Type="http://schemas.openxmlformats.org/officeDocument/2006/relationships/hyperlink" Target="https://fbref.com/en/country/NZL/New-Zealand-Football" TargetMode="External"/><Relationship Id="rId1708" Type="http://schemas.openxmlformats.org/officeDocument/2006/relationships/hyperlink" Target="https://fbref.com/en/squads/7c2d1adb/2024/GAIS-Stats" TargetMode="External"/><Relationship Id="rId1709" Type="http://schemas.openxmlformats.org/officeDocument/2006/relationships/hyperlink" Target="https://fbref.com/en/players/7b21750a/matchlogs/2024/summary/Kees-Sims-Match-Logs" TargetMode="External"/><Relationship Id="rId40" Type="http://schemas.openxmlformats.org/officeDocument/2006/relationships/hyperlink" Target="https://fbref.com/en/players/3d6aaa54/matchlogs/2024/summary/Jeremy-Agbonifo-Match-Logs" TargetMode="External"/><Relationship Id="rId1334" Type="http://schemas.openxmlformats.org/officeDocument/2006/relationships/hyperlink" Target="https://fbref.com/en/squads/d048ed60/2024/Varnamo-Stats" TargetMode="External"/><Relationship Id="rId1335" Type="http://schemas.openxmlformats.org/officeDocument/2006/relationships/hyperlink" Target="https://fbref.com/en/players/687b2185/matchlogs/2024/summary/Hampus-Nasstrom-Match-Logs" TargetMode="External"/><Relationship Id="rId42" Type="http://schemas.openxmlformats.org/officeDocument/2006/relationships/hyperlink" Target="https://fbref.com/en/country/CIV/Cote-dIvoire-Football" TargetMode="External"/><Relationship Id="rId1336" Type="http://schemas.openxmlformats.org/officeDocument/2006/relationships/hyperlink" Target="https://fbref.com/en/players/f440d45f/Moutaz-Neffati" TargetMode="External"/><Relationship Id="rId41" Type="http://schemas.openxmlformats.org/officeDocument/2006/relationships/hyperlink" Target="https://fbref.com/en/players/bc5fc7b6/Yannick-Agnero" TargetMode="External"/><Relationship Id="rId1337" Type="http://schemas.openxmlformats.org/officeDocument/2006/relationships/hyperlink" Target="https://fbref.com/en/country/TUN/Tunisia-Football" TargetMode="External"/><Relationship Id="rId44" Type="http://schemas.openxmlformats.org/officeDocument/2006/relationships/hyperlink" Target="https://fbref.com/en/players/bc5fc7b6/matchlogs/2024/summary/Yannick-Agnero-Match-Logs" TargetMode="External"/><Relationship Id="rId1338" Type="http://schemas.openxmlformats.org/officeDocument/2006/relationships/hyperlink" Target="https://fbref.com/en/squads/1d0836d6/2024/Norrkoping-Stats" TargetMode="External"/><Relationship Id="rId43" Type="http://schemas.openxmlformats.org/officeDocument/2006/relationships/hyperlink" Target="https://fbref.com/en/squads/17366e53/2024/Halmstad-Stats" TargetMode="External"/><Relationship Id="rId1339" Type="http://schemas.openxmlformats.org/officeDocument/2006/relationships/hyperlink" Target="https://fbref.com/en/players/f440d45f/matchlogs/2024/summary/Moutaz-Neffati-Match-Log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276735dd/Alexander-Ahl-Holmstrom" TargetMode="External"/><Relationship Id="rId745" Type="http://schemas.openxmlformats.org/officeDocument/2006/relationships/hyperlink" Target="https://fbref.com/en/players/2cc1e1c8/matchlogs/2024/summary/Emin-Hasic-Match-Logs" TargetMode="External"/><Relationship Id="rId744" Type="http://schemas.openxmlformats.org/officeDocument/2006/relationships/hyperlink" Target="https://fbref.com/en/squads/d048ed60/2024/Varnamo-Stats" TargetMode="External"/><Relationship Id="rId743" Type="http://schemas.openxmlformats.org/officeDocument/2006/relationships/hyperlink" Target="https://fbref.com/en/country/SWE/Sweden-Football" TargetMode="External"/><Relationship Id="rId742" Type="http://schemas.openxmlformats.org/officeDocument/2006/relationships/hyperlink" Target="https://fbref.com/en/players/2cc1e1c8/Emin-Hasic" TargetMode="External"/><Relationship Id="rId749" Type="http://schemas.openxmlformats.org/officeDocument/2006/relationships/hyperlink" Target="https://fbref.com/en/players/5ba8a86b/matchlogs/2024/summary/Sebastian-Hausner-Match-Logs" TargetMode="External"/><Relationship Id="rId748" Type="http://schemas.openxmlformats.org/officeDocument/2006/relationships/hyperlink" Target="https://fbref.com/en/squads/ef1ab26a/2024/Goteborg-Stats" TargetMode="External"/><Relationship Id="rId747" Type="http://schemas.openxmlformats.org/officeDocument/2006/relationships/hyperlink" Target="https://fbref.com/en/country/DEN/Denmark-Football" TargetMode="External"/><Relationship Id="rId746" Type="http://schemas.openxmlformats.org/officeDocument/2006/relationships/hyperlink" Target="https://fbref.com/en/players/5ba8a86b/Sebastian-Hausner" TargetMode="External"/><Relationship Id="rId48" Type="http://schemas.openxmlformats.org/officeDocument/2006/relationships/hyperlink" Target="https://fbref.com/en/players/276735dd/matchlogs/2024/summary/Alexander-Ahl-Holmstrom-Match-Logs" TargetMode="External"/><Relationship Id="rId47" Type="http://schemas.openxmlformats.org/officeDocument/2006/relationships/hyperlink" Target="https://fbref.com/en/squads/7c2d1adb/2024/GAIS-Stats" TargetMode="External"/><Relationship Id="rId49" Type="http://schemas.openxmlformats.org/officeDocument/2006/relationships/hyperlink" Target="https://fbref.com/en/players/5ea9ebd4/Matteo-Ahlinvi" TargetMode="External"/><Relationship Id="rId741" Type="http://schemas.openxmlformats.org/officeDocument/2006/relationships/hyperlink" Target="https://fbref.com/en/players/84e607b8/matchlogs/2024/summary/Tim-Hartzell-Match-Logs" TargetMode="External"/><Relationship Id="rId1330" Type="http://schemas.openxmlformats.org/officeDocument/2006/relationships/hyperlink" Target="https://fbref.com/en/squads/f3d8c8b9/2024/Malmo-Stats" TargetMode="External"/><Relationship Id="rId740" Type="http://schemas.openxmlformats.org/officeDocument/2006/relationships/hyperlink" Target="https://fbref.com/en/squads/a8481ab9/2024/Vasteras-Stats" TargetMode="External"/><Relationship Id="rId1331" Type="http://schemas.openxmlformats.org/officeDocument/2006/relationships/hyperlink" Target="https://fbref.com/en/players/ce747d2a/matchlogs/2024/summary/Sebastian-Nanasi-Match-Logs" TargetMode="External"/><Relationship Id="rId1332" Type="http://schemas.openxmlformats.org/officeDocument/2006/relationships/hyperlink" Target="https://fbref.com/en/players/687b2185/Hampus-Nasstrom" TargetMode="External"/><Relationship Id="rId1333" Type="http://schemas.openxmlformats.org/officeDocument/2006/relationships/hyperlink" Target="https://fbref.com/en/country/SWE/Sweden-Football" TargetMode="External"/><Relationship Id="rId1323" Type="http://schemas.openxmlformats.org/officeDocument/2006/relationships/hyperlink" Target="https://fbref.com/en/players/4a010ff6/matchlogs/2024/summary/Arbnor-Mucolli-Match-Logs" TargetMode="External"/><Relationship Id="rId1324" Type="http://schemas.openxmlformats.org/officeDocument/2006/relationships/hyperlink" Target="https://fbref.com/en/players/d975595d/Andreas-Murbeck" TargetMode="External"/><Relationship Id="rId31" Type="http://schemas.openxmlformats.org/officeDocument/2006/relationships/hyperlink" Target="https://fbref.com/en/squads/8774e267/2024/BK-Hacken-Stats" TargetMode="External"/><Relationship Id="rId1325" Type="http://schemas.openxmlformats.org/officeDocument/2006/relationships/hyperlink" Target="https://fbref.com/en/country/SWE/Sweden-Football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squads/e9d60d0c/2024/Sirius-Stats" TargetMode="External"/><Relationship Id="rId33" Type="http://schemas.openxmlformats.org/officeDocument/2006/relationships/hyperlink" Target="https://fbref.com/en/players/6586d884/Frank-Adjei-Jnr" TargetMode="External"/><Relationship Id="rId1327" Type="http://schemas.openxmlformats.org/officeDocument/2006/relationships/hyperlink" Target="https://fbref.com/en/players/d975595d/matchlogs/2024/summary/Andreas-Murbeck-Match-Logs" TargetMode="External"/><Relationship Id="rId32" Type="http://schemas.openxmlformats.org/officeDocument/2006/relationships/hyperlink" Target="https://fbref.com/en/players/40e57039/matchlogs/2024/summary/Peter-Abrahamsson-Match-Logs" TargetMode="External"/><Relationship Id="rId1328" Type="http://schemas.openxmlformats.org/officeDocument/2006/relationships/hyperlink" Target="https://fbref.com/en/players/ce747d2a/Sebastian-Nanasi" TargetMode="External"/><Relationship Id="rId35" Type="http://schemas.openxmlformats.org/officeDocument/2006/relationships/hyperlink" Target="https://fbref.com/en/squads/d048ed60/2024/Varnamo-Stats" TargetMode="External"/><Relationship Id="rId1329" Type="http://schemas.openxmlformats.org/officeDocument/2006/relationships/hyperlink" Target="https://fbref.com/en/country/SWE/Sweden-Football" TargetMode="External"/><Relationship Id="rId34" Type="http://schemas.openxmlformats.org/officeDocument/2006/relationships/hyperlink" Target="https://fbref.com/en/country/GHA/Ghana-Football" TargetMode="External"/><Relationship Id="rId739" Type="http://schemas.openxmlformats.org/officeDocument/2006/relationships/hyperlink" Target="https://fbref.com/en/country/SWE/Sweden-Football" TargetMode="External"/><Relationship Id="rId734" Type="http://schemas.openxmlformats.org/officeDocument/2006/relationships/hyperlink" Target="https://fbref.com/en/players/8916e76c/Benjamin-Hansen" TargetMode="External"/><Relationship Id="rId733" Type="http://schemas.openxmlformats.org/officeDocument/2006/relationships/hyperlink" Target="https://fbref.com/en/players/35676d63/matchlogs/2024/summary/Vito-Hammershoy-Mistrati-Match-Logs" TargetMode="External"/><Relationship Id="rId732" Type="http://schemas.openxmlformats.org/officeDocument/2006/relationships/hyperlink" Target="https://fbref.com/en/squads/1d0836d6/2024/Norrkoping-Stats" TargetMode="External"/><Relationship Id="rId731" Type="http://schemas.openxmlformats.org/officeDocument/2006/relationships/hyperlink" Target="https://fbref.com/en/country/DEN/Denmark-Football" TargetMode="External"/><Relationship Id="rId738" Type="http://schemas.openxmlformats.org/officeDocument/2006/relationships/hyperlink" Target="https://fbref.com/en/players/84e607b8/Tim-Hartzell" TargetMode="External"/><Relationship Id="rId737" Type="http://schemas.openxmlformats.org/officeDocument/2006/relationships/hyperlink" Target="https://fbref.com/en/players/8916e76c/matchlogs/2024/summary/Benjamin-Hansen-Match-Logs" TargetMode="External"/><Relationship Id="rId736" Type="http://schemas.openxmlformats.org/officeDocument/2006/relationships/hyperlink" Target="https://fbref.com/en/squads/b0333581/2024/AIK-Stockholm-Stats" TargetMode="External"/><Relationship Id="rId735" Type="http://schemas.openxmlformats.org/officeDocument/2006/relationships/hyperlink" Target="https://fbref.com/en/country/DEN/Denmark-Football" TargetMode="External"/><Relationship Id="rId37" Type="http://schemas.openxmlformats.org/officeDocument/2006/relationships/hyperlink" Target="https://fbref.com/en/players/3d6aaa54/Jeremy-Agbonifo" TargetMode="External"/><Relationship Id="rId36" Type="http://schemas.openxmlformats.org/officeDocument/2006/relationships/hyperlink" Target="https://fbref.com/en/players/6586d884/matchlogs/2024/summary/Frank-Adjei-Jnr-Match-Logs" TargetMode="External"/><Relationship Id="rId39" Type="http://schemas.openxmlformats.org/officeDocument/2006/relationships/hyperlink" Target="https://fbref.com/en/squads/8774e267/2024/BK-Hacken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players/35676d63/Vito-Hammershoy-Mistrati" TargetMode="External"/><Relationship Id="rId1320" Type="http://schemas.openxmlformats.org/officeDocument/2006/relationships/hyperlink" Target="https://fbref.com/en/players/4a010ff6/Arbnor-Mucolli" TargetMode="External"/><Relationship Id="rId1321" Type="http://schemas.openxmlformats.org/officeDocument/2006/relationships/hyperlink" Target="https://fbref.com/en/country/ALB/Albania-Football" TargetMode="External"/><Relationship Id="rId1322" Type="http://schemas.openxmlformats.org/officeDocument/2006/relationships/hyperlink" Target="https://fbref.com/en/squads/ef1ab26a/2024/Goteborg-Stats" TargetMode="External"/><Relationship Id="rId1356" Type="http://schemas.openxmlformats.org/officeDocument/2006/relationships/hyperlink" Target="https://fbref.com/en/country/SWE/Sweden-Football" TargetMode="External"/><Relationship Id="rId1357" Type="http://schemas.openxmlformats.org/officeDocument/2006/relationships/hyperlink" Target="https://fbref.com/en/squads/b0333581/2024/AIK-Stockholm-Stats" TargetMode="External"/><Relationship Id="rId20" Type="http://schemas.openxmlformats.org/officeDocument/2006/relationships/hyperlink" Target="https://fbref.com/en/players/24c66967/matchlogs/2024/summary/Joackim-Aberg-Match-Logs" TargetMode="External"/><Relationship Id="rId1358" Type="http://schemas.openxmlformats.org/officeDocument/2006/relationships/hyperlink" Target="https://fbref.com/en/players/75d3e825/matchlogs/2024/summary/Jimi-Dos-Reis-Nikko-Match-Logs" TargetMode="External"/><Relationship Id="rId1359" Type="http://schemas.openxmlformats.org/officeDocument/2006/relationships/hyperlink" Target="https://fbref.com/en/players/5662e81f/Malkolm-Nilsson" TargetMode="External"/><Relationship Id="rId22" Type="http://schemas.openxmlformats.org/officeDocument/2006/relationships/hyperlink" Target="https://fbref.com/en/country/SWE/Sweden-Football" TargetMode="External"/><Relationship Id="rId21" Type="http://schemas.openxmlformats.org/officeDocument/2006/relationships/hyperlink" Target="https://fbref.com/en/players/fd99de9d/Paulos-Abraham" TargetMode="External"/><Relationship Id="rId24" Type="http://schemas.openxmlformats.org/officeDocument/2006/relationships/hyperlink" Target="https://fbref.com/en/players/fd99de9d/matchlogs/2024/summary/Paulos-Abraham-Match-Logs" TargetMode="External"/><Relationship Id="rId23" Type="http://schemas.openxmlformats.org/officeDocument/2006/relationships/hyperlink" Target="https://fbref.com/en/squads/ef1ab26a/2024/Goteborg-Stats" TargetMode="External"/><Relationship Id="rId767" Type="http://schemas.openxmlformats.org/officeDocument/2006/relationships/hyperlink" Target="https://fbref.com/en/country/SWE/Sweden-Football" TargetMode="External"/><Relationship Id="rId766" Type="http://schemas.openxmlformats.org/officeDocument/2006/relationships/hyperlink" Target="https://fbref.com/en/players/aec890b7/Axel-Henriksson" TargetMode="External"/><Relationship Id="rId765" Type="http://schemas.openxmlformats.org/officeDocument/2006/relationships/hyperlink" Target="https://fbref.com/en/players/80b597fd/matchlogs/2024/summary/Melker-Heier-Match-Logs" TargetMode="External"/><Relationship Id="rId764" Type="http://schemas.openxmlformats.org/officeDocument/2006/relationships/hyperlink" Target="https://fbref.com/en/squads/e9d60d0c/2024/Sirius-Stats" TargetMode="External"/><Relationship Id="rId769" Type="http://schemas.openxmlformats.org/officeDocument/2006/relationships/hyperlink" Target="https://fbref.com/en/players/aec890b7/matchlogs/2024/summary/Axel-Henriksson-Match-Logs" TargetMode="External"/><Relationship Id="rId768" Type="http://schemas.openxmlformats.org/officeDocument/2006/relationships/hyperlink" Target="https://fbref.com/en/squads/7c2d1adb/2024/GAIS-Stat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f9496774/Alexander-Abrahamsson" TargetMode="External"/><Relationship Id="rId28" Type="http://schemas.openxmlformats.org/officeDocument/2006/relationships/hyperlink" Target="https://fbref.com/en/players/f9496774/matchlogs/2024/summary/Alexander-Abrahamsson-Match-Logs" TargetMode="External"/><Relationship Id="rId1350" Type="http://schemas.openxmlformats.org/officeDocument/2006/relationships/hyperlink" Target="https://fbref.com/en/players/36a79857/matchlogs/2024/summary/Tokmac-Nguen-Match-Logs" TargetMode="External"/><Relationship Id="rId27" Type="http://schemas.openxmlformats.org/officeDocument/2006/relationships/hyperlink" Target="https://fbref.com/en/squads/bb9e11b2/2024/Brommapojkarna-Stats" TargetMode="External"/><Relationship Id="rId1351" Type="http://schemas.openxmlformats.org/officeDocument/2006/relationships/hyperlink" Target="https://fbref.com/en/players/bff104a0/Alexander-Nielsen" TargetMode="External"/><Relationship Id="rId763" Type="http://schemas.openxmlformats.org/officeDocument/2006/relationships/hyperlink" Target="https://fbref.com/en/country/SWE/Sweden-Football" TargetMode="External"/><Relationship Id="rId1352" Type="http://schemas.openxmlformats.org/officeDocument/2006/relationships/hyperlink" Target="https://fbref.com/en/country/SWE/Sweden-Football" TargetMode="External"/><Relationship Id="rId29" Type="http://schemas.openxmlformats.org/officeDocument/2006/relationships/hyperlink" Target="https://fbref.com/en/players/40e57039/Peter-Abrahamsson" TargetMode="External"/><Relationship Id="rId762" Type="http://schemas.openxmlformats.org/officeDocument/2006/relationships/hyperlink" Target="https://fbref.com/en/players/80b597fd/Melker-Heier" TargetMode="External"/><Relationship Id="rId1353" Type="http://schemas.openxmlformats.org/officeDocument/2006/relationships/hyperlink" Target="https://fbref.com/en/squads/17366e53/2024/Halmstad-Stats" TargetMode="External"/><Relationship Id="rId761" Type="http://schemas.openxmlformats.org/officeDocument/2006/relationships/hyperlink" Target="https://fbref.com/en/players/834fea76/matchlogs/2024/summary/Torbjorn-Heggem-Match-Logs" TargetMode="External"/><Relationship Id="rId1354" Type="http://schemas.openxmlformats.org/officeDocument/2006/relationships/hyperlink" Target="https://fbref.com/en/players/bff104a0/matchlogs/2024/summary/Alexander-Nielsen-Match-Logs" TargetMode="External"/><Relationship Id="rId760" Type="http://schemas.openxmlformats.org/officeDocument/2006/relationships/hyperlink" Target="https://fbref.com/en/squads/bb9e11b2/2024/Brommapojkarna-Stats" TargetMode="External"/><Relationship Id="rId1355" Type="http://schemas.openxmlformats.org/officeDocument/2006/relationships/hyperlink" Target="https://fbref.com/en/players/75d3e825/Jimi-Dos-Reis-Nikko" TargetMode="External"/><Relationship Id="rId1345" Type="http://schemas.openxmlformats.org/officeDocument/2006/relationships/hyperlink" Target="https://fbref.com/en/squads/b1a7a7b9/2024/Mjallby-Stats" TargetMode="External"/><Relationship Id="rId1346" Type="http://schemas.openxmlformats.org/officeDocument/2006/relationships/hyperlink" Target="https://fbref.com/en/players/cfa59b1d/matchlogs/2024/summary/Kimmen-Nennesson-Match-Logs" TargetMode="External"/><Relationship Id="rId1347" Type="http://schemas.openxmlformats.org/officeDocument/2006/relationships/hyperlink" Target="https://fbref.com/en/players/36a79857/Tokmac-Nguen" TargetMode="External"/><Relationship Id="rId1348" Type="http://schemas.openxmlformats.org/officeDocument/2006/relationships/hyperlink" Target="https://fbref.com/en/country/NOR/Norway-Football" TargetMode="External"/><Relationship Id="rId11" Type="http://schemas.openxmlformats.org/officeDocument/2006/relationships/hyperlink" Target="https://fbref.com/en/squads/50e85bfc/2024/Elfsborg-Stats" TargetMode="External"/><Relationship Id="rId1349" Type="http://schemas.openxmlformats.org/officeDocument/2006/relationships/hyperlink" Target="https://fbref.com/en/squads/9423c05a/2024/Djurgarden-Stats" TargetMode="External"/><Relationship Id="rId10" Type="http://schemas.openxmlformats.org/officeDocument/2006/relationships/hyperlink" Target="https://fbref.com/en/country/GHA/Ghana-Football" TargetMode="External"/><Relationship Id="rId13" Type="http://schemas.openxmlformats.org/officeDocument/2006/relationships/hyperlink" Target="https://fbref.com/en/players/abf0cad0/Suleiman-Abdullahi" TargetMode="External"/><Relationship Id="rId12" Type="http://schemas.openxmlformats.org/officeDocument/2006/relationships/hyperlink" Target="https://fbref.com/en/players/44e4dfab/matchlogs/2024/summary/Jalal-Abdulai-Match-Logs" TargetMode="External"/><Relationship Id="rId756" Type="http://schemas.openxmlformats.org/officeDocument/2006/relationships/hyperlink" Target="https://fbref.com/en/squads/50e85bfc/2024/Elfsborg-Stats" TargetMode="External"/><Relationship Id="rId755" Type="http://schemas.openxmlformats.org/officeDocument/2006/relationships/hyperlink" Target="https://fbref.com/en/country/SWE/Sweden-Football" TargetMode="External"/><Relationship Id="rId754" Type="http://schemas.openxmlformats.org/officeDocument/2006/relationships/hyperlink" Target="https://fbref.com/en/players/5e167a35/Simon-Hedlund" TargetMode="External"/><Relationship Id="rId753" Type="http://schemas.openxmlformats.org/officeDocument/2006/relationships/hyperlink" Target="https://fbref.com/en/players/c14ee243/matchlogs/2024/summary/Lucas-Hedlund-Match-Logs" TargetMode="External"/><Relationship Id="rId759" Type="http://schemas.openxmlformats.org/officeDocument/2006/relationships/hyperlink" Target="https://fbref.com/en/country/NOR/Norway-Football" TargetMode="External"/><Relationship Id="rId758" Type="http://schemas.openxmlformats.org/officeDocument/2006/relationships/hyperlink" Target="https://fbref.com/en/players/834fea76/Torbjorn-Heggem" TargetMode="External"/><Relationship Id="rId757" Type="http://schemas.openxmlformats.org/officeDocument/2006/relationships/hyperlink" Target="https://fbref.com/en/players/5e167a35/matchlogs/2024/summary/Simon-Hedlund-Match-Logs" TargetMode="External"/><Relationship Id="rId15" Type="http://schemas.openxmlformats.org/officeDocument/2006/relationships/hyperlink" Target="https://fbref.com/en/squads/ef1ab26a/2024/Goteborg-Stats" TargetMode="External"/><Relationship Id="rId14" Type="http://schemas.openxmlformats.org/officeDocument/2006/relationships/hyperlink" Target="https://fbref.com/en/country/NGA/Nigeria-Football" TargetMode="External"/><Relationship Id="rId17" Type="http://schemas.openxmlformats.org/officeDocument/2006/relationships/hyperlink" Target="https://fbref.com/en/players/24c66967/Joackim-Aberg" TargetMode="External"/><Relationship Id="rId16" Type="http://schemas.openxmlformats.org/officeDocument/2006/relationships/hyperlink" Target="https://fbref.com/en/players/abf0cad0/matchlogs/2024/summary/Suleiman-Abdullahi-Match-Logs" TargetMode="External"/><Relationship Id="rId1340" Type="http://schemas.openxmlformats.org/officeDocument/2006/relationships/hyperlink" Target="https://fbref.com/en/players/e63e519f/Rasmus-Nehrman" TargetMode="External"/><Relationship Id="rId19" Type="http://schemas.openxmlformats.org/officeDocument/2006/relationships/hyperlink" Target="https://fbref.com/en/squads/7c2d1adb/2024/GAIS-Stats" TargetMode="External"/><Relationship Id="rId752" Type="http://schemas.openxmlformats.org/officeDocument/2006/relationships/hyperlink" Target="https://fbref.com/en/squads/7c2d1adb/2024/GAIS-Stats" TargetMode="External"/><Relationship Id="rId1341" Type="http://schemas.openxmlformats.org/officeDocument/2006/relationships/hyperlink" Target="https://fbref.com/en/squads/9423c05a/2024/Djurgarden-Stats" TargetMode="External"/><Relationship Id="rId18" Type="http://schemas.openxmlformats.org/officeDocument/2006/relationships/hyperlink" Target="https://fbref.com/en/country/SWE/Sweden-Football" TargetMode="External"/><Relationship Id="rId751" Type="http://schemas.openxmlformats.org/officeDocument/2006/relationships/hyperlink" Target="https://fbref.com/en/country/SWE/Sweden-Football" TargetMode="External"/><Relationship Id="rId1342" Type="http://schemas.openxmlformats.org/officeDocument/2006/relationships/hyperlink" Target="https://fbref.com/en/players/e63e519f/matchlogs/2024/summary/Rasmus-Nehrman-Match-Logs" TargetMode="External"/><Relationship Id="rId750" Type="http://schemas.openxmlformats.org/officeDocument/2006/relationships/hyperlink" Target="https://fbref.com/en/players/c14ee243/Lucas-Hedlund" TargetMode="External"/><Relationship Id="rId1343" Type="http://schemas.openxmlformats.org/officeDocument/2006/relationships/hyperlink" Target="https://fbref.com/en/players/cfa59b1d/Kimmen-Nennesson" TargetMode="External"/><Relationship Id="rId1344" Type="http://schemas.openxmlformats.org/officeDocument/2006/relationships/hyperlink" Target="https://fbref.com/en/country/SWE/Sweden-Football" TargetMode="External"/><Relationship Id="rId84" Type="http://schemas.openxmlformats.org/officeDocument/2006/relationships/hyperlink" Target="https://fbref.com/en/players/96a7a831/Ake-Andersson" TargetMode="External"/><Relationship Id="rId1774" Type="http://schemas.openxmlformats.org/officeDocument/2006/relationships/hyperlink" Target="https://fbref.com/en/players/6fb7edd3/Timo-Stavitski" TargetMode="External"/><Relationship Id="rId83" Type="http://schemas.openxmlformats.org/officeDocument/2006/relationships/hyperlink" Target="https://fbref.com/en/players/8fd85f11/matchlogs/2024/summary/Isak-Andersen-Match-Logs" TargetMode="External"/><Relationship Id="rId1775" Type="http://schemas.openxmlformats.org/officeDocument/2006/relationships/hyperlink" Target="https://fbref.com/en/country/FIN/Finland-Football" TargetMode="External"/><Relationship Id="rId86" Type="http://schemas.openxmlformats.org/officeDocument/2006/relationships/hyperlink" Target="https://fbref.com/en/squads/1d0836d6/2024/Norrkoping-Stats" TargetMode="External"/><Relationship Id="rId1776" Type="http://schemas.openxmlformats.org/officeDocument/2006/relationships/hyperlink" Target="https://fbref.com/en/squads/b1a7a7b9/2024/Mjallby-Stats" TargetMode="External"/><Relationship Id="rId85" Type="http://schemas.openxmlformats.org/officeDocument/2006/relationships/hyperlink" Target="https://fbref.com/en/country/SWE/Sweden-Football" TargetMode="External"/><Relationship Id="rId1777" Type="http://schemas.openxmlformats.org/officeDocument/2006/relationships/hyperlink" Target="https://fbref.com/en/players/6fb7edd3/matchlogs/2024/summary/Timo-Stavitski-Match-Logs" TargetMode="External"/><Relationship Id="rId88" Type="http://schemas.openxmlformats.org/officeDocument/2006/relationships/hyperlink" Target="https://fbref.com/en/players/1771aa56/David-Andersson" TargetMode="External"/><Relationship Id="rId1778" Type="http://schemas.openxmlformats.org/officeDocument/2006/relationships/hyperlink" Target="https://fbref.com/en/players/ebf64b84/Michael-Steinwender" TargetMode="External"/><Relationship Id="rId87" Type="http://schemas.openxmlformats.org/officeDocument/2006/relationships/hyperlink" Target="https://fbref.com/en/players/96a7a831/matchlogs/2024/summary/Ake-Andersson-Match-Logs" TargetMode="External"/><Relationship Id="rId1779" Type="http://schemas.openxmlformats.org/officeDocument/2006/relationships/hyperlink" Target="https://fbref.com/en/country/AUT/Austria-Football" TargetMode="External"/><Relationship Id="rId89" Type="http://schemas.openxmlformats.org/officeDocument/2006/relationships/hyperlink" Target="https://fbref.com/en/country/SWE/Sweden-Football" TargetMode="External"/><Relationship Id="rId709" Type="http://schemas.openxmlformats.org/officeDocument/2006/relationships/hyperlink" Target="https://fbref.com/en/players/4117e3f3/matchlogs/2024/summary/Warner-Hahn-Match-Logs" TargetMode="External"/><Relationship Id="rId708" Type="http://schemas.openxmlformats.org/officeDocument/2006/relationships/hyperlink" Target="https://fbref.com/en/squads/92bfd7f0/2024/Hammarby-Stats" TargetMode="External"/><Relationship Id="rId707" Type="http://schemas.openxmlformats.org/officeDocument/2006/relationships/hyperlink" Target="https://fbref.com/en/country/SUR/Suriname-Football" TargetMode="External"/><Relationship Id="rId706" Type="http://schemas.openxmlformats.org/officeDocument/2006/relationships/hyperlink" Target="https://fbref.com/en/players/4117e3f3/Warner-Hahn" TargetMode="External"/><Relationship Id="rId80" Type="http://schemas.openxmlformats.org/officeDocument/2006/relationships/hyperlink" Target="https://fbref.com/en/players/9f65be73/matchlogs/2024/summary/Amir-Al-Ammari-Match-Logs" TargetMode="External"/><Relationship Id="rId82" Type="http://schemas.openxmlformats.org/officeDocument/2006/relationships/hyperlink" Target="https://fbref.com/en/squads/b1a7a7b9/2024/Mjallby-Stats" TargetMode="External"/><Relationship Id="rId81" Type="http://schemas.openxmlformats.org/officeDocument/2006/relationships/hyperlink" Target="https://fbref.com/en/players/8fd85f11/Isak-Andersen" TargetMode="External"/><Relationship Id="rId701" Type="http://schemas.openxmlformats.org/officeDocument/2006/relationships/hyperlink" Target="https://fbref.com/en/players/2e18f55b/matchlogs/2024/summary/Santeri-Haarala-Match-Logs" TargetMode="External"/><Relationship Id="rId700" Type="http://schemas.openxmlformats.org/officeDocument/2006/relationships/hyperlink" Target="https://fbref.com/en/squads/9423c05a/2024/Djurgarden-Stats" TargetMode="External"/><Relationship Id="rId705" Type="http://schemas.openxmlformats.org/officeDocument/2006/relationships/hyperlink" Target="https://fbref.com/en/players/0e014062/matchlogs/2024/summary/Lucas-Hagg-Johansson-Match-Logs" TargetMode="External"/><Relationship Id="rId704" Type="http://schemas.openxmlformats.org/officeDocument/2006/relationships/hyperlink" Target="https://fbref.com/en/squads/bb9e11b2/2024/Brommapojkarna-Stats" TargetMode="External"/><Relationship Id="rId703" Type="http://schemas.openxmlformats.org/officeDocument/2006/relationships/hyperlink" Target="https://fbref.com/en/country/SWE/Sweden-Football" TargetMode="External"/><Relationship Id="rId702" Type="http://schemas.openxmlformats.org/officeDocument/2006/relationships/hyperlink" Target="https://fbref.com/en/players/0e014062/Lucas-Hagg-Johansson" TargetMode="External"/><Relationship Id="rId1770" Type="http://schemas.openxmlformats.org/officeDocument/2006/relationships/hyperlink" Target="https://fbref.com/en/players/840207c9/Adam-Stahl" TargetMode="External"/><Relationship Id="rId1771" Type="http://schemas.openxmlformats.org/officeDocument/2006/relationships/hyperlink" Target="https://fbref.com/en/country/FIN/Finland-Football" TargetMode="External"/><Relationship Id="rId1772" Type="http://schemas.openxmlformats.org/officeDocument/2006/relationships/hyperlink" Target="https://fbref.com/en/squads/b1a7a7b9/2024/Mjallby-Stats" TargetMode="External"/><Relationship Id="rId1773" Type="http://schemas.openxmlformats.org/officeDocument/2006/relationships/hyperlink" Target="https://fbref.com/en/players/840207c9/matchlogs/2024/summary/Adam-Stahl-Match-Logs" TargetMode="External"/><Relationship Id="rId73" Type="http://schemas.openxmlformats.org/officeDocument/2006/relationships/hyperlink" Target="https://fbref.com/en/players/09522a17/Chovanie-Amatkarijo" TargetMode="External"/><Relationship Id="rId1763" Type="http://schemas.openxmlformats.org/officeDocument/2006/relationships/hyperlink" Target="https://fbref.com/en/country/SWE/Sweden-Football" TargetMode="External"/><Relationship Id="rId72" Type="http://schemas.openxmlformats.org/officeDocument/2006/relationships/hyperlink" Target="https://fbref.com/en/players/e134b9f9/matchlogs/2024/summary/Romeo-Amane-Match-Logs" TargetMode="External"/><Relationship Id="rId1764" Type="http://schemas.openxmlformats.org/officeDocument/2006/relationships/hyperlink" Target="https://fbref.com/en/squads/1d0836d6/2024/Norrkoping-Stats" TargetMode="External"/><Relationship Id="rId75" Type="http://schemas.openxmlformats.org/officeDocument/2006/relationships/hyperlink" Target="https://fbref.com/en/squads/7c2d1adb/2024/GAIS-Stats" TargetMode="External"/><Relationship Id="rId1765" Type="http://schemas.openxmlformats.org/officeDocument/2006/relationships/hyperlink" Target="https://fbref.com/en/players/d457def7/matchlogs/2024/summary/Isak-Ssewankambo-Match-Logs" TargetMode="External"/><Relationship Id="rId74" Type="http://schemas.openxmlformats.org/officeDocument/2006/relationships/hyperlink" Target="https://fbref.com/en/country/SMA/Sint-Maarten-Football" TargetMode="External"/><Relationship Id="rId1766" Type="http://schemas.openxmlformats.org/officeDocument/2006/relationships/hyperlink" Target="https://fbref.com/en/players/840207c9/Adam-Stahl" TargetMode="External"/><Relationship Id="rId77" Type="http://schemas.openxmlformats.org/officeDocument/2006/relationships/hyperlink" Target="https://fbref.com/en/players/9f65be73/Amir-Al-Ammari" TargetMode="External"/><Relationship Id="rId1767" Type="http://schemas.openxmlformats.org/officeDocument/2006/relationships/hyperlink" Target="https://fbref.com/en/country/FIN/Finland-Football" TargetMode="External"/><Relationship Id="rId76" Type="http://schemas.openxmlformats.org/officeDocument/2006/relationships/hyperlink" Target="https://fbref.com/en/players/09522a17/matchlogs/2024/summary/Chovanie-Amatkarijo-Match-Logs" TargetMode="External"/><Relationship Id="rId1768" Type="http://schemas.openxmlformats.org/officeDocument/2006/relationships/hyperlink" Target="https://fbref.com/en/squads/9423c05a/2024/Djurgarden-Stats" TargetMode="External"/><Relationship Id="rId79" Type="http://schemas.openxmlformats.org/officeDocument/2006/relationships/hyperlink" Target="https://fbref.com/en/squads/17366e53/2024/Halmstad-Stats" TargetMode="External"/><Relationship Id="rId1769" Type="http://schemas.openxmlformats.org/officeDocument/2006/relationships/hyperlink" Target="https://fbref.com/en/players/840207c9/matchlogs/2024/summary/Adam-Stahl-Match-Logs" TargetMode="External"/><Relationship Id="rId78" Type="http://schemas.openxmlformats.org/officeDocument/2006/relationships/hyperlink" Target="https://fbref.com/en/country/IRQ/Iraq-Football" TargetMode="External"/><Relationship Id="rId71" Type="http://schemas.openxmlformats.org/officeDocument/2006/relationships/hyperlink" Target="https://fbref.com/en/squads/8774e267/2024/BK-Hacken-Stats" TargetMode="External"/><Relationship Id="rId70" Type="http://schemas.openxmlformats.org/officeDocument/2006/relationships/hyperlink" Target="https://fbref.com/en/country/CIV/Cote-dIvoire-Football" TargetMode="External"/><Relationship Id="rId1760" Type="http://schemas.openxmlformats.org/officeDocument/2006/relationships/hyperlink" Target="https://fbref.com/en/squads/1d0836d6/2024/Norrkoping-Stats" TargetMode="External"/><Relationship Id="rId1761" Type="http://schemas.openxmlformats.org/officeDocument/2006/relationships/hyperlink" Target="https://fbref.com/en/players/774dc73f/matchlogs/2024/summary/Amadeus-Sogaard-Match-Logs" TargetMode="External"/><Relationship Id="rId1762" Type="http://schemas.openxmlformats.org/officeDocument/2006/relationships/hyperlink" Target="https://fbref.com/en/players/d457def7/Isak-Ssewankambo" TargetMode="External"/><Relationship Id="rId62" Type="http://schemas.openxmlformats.org/officeDocument/2006/relationships/hyperlink" Target="https://fbref.com/en/country/SWE/Sweden-Football" TargetMode="External"/><Relationship Id="rId1312" Type="http://schemas.openxmlformats.org/officeDocument/2006/relationships/hyperlink" Target="https://fbref.com/en/players/276274e4/Arash-Motaragheb-Jafarpour" TargetMode="External"/><Relationship Id="rId1796" Type="http://schemas.openxmlformats.org/officeDocument/2006/relationships/hyperlink" Target="https://fbref.com/en/squads/92bfd7f0/2024/Hammarby-Stats" TargetMode="External"/><Relationship Id="rId61" Type="http://schemas.openxmlformats.org/officeDocument/2006/relationships/hyperlink" Target="https://fbref.com/en/players/097e650b/Joel-Allansson" TargetMode="External"/><Relationship Id="rId1313" Type="http://schemas.openxmlformats.org/officeDocument/2006/relationships/hyperlink" Target="https://fbref.com/en/country/SWE/Sweden-Football" TargetMode="External"/><Relationship Id="rId1797" Type="http://schemas.openxmlformats.org/officeDocument/2006/relationships/hyperlink" Target="https://fbref.com/en/players/2df964cf/matchlogs/2024/summary/Simon-Strand-Match-Logs" TargetMode="External"/><Relationship Id="rId64" Type="http://schemas.openxmlformats.org/officeDocument/2006/relationships/hyperlink" Target="https://fbref.com/en/players/097e650b/matchlogs/2024/summary/Joel-Allansson-Match-Logs" TargetMode="External"/><Relationship Id="rId1314" Type="http://schemas.openxmlformats.org/officeDocument/2006/relationships/hyperlink" Target="https://fbref.com/en/squads/9f13771c/2024/Kalmar-Stats" TargetMode="External"/><Relationship Id="rId1798" Type="http://schemas.openxmlformats.org/officeDocument/2006/relationships/hyperlink" Target="https://fbref.com/en/players/ff11bdec/Elliot-Stroud" TargetMode="External"/><Relationship Id="rId63" Type="http://schemas.openxmlformats.org/officeDocument/2006/relationships/hyperlink" Target="https://fbref.com/en/squads/17366e53/2024/Halmstad-Stats" TargetMode="External"/><Relationship Id="rId1315" Type="http://schemas.openxmlformats.org/officeDocument/2006/relationships/hyperlink" Target="https://fbref.com/en/players/276274e4/matchlogs/2024/summary/Arash-Motaragheb-Jafarpour-Match-Logs" TargetMode="External"/><Relationship Id="rId1799" Type="http://schemas.openxmlformats.org/officeDocument/2006/relationships/hyperlink" Target="https://fbref.com/en/country/SWE/Sweden-Football" TargetMode="External"/><Relationship Id="rId66" Type="http://schemas.openxmlformats.org/officeDocument/2006/relationships/hyperlink" Target="https://fbref.com/en/country/IRQ/Iraq-Football" TargetMode="External"/><Relationship Id="rId1316" Type="http://schemas.openxmlformats.org/officeDocument/2006/relationships/hyperlink" Target="https://fbref.com/en/players/927eecf9/Fabian-Mrozek" TargetMode="External"/><Relationship Id="rId65" Type="http://schemas.openxmlformats.org/officeDocument/2006/relationships/hyperlink" Target="https://fbref.com/en/players/b1bff3da/Andre-Alsanati" TargetMode="External"/><Relationship Id="rId1317" Type="http://schemas.openxmlformats.org/officeDocument/2006/relationships/hyperlink" Target="https://fbref.com/en/country/POL/Poland-Football" TargetMode="External"/><Relationship Id="rId68" Type="http://schemas.openxmlformats.org/officeDocument/2006/relationships/hyperlink" Target="https://fbref.com/en/players/b1bff3da/matchlogs/2024/summary/Andre-Alsanati-Match-Logs" TargetMode="External"/><Relationship Id="rId1318" Type="http://schemas.openxmlformats.org/officeDocument/2006/relationships/hyperlink" Target="https://fbref.com/en/squads/bb9e11b2/2024/Brommapojkarna-Stats" TargetMode="External"/><Relationship Id="rId67" Type="http://schemas.openxmlformats.org/officeDocument/2006/relationships/hyperlink" Target="https://fbref.com/en/squads/e9d60d0c/2024/Sirius-Stats" TargetMode="External"/><Relationship Id="rId1319" Type="http://schemas.openxmlformats.org/officeDocument/2006/relationships/hyperlink" Target="https://fbref.com/en/players/927eecf9/matchlogs/2024/summary/Fabian-Mrozek-Match-Logs" TargetMode="External"/><Relationship Id="rId729" Type="http://schemas.openxmlformats.org/officeDocument/2006/relationships/hyperlink" Target="https://fbref.com/en/players/78eac916/matchlogs/2024/summary/Fredrik-Hammer-Match-Logs" TargetMode="External"/><Relationship Id="rId728" Type="http://schemas.openxmlformats.org/officeDocument/2006/relationships/hyperlink" Target="https://fbref.com/en/squads/92bfd7f0/2024/Hammarby-Stats" TargetMode="External"/><Relationship Id="rId60" Type="http://schemas.openxmlformats.org/officeDocument/2006/relationships/hyperlink" Target="https://fbref.com/en/players/12ab9e4c/matchlogs/2024/summary/Abdihakin-Ali-Match-Logs" TargetMode="External"/><Relationship Id="rId723" Type="http://schemas.openxmlformats.org/officeDocument/2006/relationships/hyperlink" Target="https://fbref.com/en/country/SWE/Sweden-Football" TargetMode="External"/><Relationship Id="rId722" Type="http://schemas.openxmlformats.org/officeDocument/2006/relationships/hyperlink" Target="https://fbref.com/en/players/9dc0fa97/Johan-Hammar" TargetMode="External"/><Relationship Id="rId721" Type="http://schemas.openxmlformats.org/officeDocument/2006/relationships/hyperlink" Target="https://fbref.com/en/players/5114ff8a/matchlogs/2024/summary/Melker-Hallberg-Match-Logs" TargetMode="External"/><Relationship Id="rId720" Type="http://schemas.openxmlformats.org/officeDocument/2006/relationships/hyperlink" Target="https://fbref.com/en/squads/9f13771c/2024/Kalmar-Stats" TargetMode="External"/><Relationship Id="rId727" Type="http://schemas.openxmlformats.org/officeDocument/2006/relationships/hyperlink" Target="https://fbref.com/en/country/SWE/Sweden-Football" TargetMode="External"/><Relationship Id="rId726" Type="http://schemas.openxmlformats.org/officeDocument/2006/relationships/hyperlink" Target="https://fbref.com/en/players/78eac916/Fredrik-Hammer" TargetMode="External"/><Relationship Id="rId725" Type="http://schemas.openxmlformats.org/officeDocument/2006/relationships/hyperlink" Target="https://fbref.com/en/players/9dc0fa97/matchlogs/2024/summary/Johan-Hammar-Match-Logs" TargetMode="External"/><Relationship Id="rId724" Type="http://schemas.openxmlformats.org/officeDocument/2006/relationships/hyperlink" Target="https://fbref.com/en/squads/8774e267/2024/BK-Hacken-Stats" TargetMode="External"/><Relationship Id="rId69" Type="http://schemas.openxmlformats.org/officeDocument/2006/relationships/hyperlink" Target="https://fbref.com/en/players/e134b9f9/Romeo-Amane" TargetMode="External"/><Relationship Id="rId1790" Type="http://schemas.openxmlformats.org/officeDocument/2006/relationships/hyperlink" Target="https://fbref.com/en/players/9872d20f/Aaron-Stoch-Rydell" TargetMode="External"/><Relationship Id="rId1791" Type="http://schemas.openxmlformats.org/officeDocument/2006/relationships/hyperlink" Target="https://fbref.com/en/country/SWE/Sweden-Football" TargetMode="External"/><Relationship Id="rId1792" Type="http://schemas.openxmlformats.org/officeDocument/2006/relationships/hyperlink" Target="https://fbref.com/en/squads/b0333581/2024/AIK-Stockholm-Stats" TargetMode="External"/><Relationship Id="rId1793" Type="http://schemas.openxmlformats.org/officeDocument/2006/relationships/hyperlink" Target="https://fbref.com/en/players/9872d20f/matchlogs/2024/summary/Aaron-Stoch-Rydell-Match-Logs" TargetMode="External"/><Relationship Id="rId1310" Type="http://schemas.openxmlformats.org/officeDocument/2006/relationships/hyperlink" Target="https://fbref.com/en/squads/f3d8c8b9/2024/Malmo-Stats" TargetMode="External"/><Relationship Id="rId1794" Type="http://schemas.openxmlformats.org/officeDocument/2006/relationships/hyperlink" Target="https://fbref.com/en/players/2df964cf/Simon-Strand" TargetMode="External"/><Relationship Id="rId1311" Type="http://schemas.openxmlformats.org/officeDocument/2006/relationships/hyperlink" Target="https://fbref.com/en/players/00844823/matchlogs/2024/summary/Niklas-Moisander-Match-Logs" TargetMode="External"/><Relationship Id="rId1795" Type="http://schemas.openxmlformats.org/officeDocument/2006/relationships/hyperlink" Target="https://fbref.com/en/country/SWE/Sweden-Football" TargetMode="External"/><Relationship Id="rId51" Type="http://schemas.openxmlformats.org/officeDocument/2006/relationships/hyperlink" Target="https://fbref.com/en/squads/a8481ab9/2024/Vasteras-Stats" TargetMode="External"/><Relationship Id="rId1301" Type="http://schemas.openxmlformats.org/officeDocument/2006/relationships/hyperlink" Target="https://fbref.com/en/country/ANG/Angola-Football" TargetMode="External"/><Relationship Id="rId1785" Type="http://schemas.openxmlformats.org/officeDocument/2006/relationships/hyperlink" Target="https://fbref.com/en/players/89baf4bf/matchlogs/2024/summary/Daniel-Stensson-Match-Logs" TargetMode="External"/><Relationship Id="rId50" Type="http://schemas.openxmlformats.org/officeDocument/2006/relationships/hyperlink" Target="https://fbref.com/en/country/BEN/Benin-Football" TargetMode="External"/><Relationship Id="rId1302" Type="http://schemas.openxmlformats.org/officeDocument/2006/relationships/hyperlink" Target="https://fbref.com/en/squads/b0333581/2024/AIK-Stockholm-Stats" TargetMode="External"/><Relationship Id="rId1786" Type="http://schemas.openxmlformats.org/officeDocument/2006/relationships/hyperlink" Target="https://fbref.com/en/players/89baf4bf/Daniel-Stensson" TargetMode="External"/><Relationship Id="rId53" Type="http://schemas.openxmlformats.org/officeDocument/2006/relationships/hyperlink" Target="https://fbref.com/en/players/4469ea11/Albin-Ahlstrand" TargetMode="External"/><Relationship Id="rId1303" Type="http://schemas.openxmlformats.org/officeDocument/2006/relationships/hyperlink" Target="https://fbref.com/en/players/4f9c2d8c/matchlogs/2024/summary/Rui-Modesto-Match-Logs" TargetMode="External"/><Relationship Id="rId1787" Type="http://schemas.openxmlformats.org/officeDocument/2006/relationships/hyperlink" Target="https://fbref.com/en/country/SWE/Sweden-Football" TargetMode="External"/><Relationship Id="rId52" Type="http://schemas.openxmlformats.org/officeDocument/2006/relationships/hyperlink" Target="https://fbref.com/en/players/5ea9ebd4/matchlogs/2024/summary/Matteo-Ahlinvi-Match-Logs" TargetMode="External"/><Relationship Id="rId1304" Type="http://schemas.openxmlformats.org/officeDocument/2006/relationships/hyperlink" Target="https://fbref.com/en/players/5932da1b/Naeem-Mohammed" TargetMode="External"/><Relationship Id="rId1788" Type="http://schemas.openxmlformats.org/officeDocument/2006/relationships/hyperlink" Target="https://fbref.com/en/squads/9423c05a/2024/Djurgarden-Stats" TargetMode="External"/><Relationship Id="rId55" Type="http://schemas.openxmlformats.org/officeDocument/2006/relationships/hyperlink" Target="https://fbref.com/en/squads/17366e53/2024/Halmstad-Stats" TargetMode="External"/><Relationship Id="rId1305" Type="http://schemas.openxmlformats.org/officeDocument/2006/relationships/hyperlink" Target="https://fbref.com/en/country/GHA/Ghana-Football" TargetMode="External"/><Relationship Id="rId1789" Type="http://schemas.openxmlformats.org/officeDocument/2006/relationships/hyperlink" Target="https://fbref.com/en/players/89baf4bf/matchlogs/2024/summary/Daniel-Stensson-Match-Logs" TargetMode="External"/><Relationship Id="rId54" Type="http://schemas.openxmlformats.org/officeDocument/2006/relationships/hyperlink" Target="https://fbref.com/en/country/SWE/Sweden-Football" TargetMode="External"/><Relationship Id="rId1306" Type="http://schemas.openxmlformats.org/officeDocument/2006/relationships/hyperlink" Target="https://fbref.com/en/squads/17366e53/2024/Halmstad-Stats" TargetMode="External"/><Relationship Id="rId57" Type="http://schemas.openxmlformats.org/officeDocument/2006/relationships/hyperlink" Target="https://fbref.com/en/players/12ab9e4c/Abdihakin-Ali" TargetMode="External"/><Relationship Id="rId1307" Type="http://schemas.openxmlformats.org/officeDocument/2006/relationships/hyperlink" Target="https://fbref.com/en/players/5932da1b/matchlogs/2024/summary/Naeem-Mohammed-Match-Logs" TargetMode="External"/><Relationship Id="rId56" Type="http://schemas.openxmlformats.org/officeDocument/2006/relationships/hyperlink" Target="https://fbref.com/en/players/4469ea11/matchlogs/2024/summary/Albin-Ahlstrand-Match-Logs" TargetMode="External"/><Relationship Id="rId1308" Type="http://schemas.openxmlformats.org/officeDocument/2006/relationships/hyperlink" Target="https://fbref.com/en/players/00844823/Niklas-Moisander" TargetMode="External"/><Relationship Id="rId1309" Type="http://schemas.openxmlformats.org/officeDocument/2006/relationships/hyperlink" Target="https://fbref.com/en/country/FIN/Finland-Football" TargetMode="External"/><Relationship Id="rId719" Type="http://schemas.openxmlformats.org/officeDocument/2006/relationships/hyperlink" Target="https://fbref.com/en/country/SWE/Sweden-Football" TargetMode="External"/><Relationship Id="rId718" Type="http://schemas.openxmlformats.org/officeDocument/2006/relationships/hyperlink" Target="https://fbref.com/en/players/5114ff8a/Melker-Hallberg" TargetMode="External"/><Relationship Id="rId717" Type="http://schemas.openxmlformats.org/officeDocument/2006/relationships/hyperlink" Target="https://fbref.com/en/players/475726eb/matchlogs/2024/summary/Alex-Hall-Match-Logs" TargetMode="External"/><Relationship Id="rId712" Type="http://schemas.openxmlformats.org/officeDocument/2006/relationships/hyperlink" Target="https://fbref.com/en/squads/f3d8c8b9/2024/Malmo-Stats" TargetMode="External"/><Relationship Id="rId711" Type="http://schemas.openxmlformats.org/officeDocument/2006/relationships/hyperlink" Target="https://fbref.com/en/country/MNE/Montenegro-Football" TargetMode="External"/><Relationship Id="rId710" Type="http://schemas.openxmlformats.org/officeDocument/2006/relationships/hyperlink" Target="https://fbref.com/en/players/d2fd7c14/Sead-Haksabanovic" TargetMode="External"/><Relationship Id="rId716" Type="http://schemas.openxmlformats.org/officeDocument/2006/relationships/hyperlink" Target="https://fbref.com/en/squads/17366e53/2024/Halmstad-Stats" TargetMode="External"/><Relationship Id="rId715" Type="http://schemas.openxmlformats.org/officeDocument/2006/relationships/hyperlink" Target="https://fbref.com/en/country/SWE/Sweden-Football" TargetMode="External"/><Relationship Id="rId714" Type="http://schemas.openxmlformats.org/officeDocument/2006/relationships/hyperlink" Target="https://fbref.com/en/players/475726eb/Alex-Hall" TargetMode="External"/><Relationship Id="rId713" Type="http://schemas.openxmlformats.org/officeDocument/2006/relationships/hyperlink" Target="https://fbref.com/en/players/d2fd7c14/matchlogs/2024/summary/Sead-Haksabanovic-Match-Logs" TargetMode="External"/><Relationship Id="rId59" Type="http://schemas.openxmlformats.org/officeDocument/2006/relationships/hyperlink" Target="https://fbref.com/en/squads/b0333581/2024/AIK-Stockholm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squads/d048ed60/2024/Varnamo-Stats" TargetMode="External"/><Relationship Id="rId1781" Type="http://schemas.openxmlformats.org/officeDocument/2006/relationships/hyperlink" Target="https://fbref.com/en/players/ebf64b84/matchlogs/2024/summary/Michael-Steinwender-Match-Logs" TargetMode="External"/><Relationship Id="rId1782" Type="http://schemas.openxmlformats.org/officeDocument/2006/relationships/hyperlink" Target="https://fbref.com/en/players/89baf4bf/Daniel-Stensson" TargetMode="External"/><Relationship Id="rId1783" Type="http://schemas.openxmlformats.org/officeDocument/2006/relationships/hyperlink" Target="https://fbref.com/en/country/SWE/Sweden-Football" TargetMode="External"/><Relationship Id="rId1300" Type="http://schemas.openxmlformats.org/officeDocument/2006/relationships/hyperlink" Target="https://fbref.com/en/players/4f9c2d8c/Rui-Modesto" TargetMode="External"/><Relationship Id="rId1784" Type="http://schemas.openxmlformats.org/officeDocument/2006/relationships/hyperlink" Target="https://fbref.com/en/squads/e9d60d0c/2024/Sirius-Stats" TargetMode="External"/><Relationship Id="rId349" Type="http://schemas.openxmlformats.org/officeDocument/2006/relationships/hyperlink" Target="https://fbref.com/en/squads/8774e267/2024/BK-Hacken-Stats" TargetMode="External"/><Relationship Id="rId348" Type="http://schemas.openxmlformats.org/officeDocument/2006/relationships/hyperlink" Target="https://fbref.com/en/country/SWE/Sweden-Football" TargetMode="External"/><Relationship Id="rId347" Type="http://schemas.openxmlformats.org/officeDocument/2006/relationships/hyperlink" Target="https://fbref.com/en/players/d68e3575/Isak-Brusberg" TargetMode="External"/><Relationship Id="rId346" Type="http://schemas.openxmlformats.org/officeDocument/2006/relationships/hyperlink" Target="https://fbref.com/en/players/9f2989f4/matchlogs/2024/summary/Arvid-Brorsson-Match-Logs" TargetMode="External"/><Relationship Id="rId341" Type="http://schemas.openxmlformats.org/officeDocument/2006/relationships/hyperlink" Target="https://fbref.com/en/squads/9f13771c/2024/Kalmar-Stats" TargetMode="External"/><Relationship Id="rId340" Type="http://schemas.openxmlformats.org/officeDocument/2006/relationships/hyperlink" Target="https://fbref.com/en/country/SWE/Sweden-Football" TargetMode="External"/><Relationship Id="rId345" Type="http://schemas.openxmlformats.org/officeDocument/2006/relationships/hyperlink" Target="https://fbref.com/en/squads/b1a7a7b9/2024/Mjallby-Stats" TargetMode="External"/><Relationship Id="rId344" Type="http://schemas.openxmlformats.org/officeDocument/2006/relationships/hyperlink" Target="https://fbref.com/en/country/SWE/Sweden-Football" TargetMode="External"/><Relationship Id="rId343" Type="http://schemas.openxmlformats.org/officeDocument/2006/relationships/hyperlink" Target="https://fbref.com/en/players/9f2989f4/Arvid-Brorsson" TargetMode="External"/><Relationship Id="rId342" Type="http://schemas.openxmlformats.org/officeDocument/2006/relationships/hyperlink" Target="https://fbref.com/en/players/82fdcbec/matchlogs/2024/summary/Samuel-Brolin-Match-Logs" TargetMode="External"/><Relationship Id="rId338" Type="http://schemas.openxmlformats.org/officeDocument/2006/relationships/hyperlink" Target="https://fbref.com/en/players/804dc5ca/matchlogs/2024/summary/Ibrahima-Breze-Fofana-Match-Logs" TargetMode="External"/><Relationship Id="rId337" Type="http://schemas.openxmlformats.org/officeDocument/2006/relationships/hyperlink" Target="https://fbref.com/en/squads/92bfd7f0/2024/Hammarby-Stats" TargetMode="External"/><Relationship Id="rId336" Type="http://schemas.openxmlformats.org/officeDocument/2006/relationships/hyperlink" Target="https://fbref.com/en/country/GUI/Guinea-Football" TargetMode="External"/><Relationship Id="rId335" Type="http://schemas.openxmlformats.org/officeDocument/2006/relationships/hyperlink" Target="https://fbref.com/en/players/804dc5ca/Ibrahima-Breze-Fofana" TargetMode="External"/><Relationship Id="rId339" Type="http://schemas.openxmlformats.org/officeDocument/2006/relationships/hyperlink" Target="https://fbref.com/en/players/82fdcbec/Samuel-Brolin" TargetMode="External"/><Relationship Id="rId330" Type="http://schemas.openxmlformats.org/officeDocument/2006/relationships/hyperlink" Target="https://fbref.com/en/players/3906ff9b/matchlogs/2024/summary/Johan-Brattberg-Match-Logs" TargetMode="External"/><Relationship Id="rId334" Type="http://schemas.openxmlformats.org/officeDocument/2006/relationships/hyperlink" Target="https://fbref.com/en/players/cc4a7624/matchlogs/2024/summary/Lius-Braun-Match-Logs" TargetMode="External"/><Relationship Id="rId333" Type="http://schemas.openxmlformats.org/officeDocument/2006/relationships/hyperlink" Target="https://fbref.com/en/squads/9f13771c/2024/Kalmar-Stats" TargetMode="External"/><Relationship Id="rId332" Type="http://schemas.openxmlformats.org/officeDocument/2006/relationships/hyperlink" Target="https://fbref.com/en/country/SWE/Sweden-Football" TargetMode="External"/><Relationship Id="rId331" Type="http://schemas.openxmlformats.org/officeDocument/2006/relationships/hyperlink" Target="https://fbref.com/en/players/cc4a7624/Lius-Braun" TargetMode="External"/><Relationship Id="rId370" Type="http://schemas.openxmlformats.org/officeDocument/2006/relationships/hyperlink" Target="https://fbref.com/en/players/f357eb9b/matchlogs/2024/summary/Kenan-Busuladzic-Match-Logs" TargetMode="External"/><Relationship Id="rId369" Type="http://schemas.openxmlformats.org/officeDocument/2006/relationships/hyperlink" Target="https://fbref.com/en/squads/f3d8c8b9/2024/Malmo-Stats" TargetMode="External"/><Relationship Id="rId368" Type="http://schemas.openxmlformats.org/officeDocument/2006/relationships/hyperlink" Target="https://fbref.com/en/country/SWE/Sweden-Football" TargetMode="External"/><Relationship Id="rId363" Type="http://schemas.openxmlformats.org/officeDocument/2006/relationships/hyperlink" Target="https://fbref.com/en/players/20f3adc2/Marco-Bustos" TargetMode="External"/><Relationship Id="rId362" Type="http://schemas.openxmlformats.org/officeDocument/2006/relationships/hyperlink" Target="https://fbref.com/en/players/788c4780/matchlogs/2024/summary/Busanello-Match-Logs" TargetMode="External"/><Relationship Id="rId361" Type="http://schemas.openxmlformats.org/officeDocument/2006/relationships/hyperlink" Target="https://fbref.com/en/squads/f3d8c8b9/2024/Malmo-Stats" TargetMode="External"/><Relationship Id="rId360" Type="http://schemas.openxmlformats.org/officeDocument/2006/relationships/hyperlink" Target="https://fbref.com/en/country/BRA/Brazil-Football" TargetMode="External"/><Relationship Id="rId367" Type="http://schemas.openxmlformats.org/officeDocument/2006/relationships/hyperlink" Target="https://fbref.com/en/players/f357eb9b/Kenan-Busuladzic" TargetMode="External"/><Relationship Id="rId366" Type="http://schemas.openxmlformats.org/officeDocument/2006/relationships/hyperlink" Target="https://fbref.com/en/players/20f3adc2/matchlogs/2024/summary/Marco-Bustos-Match-Logs" TargetMode="External"/><Relationship Id="rId365" Type="http://schemas.openxmlformats.org/officeDocument/2006/relationships/hyperlink" Target="https://fbref.com/en/squads/d048ed60/2024/Varnamo-Stats" TargetMode="External"/><Relationship Id="rId364" Type="http://schemas.openxmlformats.org/officeDocument/2006/relationships/hyperlink" Target="https://fbref.com/en/country/CAN/Canada-Football" TargetMode="External"/><Relationship Id="rId95" Type="http://schemas.openxmlformats.org/officeDocument/2006/relationships/hyperlink" Target="https://fbref.com/en/players/4200fc70/matchlogs/2024/summary/Hugo-Andersson-Mella-Match-Logs" TargetMode="External"/><Relationship Id="rId94" Type="http://schemas.openxmlformats.org/officeDocument/2006/relationships/hyperlink" Target="https://fbref.com/en/squads/e9d60d0c/2024/Sirius-Stats" TargetMode="External"/><Relationship Id="rId97" Type="http://schemas.openxmlformats.org/officeDocument/2006/relationships/hyperlink" Target="https://fbref.com/en/country/SWE/Sweden-Football" TargetMode="External"/><Relationship Id="rId96" Type="http://schemas.openxmlformats.org/officeDocument/2006/relationships/hyperlink" Target="https://fbref.com/en/players/1cedf8d8/Victor-Andersson" TargetMode="External"/><Relationship Id="rId99" Type="http://schemas.openxmlformats.org/officeDocument/2006/relationships/hyperlink" Target="https://fbref.com/en/players/1cedf8d8/matchlogs/2024/summary/Victor-Andersson-Match-Logs" TargetMode="External"/><Relationship Id="rId98" Type="http://schemas.openxmlformats.org/officeDocument/2006/relationships/hyperlink" Target="https://fbref.com/en/squads/b0333581/2024/AIK-Stockholm-Stats" TargetMode="External"/><Relationship Id="rId91" Type="http://schemas.openxmlformats.org/officeDocument/2006/relationships/hyperlink" Target="https://fbref.com/en/players/1771aa56/matchlogs/2024/summary/David-Andersson-Match-Logs" TargetMode="External"/><Relationship Id="rId90" Type="http://schemas.openxmlformats.org/officeDocument/2006/relationships/hyperlink" Target="https://fbref.com/en/squads/1d0836d6/2024/Norrkoping-Stats" TargetMode="External"/><Relationship Id="rId93" Type="http://schemas.openxmlformats.org/officeDocument/2006/relationships/hyperlink" Target="https://fbref.com/en/country/SWE/Sweden-Football" TargetMode="External"/><Relationship Id="rId92" Type="http://schemas.openxmlformats.org/officeDocument/2006/relationships/hyperlink" Target="https://fbref.com/en/players/4200fc70/Hugo-Andersson-Mella" TargetMode="External"/><Relationship Id="rId359" Type="http://schemas.openxmlformats.org/officeDocument/2006/relationships/hyperlink" Target="https://fbref.com/en/players/788c4780/Busanello" TargetMode="External"/><Relationship Id="rId358" Type="http://schemas.openxmlformats.org/officeDocument/2006/relationships/hyperlink" Target="https://fbref.com/en/players/3fff0d98/matchlogs/2024/summary/Marcus-Bundgaard-Sorensen-Match-Logs" TargetMode="External"/><Relationship Id="rId357" Type="http://schemas.openxmlformats.org/officeDocument/2006/relationships/hyperlink" Target="https://fbref.com/en/squads/50e85bfc/2024/Elfsborg-Stats" TargetMode="External"/><Relationship Id="rId352" Type="http://schemas.openxmlformats.org/officeDocument/2006/relationships/hyperlink" Target="https://fbref.com/en/country/NGA/Nigeria-Football" TargetMode="External"/><Relationship Id="rId351" Type="http://schemas.openxmlformats.org/officeDocument/2006/relationships/hyperlink" Target="https://fbref.com/en/players/3c153795/Ibrahim-Buhari" TargetMode="External"/><Relationship Id="rId350" Type="http://schemas.openxmlformats.org/officeDocument/2006/relationships/hyperlink" Target="https://fbref.com/en/players/d68e3575/matchlogs/2024/summary/Isak-Brusberg-Match-Logs" TargetMode="External"/><Relationship Id="rId356" Type="http://schemas.openxmlformats.org/officeDocument/2006/relationships/hyperlink" Target="https://fbref.com/en/country/DEN/Denmark-Football" TargetMode="External"/><Relationship Id="rId355" Type="http://schemas.openxmlformats.org/officeDocument/2006/relationships/hyperlink" Target="https://fbref.com/en/players/3fff0d98/Marcus-Bundgaard-Sorensen" TargetMode="External"/><Relationship Id="rId354" Type="http://schemas.openxmlformats.org/officeDocument/2006/relationships/hyperlink" Target="https://fbref.com/en/players/3c153795/matchlogs/2024/summary/Ibrahim-Buhari-Match-Logs" TargetMode="External"/><Relationship Id="rId353" Type="http://schemas.openxmlformats.org/officeDocument/2006/relationships/hyperlink" Target="https://fbref.com/en/squads/50e85bfc/2024/Elfsborg-Stats" TargetMode="External"/><Relationship Id="rId1378" Type="http://schemas.openxmlformats.org/officeDocument/2006/relationships/hyperlink" Target="https://fbref.com/en/players/78549904/matchlogs/2024/summary/Kristoffer-Nordfeldt-Match-Logs" TargetMode="External"/><Relationship Id="rId1379" Type="http://schemas.openxmlformats.org/officeDocument/2006/relationships/hyperlink" Target="https://fbref.com/en/players/cefa3e4b/Axel-Noren" TargetMode="External"/><Relationship Id="rId305" Type="http://schemas.openxmlformats.org/officeDocument/2006/relationships/hyperlink" Target="https://fbref.com/en/squads/bb9e11b2/2024/Brommapojkarna-Stats" TargetMode="External"/><Relationship Id="rId789" Type="http://schemas.openxmlformats.org/officeDocument/2006/relationships/hyperlink" Target="https://fbref.com/en/players/17138f9d/matchlogs/2024/summary/Sebastian-Holmen-Match-Logs" TargetMode="External"/><Relationship Id="rId304" Type="http://schemas.openxmlformats.org/officeDocument/2006/relationships/hyperlink" Target="https://fbref.com/en/country/GHA/Ghana-Football" TargetMode="External"/><Relationship Id="rId788" Type="http://schemas.openxmlformats.org/officeDocument/2006/relationships/hyperlink" Target="https://fbref.com/en/squads/50e85bfc/2024/Elfsborg-Stats" TargetMode="External"/><Relationship Id="rId303" Type="http://schemas.openxmlformats.org/officeDocument/2006/relationships/hyperlink" Target="https://fbref.com/en/players/13f7d97e/Evans-Botchway" TargetMode="External"/><Relationship Id="rId787" Type="http://schemas.openxmlformats.org/officeDocument/2006/relationships/hyperlink" Target="https://fbref.com/en/country/SWE/Sweden-Football" TargetMode="External"/><Relationship Id="rId302" Type="http://schemas.openxmlformats.org/officeDocument/2006/relationships/hyperlink" Target="https://fbref.com/en/players/5f58ba26/matchlogs/2024/summary/Andre-Boman-Match-Logs" TargetMode="External"/><Relationship Id="rId786" Type="http://schemas.openxmlformats.org/officeDocument/2006/relationships/hyperlink" Target="https://fbref.com/en/players/17138f9d/Sebastian-Holmen" TargetMode="External"/><Relationship Id="rId309" Type="http://schemas.openxmlformats.org/officeDocument/2006/relationships/hyperlink" Target="https://fbref.com/en/squads/f3d8c8b9/2024/Malmo-Stats" TargetMode="External"/><Relationship Id="rId308" Type="http://schemas.openxmlformats.org/officeDocument/2006/relationships/hyperlink" Target="https://fbref.com/en/country/NOR/Norway-Football" TargetMode="External"/><Relationship Id="rId307" Type="http://schemas.openxmlformats.org/officeDocument/2006/relationships/hyperlink" Target="https://fbref.com/en/players/3d13d9e4/Erik-Botheim" TargetMode="External"/><Relationship Id="rId306" Type="http://schemas.openxmlformats.org/officeDocument/2006/relationships/hyperlink" Target="https://fbref.com/en/players/13f7d97e/matchlogs/2024/summary/Evans-Botchway-Match-Logs" TargetMode="External"/><Relationship Id="rId781" Type="http://schemas.openxmlformats.org/officeDocument/2006/relationships/hyperlink" Target="https://fbref.com/en/players/a5c20dfb/matchlogs/2024/summary/Samuel-Holm-Match-Logs" TargetMode="External"/><Relationship Id="rId1370" Type="http://schemas.openxmlformats.org/officeDocument/2006/relationships/hyperlink" Target="https://fbref.com/en/players/66a6b154/matchlogs/2024/summary/Severin-Nioule-Match-Logs" TargetMode="External"/><Relationship Id="rId780" Type="http://schemas.openxmlformats.org/officeDocument/2006/relationships/hyperlink" Target="https://fbref.com/en/squads/8774e267/2024/BK-Hacken-Stats" TargetMode="External"/><Relationship Id="rId1371" Type="http://schemas.openxmlformats.org/officeDocument/2006/relationships/hyperlink" Target="https://fbref.com/en/players/f166b57c/Vinicius-Nogueira" TargetMode="External"/><Relationship Id="rId1372" Type="http://schemas.openxmlformats.org/officeDocument/2006/relationships/hyperlink" Target="https://fbref.com/en/country/BRA/Brazil-Football" TargetMode="External"/><Relationship Id="rId1373" Type="http://schemas.openxmlformats.org/officeDocument/2006/relationships/hyperlink" Target="https://fbref.com/en/squads/17366e53/2024/Halmstad-Stats" TargetMode="External"/><Relationship Id="rId301" Type="http://schemas.openxmlformats.org/officeDocument/2006/relationships/hyperlink" Target="https://fbref.com/en/squads/50e85bfc/2024/Elfsborg-Stats" TargetMode="External"/><Relationship Id="rId785" Type="http://schemas.openxmlformats.org/officeDocument/2006/relationships/hyperlink" Target="https://fbref.com/en/players/a5c20dfb/matchlogs/2024/summary/Samuel-Holm-Match-Logs" TargetMode="External"/><Relationship Id="rId1374" Type="http://schemas.openxmlformats.org/officeDocument/2006/relationships/hyperlink" Target="https://fbref.com/en/players/f166b57c/matchlogs/2024/summary/Vinicius-Nogueira-Match-Logs" TargetMode="External"/><Relationship Id="rId300" Type="http://schemas.openxmlformats.org/officeDocument/2006/relationships/hyperlink" Target="https://fbref.com/en/country/SWE/Sweden-Football" TargetMode="External"/><Relationship Id="rId784" Type="http://schemas.openxmlformats.org/officeDocument/2006/relationships/hyperlink" Target="https://fbref.com/en/squads/9423c05a/2024/Djurgarden-Stats" TargetMode="External"/><Relationship Id="rId1375" Type="http://schemas.openxmlformats.org/officeDocument/2006/relationships/hyperlink" Target="https://fbref.com/en/players/78549904/Kristoffer-Nordfeldt" TargetMode="External"/><Relationship Id="rId783" Type="http://schemas.openxmlformats.org/officeDocument/2006/relationships/hyperlink" Target="https://fbref.com/en/country/SWE/Sweden-Football" TargetMode="External"/><Relationship Id="rId1376" Type="http://schemas.openxmlformats.org/officeDocument/2006/relationships/hyperlink" Target="https://fbref.com/en/country/SWE/Sweden-Football" TargetMode="External"/><Relationship Id="rId782" Type="http://schemas.openxmlformats.org/officeDocument/2006/relationships/hyperlink" Target="https://fbref.com/en/players/a5c20dfb/Samuel-Holm" TargetMode="External"/><Relationship Id="rId1377" Type="http://schemas.openxmlformats.org/officeDocument/2006/relationships/hyperlink" Target="https://fbref.com/en/squads/b0333581/2024/AIK-Stockholm-Stats" TargetMode="External"/><Relationship Id="rId1367" Type="http://schemas.openxmlformats.org/officeDocument/2006/relationships/hyperlink" Target="https://fbref.com/en/players/66a6b154/Severin-Nioule" TargetMode="External"/><Relationship Id="rId1368" Type="http://schemas.openxmlformats.org/officeDocument/2006/relationships/hyperlink" Target="https://fbref.com/en/country/CIV/Cote-dIvoire-Football" TargetMode="External"/><Relationship Id="rId1369" Type="http://schemas.openxmlformats.org/officeDocument/2006/relationships/hyperlink" Target="https://fbref.com/en/squads/8774e267/2024/BK-Hacken-Stats" TargetMode="External"/><Relationship Id="rId778" Type="http://schemas.openxmlformats.org/officeDocument/2006/relationships/hyperlink" Target="https://fbref.com/en/players/a5c20dfb/Samuel-Holm" TargetMode="External"/><Relationship Id="rId777" Type="http://schemas.openxmlformats.org/officeDocument/2006/relationships/hyperlink" Target="https://fbref.com/en/players/728e6d2f/matchlogs/2024/summary/Joel-Hjalmar-Match-Logs" TargetMode="External"/><Relationship Id="rId776" Type="http://schemas.openxmlformats.org/officeDocument/2006/relationships/hyperlink" Target="https://fbref.com/en/squads/8774e267/2024/BK-Hacken-Stats" TargetMode="External"/><Relationship Id="rId775" Type="http://schemas.openxmlformats.org/officeDocument/2006/relationships/hyperlink" Target="https://fbref.com/en/country/SWE/Sweden-Football" TargetMode="External"/><Relationship Id="rId779" Type="http://schemas.openxmlformats.org/officeDocument/2006/relationships/hyperlink" Target="https://fbref.com/en/country/SWE/Sweden-Football" TargetMode="External"/><Relationship Id="rId770" Type="http://schemas.openxmlformats.org/officeDocument/2006/relationships/hyperlink" Target="https://fbref.com/en/players/c34824b1/Gustav-Henriksson" TargetMode="External"/><Relationship Id="rId1360" Type="http://schemas.openxmlformats.org/officeDocument/2006/relationships/hyperlink" Target="https://fbref.com/en/country/SWE/Sweden-Football" TargetMode="External"/><Relationship Id="rId1361" Type="http://schemas.openxmlformats.org/officeDocument/2006/relationships/hyperlink" Target="https://fbref.com/en/squads/9423c05a/2024/Djurgarden-Stats" TargetMode="External"/><Relationship Id="rId1362" Type="http://schemas.openxmlformats.org/officeDocument/2006/relationships/hyperlink" Target="https://fbref.com/en/players/5662e81f/matchlogs/2024/summary/Malkolm-Nilsson-Match-Logs" TargetMode="External"/><Relationship Id="rId774" Type="http://schemas.openxmlformats.org/officeDocument/2006/relationships/hyperlink" Target="https://fbref.com/en/players/728e6d2f/Joel-Hjalmar" TargetMode="External"/><Relationship Id="rId1363" Type="http://schemas.openxmlformats.org/officeDocument/2006/relationships/hyperlink" Target="https://fbref.com/en/players/73c38442/Ville-Nilsson" TargetMode="External"/><Relationship Id="rId773" Type="http://schemas.openxmlformats.org/officeDocument/2006/relationships/hyperlink" Target="https://fbref.com/en/players/c34824b1/matchlogs/2024/summary/Gustav-Henriksson-Match-Logs" TargetMode="External"/><Relationship Id="rId1364" Type="http://schemas.openxmlformats.org/officeDocument/2006/relationships/hyperlink" Target="https://fbref.com/en/country/SWE/Sweden-Football" TargetMode="External"/><Relationship Id="rId772" Type="http://schemas.openxmlformats.org/officeDocument/2006/relationships/hyperlink" Target="https://fbref.com/en/squads/50e85bfc/2024/Elfsborg-Stats" TargetMode="External"/><Relationship Id="rId1365" Type="http://schemas.openxmlformats.org/officeDocument/2006/relationships/hyperlink" Target="https://fbref.com/en/squads/9f13771c/2024/Kalmar-Stats" TargetMode="External"/><Relationship Id="rId771" Type="http://schemas.openxmlformats.org/officeDocument/2006/relationships/hyperlink" Target="https://fbref.com/en/country/SWE/Sweden-Football" TargetMode="External"/><Relationship Id="rId1366" Type="http://schemas.openxmlformats.org/officeDocument/2006/relationships/hyperlink" Target="https://fbref.com/en/players/73c38442/matchlogs/2024/summary/Ville-Nilsson-Match-Logs" TargetMode="External"/><Relationship Id="rId327" Type="http://schemas.openxmlformats.org/officeDocument/2006/relationships/hyperlink" Target="https://fbref.com/en/players/3906ff9b/Johan-Brattberg" TargetMode="External"/><Relationship Id="rId326" Type="http://schemas.openxmlformats.org/officeDocument/2006/relationships/hyperlink" Target="https://fbref.com/en/players/613eaf9a/matchlogs/2024/summary/Benjamin-Brantlind-Match-Logs" TargetMode="External"/><Relationship Id="rId325" Type="http://schemas.openxmlformats.org/officeDocument/2006/relationships/hyperlink" Target="https://fbref.com/en/squads/ef1ab26a/2024/Goteborg-Stats" TargetMode="External"/><Relationship Id="rId324" Type="http://schemas.openxmlformats.org/officeDocument/2006/relationships/hyperlink" Target="https://fbref.com/en/country/SWE/Sweden-Football" TargetMode="External"/><Relationship Id="rId329" Type="http://schemas.openxmlformats.org/officeDocument/2006/relationships/hyperlink" Target="https://fbref.com/en/squads/a8481ab9/2024/Vasteras-Stats" TargetMode="External"/><Relationship Id="rId1390" Type="http://schemas.openxmlformats.org/officeDocument/2006/relationships/hyperlink" Target="https://fbref.com/en/players/b9e4c11e/matchlogs/2024/summary/Frederic-Nsabiyumva-Match-Logs" TargetMode="External"/><Relationship Id="rId328" Type="http://schemas.openxmlformats.org/officeDocument/2006/relationships/hyperlink" Target="https://fbref.com/en/country/SWE/Sweden-Football" TargetMode="External"/><Relationship Id="rId1391" Type="http://schemas.openxmlformats.org/officeDocument/2006/relationships/hyperlink" Target="https://fbref.com/en/players/b2cbe3ad/Patrick-Nwadike" TargetMode="External"/><Relationship Id="rId1392" Type="http://schemas.openxmlformats.org/officeDocument/2006/relationships/hyperlink" Target="https://fbref.com/en/country/SWE/Sweden-Football" TargetMode="External"/><Relationship Id="rId1393" Type="http://schemas.openxmlformats.org/officeDocument/2006/relationships/hyperlink" Target="https://fbref.com/en/squads/e9d60d0c/2024/Sirius-Stats" TargetMode="External"/><Relationship Id="rId1394" Type="http://schemas.openxmlformats.org/officeDocument/2006/relationships/hyperlink" Target="https://fbref.com/en/players/b2cbe3ad/matchlogs/2024/summary/Patrick-Nwadike-Match-Logs" TargetMode="External"/><Relationship Id="rId1395" Type="http://schemas.openxmlformats.org/officeDocument/2006/relationships/hyperlink" Target="https://fbref.com/en/players/8cd6e788/Silas-Nwankwo" TargetMode="External"/><Relationship Id="rId323" Type="http://schemas.openxmlformats.org/officeDocument/2006/relationships/hyperlink" Target="https://fbref.com/en/players/613eaf9a/Benjamin-Brantlind" TargetMode="External"/><Relationship Id="rId1396" Type="http://schemas.openxmlformats.org/officeDocument/2006/relationships/hyperlink" Target="https://fbref.com/en/country/NGA/Nigeria-Football" TargetMode="External"/><Relationship Id="rId322" Type="http://schemas.openxmlformats.org/officeDocument/2006/relationships/hyperlink" Target="https://fbref.com/en/players/11d8f1b7/matchlogs/2024/summary/Fred-Bozicevic-Match-Logs" TargetMode="External"/><Relationship Id="rId1397" Type="http://schemas.openxmlformats.org/officeDocument/2006/relationships/hyperlink" Target="https://fbref.com/en/squads/b1a7a7b9/2024/Mjallby-Stats" TargetMode="External"/><Relationship Id="rId321" Type="http://schemas.openxmlformats.org/officeDocument/2006/relationships/hyperlink" Target="https://fbref.com/en/squads/d048ed60/2024/Varnamo-Stats" TargetMode="External"/><Relationship Id="rId1398" Type="http://schemas.openxmlformats.org/officeDocument/2006/relationships/hyperlink" Target="https://fbref.com/en/players/8cd6e788/matchlogs/2024/summary/Silas-Nwankwo-Match-Logs" TargetMode="External"/><Relationship Id="rId320" Type="http://schemas.openxmlformats.org/officeDocument/2006/relationships/hyperlink" Target="https://fbref.com/en/country/SWE/Sweden-Football" TargetMode="External"/><Relationship Id="rId1399" Type="http://schemas.openxmlformats.org/officeDocument/2006/relationships/hyperlink" Target="https://fbref.com/en/players/f9e3ef15/Christoffer-Nyman" TargetMode="External"/><Relationship Id="rId1389" Type="http://schemas.openxmlformats.org/officeDocument/2006/relationships/hyperlink" Target="https://fbref.com/en/squads/a8481ab9/2024/Vasteras-Stats" TargetMode="External"/><Relationship Id="rId316" Type="http://schemas.openxmlformats.org/officeDocument/2006/relationships/hyperlink" Target="https://fbref.com/en/country/SWE/Sweden-Football" TargetMode="External"/><Relationship Id="rId315" Type="http://schemas.openxmlformats.org/officeDocument/2006/relationships/hyperlink" Target="https://fbref.com/en/players/f5bbb514/Elyas-Bouzaiene" TargetMode="External"/><Relationship Id="rId799" Type="http://schemas.openxmlformats.org/officeDocument/2006/relationships/hyperlink" Target="https://fbref.com/en/country/NOR/Norway-Football" TargetMode="External"/><Relationship Id="rId314" Type="http://schemas.openxmlformats.org/officeDocument/2006/relationships/hyperlink" Target="https://fbref.com/en/players/8c03d809/matchlogs/2024/summary/Amin-Boudri-Match-Logs" TargetMode="External"/><Relationship Id="rId798" Type="http://schemas.openxmlformats.org/officeDocument/2006/relationships/hyperlink" Target="https://fbref.com/en/players/d1fea02e/Even-Hovland" TargetMode="External"/><Relationship Id="rId313" Type="http://schemas.openxmlformats.org/officeDocument/2006/relationships/hyperlink" Target="https://fbref.com/en/squads/7c2d1adb/2024/GAIS-Stats" TargetMode="External"/><Relationship Id="rId797" Type="http://schemas.openxmlformats.org/officeDocument/2006/relationships/hyperlink" Target="https://fbref.com/en/players/0d616c20/matchlogs/2024/summary/Kevin-Hoog-Jansson-Match-Logs" TargetMode="External"/><Relationship Id="rId319" Type="http://schemas.openxmlformats.org/officeDocument/2006/relationships/hyperlink" Target="https://fbref.com/en/players/11d8f1b7/Fred-Bozicevic" TargetMode="External"/><Relationship Id="rId318" Type="http://schemas.openxmlformats.org/officeDocument/2006/relationships/hyperlink" Target="https://fbref.com/en/players/f5bbb514/matchlogs/2024/summary/Elyas-Bouzaiene-Match-Logs" TargetMode="External"/><Relationship Id="rId317" Type="http://schemas.openxmlformats.org/officeDocument/2006/relationships/hyperlink" Target="https://fbref.com/en/squads/a8481ab9/2024/Vasteras-Stats" TargetMode="External"/><Relationship Id="rId1380" Type="http://schemas.openxmlformats.org/officeDocument/2006/relationships/hyperlink" Target="https://fbref.com/en/country/SWE/Sweden-Football" TargetMode="External"/><Relationship Id="rId792" Type="http://schemas.openxmlformats.org/officeDocument/2006/relationships/hyperlink" Target="https://fbref.com/en/squads/50e85bfc/2024/Elfsborg-Stats" TargetMode="External"/><Relationship Id="rId1381" Type="http://schemas.openxmlformats.org/officeDocument/2006/relationships/hyperlink" Target="https://fbref.com/en/squads/7c2d1adb/2024/GAIS-Stats" TargetMode="External"/><Relationship Id="rId791" Type="http://schemas.openxmlformats.org/officeDocument/2006/relationships/hyperlink" Target="https://fbref.com/en/country/DEN/Denmark-Football" TargetMode="External"/><Relationship Id="rId1382" Type="http://schemas.openxmlformats.org/officeDocument/2006/relationships/hyperlink" Target="https://fbref.com/en/players/cefa3e4b/matchlogs/2024/summary/Axel-Noren-Match-Logs" TargetMode="External"/><Relationship Id="rId790" Type="http://schemas.openxmlformats.org/officeDocument/2006/relationships/hyperlink" Target="https://fbref.com/en/players/a1d8390a/Emil-Holten" TargetMode="External"/><Relationship Id="rId1383" Type="http://schemas.openxmlformats.org/officeDocument/2006/relationships/hyperlink" Target="https://fbref.com/en/players/f4b1ae84/Gustaf-Norlin" TargetMode="External"/><Relationship Id="rId1384" Type="http://schemas.openxmlformats.org/officeDocument/2006/relationships/hyperlink" Target="https://fbref.com/en/country/SWE/Sweden-Football" TargetMode="External"/><Relationship Id="rId312" Type="http://schemas.openxmlformats.org/officeDocument/2006/relationships/hyperlink" Target="https://fbref.com/en/country/SWE/Sweden-Football" TargetMode="External"/><Relationship Id="rId796" Type="http://schemas.openxmlformats.org/officeDocument/2006/relationships/hyperlink" Target="https://fbref.com/en/squads/1d0836d6/2024/Norrkoping-Stats" TargetMode="External"/><Relationship Id="rId1385" Type="http://schemas.openxmlformats.org/officeDocument/2006/relationships/hyperlink" Target="https://fbref.com/en/squads/ef1ab26a/2024/Goteborg-Stats" TargetMode="External"/><Relationship Id="rId311" Type="http://schemas.openxmlformats.org/officeDocument/2006/relationships/hyperlink" Target="https://fbref.com/en/players/8c03d809/Amin-Boudri" TargetMode="External"/><Relationship Id="rId795" Type="http://schemas.openxmlformats.org/officeDocument/2006/relationships/hyperlink" Target="https://fbref.com/en/country/SWE/Sweden-Football" TargetMode="External"/><Relationship Id="rId1386" Type="http://schemas.openxmlformats.org/officeDocument/2006/relationships/hyperlink" Target="https://fbref.com/en/players/f4b1ae84/matchlogs/2024/summary/Gustaf-Norlin-Match-Logs" TargetMode="External"/><Relationship Id="rId310" Type="http://schemas.openxmlformats.org/officeDocument/2006/relationships/hyperlink" Target="https://fbref.com/en/players/3d13d9e4/matchlogs/2024/summary/Erik-Botheim-Match-Logs" TargetMode="External"/><Relationship Id="rId794" Type="http://schemas.openxmlformats.org/officeDocument/2006/relationships/hyperlink" Target="https://fbref.com/en/players/0d616c20/Kevin-Hoog-Jansson" TargetMode="External"/><Relationship Id="rId1387" Type="http://schemas.openxmlformats.org/officeDocument/2006/relationships/hyperlink" Target="https://fbref.com/en/players/b9e4c11e/Frederic-Nsabiyumva" TargetMode="External"/><Relationship Id="rId793" Type="http://schemas.openxmlformats.org/officeDocument/2006/relationships/hyperlink" Target="https://fbref.com/en/players/a1d8390a/matchlogs/2024/summary/Emil-Holten-Match-Logs" TargetMode="External"/><Relationship Id="rId1388" Type="http://schemas.openxmlformats.org/officeDocument/2006/relationships/hyperlink" Target="https://fbref.com/en/country/BDI/Burundi-Football" TargetMode="External"/><Relationship Id="rId297" Type="http://schemas.openxmlformats.org/officeDocument/2006/relationships/hyperlink" Target="https://fbref.com/en/squads/17366e53/2024/Halmstad-Stats" TargetMode="External"/><Relationship Id="rId296" Type="http://schemas.openxmlformats.org/officeDocument/2006/relationships/hyperlink" Target="https://fbref.com/en/country/SWE/Sweden-Football" TargetMode="External"/><Relationship Id="rId295" Type="http://schemas.openxmlformats.org/officeDocument/2006/relationships/hyperlink" Target="https://fbref.com/en/players/5f58ba26/Andre-Boman" TargetMode="External"/><Relationship Id="rId294" Type="http://schemas.openxmlformats.org/officeDocument/2006/relationships/hyperlink" Target="https://fbref.com/en/players/0680628b/matchlogs/2024/summary/Stephen-Bolma-Match-Logs" TargetMode="External"/><Relationship Id="rId299" Type="http://schemas.openxmlformats.org/officeDocument/2006/relationships/hyperlink" Target="https://fbref.com/en/players/5f58ba26/Andre-Boman" TargetMode="External"/><Relationship Id="rId298" Type="http://schemas.openxmlformats.org/officeDocument/2006/relationships/hyperlink" Target="https://fbref.com/en/players/5f58ba26/matchlogs/2024/summary/Andre-Boman-Match-Logs" TargetMode="External"/><Relationship Id="rId271" Type="http://schemas.openxmlformats.org/officeDocument/2006/relationships/hyperlink" Target="https://fbref.com/en/players/141935d3/Eric-Bjorkander" TargetMode="External"/><Relationship Id="rId270" Type="http://schemas.openxmlformats.org/officeDocument/2006/relationships/hyperlink" Target="https://fbref.com/en/players/3b2bdc7e/matchlogs/2024/summary/Carl-Bjork-Match-Logs" TargetMode="External"/><Relationship Id="rId269" Type="http://schemas.openxmlformats.org/officeDocument/2006/relationships/hyperlink" Target="https://fbref.com/en/squads/1d0836d6/2024/Norrkoping-Stats" TargetMode="External"/><Relationship Id="rId264" Type="http://schemas.openxmlformats.org/officeDocument/2006/relationships/hyperlink" Target="https://fbref.com/en/country/SWE/Sweden-Football" TargetMode="External"/><Relationship Id="rId263" Type="http://schemas.openxmlformats.org/officeDocument/2006/relationships/hyperlink" Target="https://fbref.com/en/players/53e4594b/Elis-Bishesari" TargetMode="External"/><Relationship Id="rId262" Type="http://schemas.openxmlformats.org/officeDocument/2006/relationships/hyperlink" Target="https://fbref.com/en/players/63a304f3/matchlogs/2024/summary/Egzon-Binaku-Match-Logs" TargetMode="External"/><Relationship Id="rId261" Type="http://schemas.openxmlformats.org/officeDocument/2006/relationships/hyperlink" Target="https://fbref.com/en/squads/7c2d1adb/2024/GAIS-Stats" TargetMode="External"/><Relationship Id="rId268" Type="http://schemas.openxmlformats.org/officeDocument/2006/relationships/hyperlink" Target="https://fbref.com/en/country/SWE/Sweden-Football" TargetMode="External"/><Relationship Id="rId267" Type="http://schemas.openxmlformats.org/officeDocument/2006/relationships/hyperlink" Target="https://fbref.com/en/players/3b2bdc7e/Carl-Bjork" TargetMode="External"/><Relationship Id="rId266" Type="http://schemas.openxmlformats.org/officeDocument/2006/relationships/hyperlink" Target="https://fbref.com/en/players/53e4594b/matchlogs/2024/summary/Elis-Bishesari-Match-Logs" TargetMode="External"/><Relationship Id="rId265" Type="http://schemas.openxmlformats.org/officeDocument/2006/relationships/hyperlink" Target="https://fbref.com/en/squads/ef1ab26a/2024/Goteborg-Stats" TargetMode="External"/><Relationship Id="rId260" Type="http://schemas.openxmlformats.org/officeDocument/2006/relationships/hyperlink" Target="https://fbref.com/en/country/ALB/Albania-Football" TargetMode="External"/><Relationship Id="rId259" Type="http://schemas.openxmlformats.org/officeDocument/2006/relationships/hyperlink" Target="https://fbref.com/en/players/63a304f3/Egzon-Binaku" TargetMode="External"/><Relationship Id="rId258" Type="http://schemas.openxmlformats.org/officeDocument/2006/relationships/hyperlink" Target="https://fbref.com/en/players/56b93eb3/matchlogs/2024/summary/Kenan-Bilalovic-Match-Logs" TargetMode="External"/><Relationship Id="rId253" Type="http://schemas.openxmlformats.org/officeDocument/2006/relationships/hyperlink" Target="https://fbref.com/en/squads/b0333581/2024/AIK-Stockholm-Stats" TargetMode="External"/><Relationship Id="rId252" Type="http://schemas.openxmlformats.org/officeDocument/2006/relationships/hyperlink" Target="https://fbref.com/en/country/BIH/Bosnia-and-Herzegovina-Football" TargetMode="External"/><Relationship Id="rId251" Type="http://schemas.openxmlformats.org/officeDocument/2006/relationships/hyperlink" Target="https://fbref.com/en/players/aa3f95e3/Dino-Besirovic" TargetMode="External"/><Relationship Id="rId250" Type="http://schemas.openxmlformats.org/officeDocument/2006/relationships/hyperlink" Target="https://fbref.com/en/players/2fadcd15/matchlogs/2024/summary/Nahir-Besara-Match-Logs" TargetMode="External"/><Relationship Id="rId257" Type="http://schemas.openxmlformats.org/officeDocument/2006/relationships/hyperlink" Target="https://fbref.com/en/squads/d048ed60/2024/Varnamo-Stats" TargetMode="External"/><Relationship Id="rId256" Type="http://schemas.openxmlformats.org/officeDocument/2006/relationships/hyperlink" Target="https://fbref.com/en/country/SWE/Sweden-Football" TargetMode="External"/><Relationship Id="rId255" Type="http://schemas.openxmlformats.org/officeDocument/2006/relationships/hyperlink" Target="https://fbref.com/en/players/56b93eb3/Kenan-Bilalovic" TargetMode="External"/><Relationship Id="rId254" Type="http://schemas.openxmlformats.org/officeDocument/2006/relationships/hyperlink" Target="https://fbref.com/en/players/aa3f95e3/matchlogs/2024/summary/Dino-Besirovic-Match-Logs" TargetMode="External"/><Relationship Id="rId293" Type="http://schemas.openxmlformats.org/officeDocument/2006/relationships/hyperlink" Target="https://fbref.com/en/squads/1d0836d6/2024/Norrkoping-Stats" TargetMode="External"/><Relationship Id="rId292" Type="http://schemas.openxmlformats.org/officeDocument/2006/relationships/hyperlink" Target="https://fbref.com/en/country/GHA/Ghana-Football" TargetMode="External"/><Relationship Id="rId291" Type="http://schemas.openxmlformats.org/officeDocument/2006/relationships/hyperlink" Target="https://fbref.com/en/players/0680628b/Stephen-Bolma" TargetMode="External"/><Relationship Id="rId290" Type="http://schemas.openxmlformats.org/officeDocument/2006/relationships/hyperlink" Target="https://fbref.com/en/players/63170f69/matchlogs/2024/summary/Hugo-Bolin-Match-Logs" TargetMode="External"/><Relationship Id="rId286" Type="http://schemas.openxmlformats.org/officeDocument/2006/relationships/hyperlink" Target="https://fbref.com/en/players/241bcd55/matchlogs/2024/summary/Thomas-Boakye-Match-Logs" TargetMode="External"/><Relationship Id="rId285" Type="http://schemas.openxmlformats.org/officeDocument/2006/relationships/hyperlink" Target="https://fbref.com/en/squads/17366e53/2024/Halmstad-Stats" TargetMode="External"/><Relationship Id="rId284" Type="http://schemas.openxmlformats.org/officeDocument/2006/relationships/hyperlink" Target="https://fbref.com/en/country/GHA/Ghana-Football" TargetMode="External"/><Relationship Id="rId283" Type="http://schemas.openxmlformats.org/officeDocument/2006/relationships/hyperlink" Target="https://fbref.com/en/players/241bcd55/Thomas-Boakye" TargetMode="External"/><Relationship Id="rId289" Type="http://schemas.openxmlformats.org/officeDocument/2006/relationships/hyperlink" Target="https://fbref.com/en/squads/f3d8c8b9/2024/Malmo-Stats" TargetMode="External"/><Relationship Id="rId288" Type="http://schemas.openxmlformats.org/officeDocument/2006/relationships/hyperlink" Target="https://fbref.com/en/country/SWE/Sweden-Football" TargetMode="External"/><Relationship Id="rId287" Type="http://schemas.openxmlformats.org/officeDocument/2006/relationships/hyperlink" Target="https://fbref.com/en/players/63170f69/Hugo-Bolin" TargetMode="External"/><Relationship Id="rId282" Type="http://schemas.openxmlformats.org/officeDocument/2006/relationships/hyperlink" Target="https://fbref.com/en/players/afbb68eb/matchlogs/2024/summary/Davor-Blazevic-Match-Logs" TargetMode="External"/><Relationship Id="rId281" Type="http://schemas.openxmlformats.org/officeDocument/2006/relationships/hyperlink" Target="https://fbref.com/en/squads/92bfd7f0/2024/Hammarby-Stats" TargetMode="External"/><Relationship Id="rId280" Type="http://schemas.openxmlformats.org/officeDocument/2006/relationships/hyperlink" Target="https://fbref.com/en/country/SWE/Sweden-Football" TargetMode="External"/><Relationship Id="rId275" Type="http://schemas.openxmlformats.org/officeDocument/2006/relationships/hyperlink" Target="https://fbref.com/en/players/8db38187/Axel-Bjornstrom" TargetMode="External"/><Relationship Id="rId274" Type="http://schemas.openxmlformats.org/officeDocument/2006/relationships/hyperlink" Target="https://fbref.com/en/players/141935d3/matchlogs/2024/summary/Eric-Bjorkander-Match-Logs" TargetMode="External"/><Relationship Id="rId273" Type="http://schemas.openxmlformats.org/officeDocument/2006/relationships/hyperlink" Target="https://fbref.com/en/squads/bb9e11b2/2024/Brommapojkarna-Stats" TargetMode="External"/><Relationship Id="rId272" Type="http://schemas.openxmlformats.org/officeDocument/2006/relationships/hyperlink" Target="https://fbref.com/en/country/SWE/Sweden-Football" TargetMode="External"/><Relationship Id="rId279" Type="http://schemas.openxmlformats.org/officeDocument/2006/relationships/hyperlink" Target="https://fbref.com/en/players/afbb68eb/Davor-Blazevic" TargetMode="External"/><Relationship Id="rId278" Type="http://schemas.openxmlformats.org/officeDocument/2006/relationships/hyperlink" Target="https://fbref.com/en/players/8db38187/matchlogs/2024/summary/Axel-Bjornstrom-Match-Logs" TargetMode="External"/><Relationship Id="rId277" Type="http://schemas.openxmlformats.org/officeDocument/2006/relationships/hyperlink" Target="https://fbref.com/en/squads/b0333581/2024/AIK-Stockholm-Stats" TargetMode="External"/><Relationship Id="rId276" Type="http://schemas.openxmlformats.org/officeDocument/2006/relationships/hyperlink" Target="https://fbref.com/en/country/SWE/Sweden-Football" TargetMode="External"/><Relationship Id="rId1851" Type="http://schemas.openxmlformats.org/officeDocument/2006/relationships/hyperlink" Target="https://fbref.com/en/country/SWE/Sweden-Football" TargetMode="External"/><Relationship Id="rId1852" Type="http://schemas.openxmlformats.org/officeDocument/2006/relationships/hyperlink" Target="https://fbref.com/en/squads/d048ed60/2024/Varnamo-Stats" TargetMode="External"/><Relationship Id="rId1853" Type="http://schemas.openxmlformats.org/officeDocument/2006/relationships/hyperlink" Target="https://fbref.com/en/players/3933becd/matchlogs/2024/summary/Simon-Thern-Match-Logs" TargetMode="External"/><Relationship Id="rId1854" Type="http://schemas.openxmlformats.org/officeDocument/2006/relationships/hyperlink" Target="https://fbref.com/en/players/4169f4e2/Oliver-Thoreson" TargetMode="External"/><Relationship Id="rId1855" Type="http://schemas.openxmlformats.org/officeDocument/2006/relationships/hyperlink" Target="https://fbref.com/en/country/SWE/Sweden-Football" TargetMode="External"/><Relationship Id="rId1856" Type="http://schemas.openxmlformats.org/officeDocument/2006/relationships/hyperlink" Target="https://fbref.com/en/squads/ef1ab26a/2024/Goteborg-Stats" TargetMode="External"/><Relationship Id="rId1857" Type="http://schemas.openxmlformats.org/officeDocument/2006/relationships/hyperlink" Target="https://fbref.com/en/players/4169f4e2/matchlogs/2024/summary/Oliver-Thoreson-Match-Logs" TargetMode="External"/><Relationship Id="rId1858" Type="http://schemas.openxmlformats.org/officeDocument/2006/relationships/hyperlink" Target="https://fbref.com/en/players/0193b319/Ludvig-Tidstrand" TargetMode="External"/><Relationship Id="rId1859" Type="http://schemas.openxmlformats.org/officeDocument/2006/relationships/hyperlink" Target="https://fbref.com/en/country/SWE/Sweden-Football" TargetMode="External"/><Relationship Id="rId1850" Type="http://schemas.openxmlformats.org/officeDocument/2006/relationships/hyperlink" Target="https://fbref.com/en/players/3933becd/Simon-Thern" TargetMode="External"/><Relationship Id="rId1840" Type="http://schemas.openxmlformats.org/officeDocument/2006/relationships/hyperlink" Target="https://fbref.com/en/squads/92bfd7f0/2024/Hammarby-Stats" TargetMode="External"/><Relationship Id="rId1841" Type="http://schemas.openxmlformats.org/officeDocument/2006/relationships/hyperlink" Target="https://fbref.com/en/players/ed16934e/matchlogs/2024/summary/Tesfaldet-Tekie-Match-Logs" TargetMode="External"/><Relationship Id="rId1842" Type="http://schemas.openxmlformats.org/officeDocument/2006/relationships/hyperlink" Target="https://fbref.com/en/players/2ca35213/Miro-Tenho" TargetMode="External"/><Relationship Id="rId1843" Type="http://schemas.openxmlformats.org/officeDocument/2006/relationships/hyperlink" Target="https://fbref.com/en/country/FIN/Finland-Football" TargetMode="External"/><Relationship Id="rId1844" Type="http://schemas.openxmlformats.org/officeDocument/2006/relationships/hyperlink" Target="https://fbref.com/en/squads/9423c05a/2024/Djurgarden-Stats" TargetMode="External"/><Relationship Id="rId1845" Type="http://schemas.openxmlformats.org/officeDocument/2006/relationships/hyperlink" Target="https://fbref.com/en/players/2ca35213/matchlogs/2024/summary/Miro-Tenho-Match-Logs" TargetMode="External"/><Relationship Id="rId1846" Type="http://schemas.openxmlformats.org/officeDocument/2006/relationships/hyperlink" Target="https://fbref.com/en/players/36f9e534/Peter-Therkildsen" TargetMode="External"/><Relationship Id="rId1847" Type="http://schemas.openxmlformats.org/officeDocument/2006/relationships/hyperlink" Target="https://fbref.com/en/country/DEN/Denmark-Football" TargetMode="External"/><Relationship Id="rId1848" Type="http://schemas.openxmlformats.org/officeDocument/2006/relationships/hyperlink" Target="https://fbref.com/en/squads/9423c05a/2024/Djurgarden-Stats" TargetMode="External"/><Relationship Id="rId1849" Type="http://schemas.openxmlformats.org/officeDocument/2006/relationships/hyperlink" Target="https://fbref.com/en/players/36f9e534/matchlogs/2024/summary/Peter-Therkildsen-Match-Logs" TargetMode="External"/><Relationship Id="rId1873" Type="http://schemas.openxmlformats.org/officeDocument/2006/relationships/hyperlink" Target="https://fbref.com/en/players/f7533c1a/matchlogs/2024/summary/Noah-Tolf-Match-Logs" TargetMode="External"/><Relationship Id="rId1874" Type="http://schemas.openxmlformats.org/officeDocument/2006/relationships/hyperlink" Target="https://fbref.com/en/players/6bf54cff/Noel-Tornqvist" TargetMode="External"/><Relationship Id="rId1875" Type="http://schemas.openxmlformats.org/officeDocument/2006/relationships/hyperlink" Target="https://fbref.com/en/country/SWE/Sweden-Football" TargetMode="External"/><Relationship Id="rId1876" Type="http://schemas.openxmlformats.org/officeDocument/2006/relationships/hyperlink" Target="https://fbref.com/en/squads/b1a7a7b9/2024/Mjallby-Stats" TargetMode="External"/><Relationship Id="rId1877" Type="http://schemas.openxmlformats.org/officeDocument/2006/relationships/hyperlink" Target="https://fbref.com/en/players/6bf54cff/matchlogs/2024/summary/Noel-Tornqvist-Match-Logs" TargetMode="External"/><Relationship Id="rId1878" Type="http://schemas.openxmlformats.org/officeDocument/2006/relationships/hyperlink" Target="https://fbref.com/en/players/93945a50/Bazoumana-Toure" TargetMode="External"/><Relationship Id="rId1879" Type="http://schemas.openxmlformats.org/officeDocument/2006/relationships/hyperlink" Target="https://fbref.com/en/country/CIV/Cote-dIvoire-Football" TargetMode="External"/><Relationship Id="rId1870" Type="http://schemas.openxmlformats.org/officeDocument/2006/relationships/hyperlink" Target="https://fbref.com/en/players/f7533c1a/Noah-Tolf" TargetMode="External"/><Relationship Id="rId1871" Type="http://schemas.openxmlformats.org/officeDocument/2006/relationships/hyperlink" Target="https://fbref.com/en/country/SWE/Sweden-Football" TargetMode="External"/><Relationship Id="rId1872" Type="http://schemas.openxmlformats.org/officeDocument/2006/relationships/hyperlink" Target="https://fbref.com/en/squads/ef1ab26a/2024/Goteborg-Stats" TargetMode="External"/><Relationship Id="rId1862" Type="http://schemas.openxmlformats.org/officeDocument/2006/relationships/hyperlink" Target="https://fbref.com/en/players/5e4dae5f/Alex-Timossi-Andersson" TargetMode="External"/><Relationship Id="rId1863" Type="http://schemas.openxmlformats.org/officeDocument/2006/relationships/hyperlink" Target="https://fbref.com/en/country/SWE/Sweden-Football" TargetMode="External"/><Relationship Id="rId1864" Type="http://schemas.openxmlformats.org/officeDocument/2006/relationships/hyperlink" Target="https://fbref.com/en/squads/bb9e11b2/2024/Brommapojkarna-Stats" TargetMode="External"/><Relationship Id="rId1865" Type="http://schemas.openxmlformats.org/officeDocument/2006/relationships/hyperlink" Target="https://fbref.com/en/players/5e4dae5f/matchlogs/2024/summary/Alex-Timossi-Andersson-Match-Logs" TargetMode="External"/><Relationship Id="rId1866" Type="http://schemas.openxmlformats.org/officeDocument/2006/relationships/hyperlink" Target="https://fbref.com/en/players/0fe96099/Anton-Tinnerholm" TargetMode="External"/><Relationship Id="rId1867" Type="http://schemas.openxmlformats.org/officeDocument/2006/relationships/hyperlink" Target="https://fbref.com/en/country/SWE/Sweden-Football" TargetMode="External"/><Relationship Id="rId1868" Type="http://schemas.openxmlformats.org/officeDocument/2006/relationships/hyperlink" Target="https://fbref.com/en/squads/f3d8c8b9/2024/Malmo-Stats" TargetMode="External"/><Relationship Id="rId1869" Type="http://schemas.openxmlformats.org/officeDocument/2006/relationships/hyperlink" Target="https://fbref.com/en/players/0fe96099/matchlogs/2024/summary/Anton-Tinnerholm-Match-Logs" TargetMode="External"/><Relationship Id="rId1860" Type="http://schemas.openxmlformats.org/officeDocument/2006/relationships/hyperlink" Target="https://fbref.com/en/squads/b1a7a7b9/2024/Mjallby-Stats" TargetMode="External"/><Relationship Id="rId1861" Type="http://schemas.openxmlformats.org/officeDocument/2006/relationships/hyperlink" Target="https://fbref.com/en/players/0193b319/matchlogs/2024/summary/Ludvig-Tidstrand-Match-Logs" TargetMode="External"/><Relationship Id="rId1810" Type="http://schemas.openxmlformats.org/officeDocument/2006/relationships/hyperlink" Target="https://fbref.com/en/players/733713ef/Gustav-Svensson" TargetMode="External"/><Relationship Id="rId1811" Type="http://schemas.openxmlformats.org/officeDocument/2006/relationships/hyperlink" Target="https://fbref.com/en/country/SWE/Sweden-Football" TargetMode="External"/><Relationship Id="rId1812" Type="http://schemas.openxmlformats.org/officeDocument/2006/relationships/hyperlink" Target="https://fbref.com/en/squads/ef1ab26a/2024/Goteborg-Stats" TargetMode="External"/><Relationship Id="rId1813" Type="http://schemas.openxmlformats.org/officeDocument/2006/relationships/hyperlink" Target="https://fbref.com/en/players/733713ef/matchlogs/2024/summary/Gustav-Svensson-Match-Logs" TargetMode="External"/><Relationship Id="rId1814" Type="http://schemas.openxmlformats.org/officeDocument/2006/relationships/hyperlink" Target="https://fbref.com/en/players/f8c9069b/Liam-Svensson" TargetMode="External"/><Relationship Id="rId1815" Type="http://schemas.openxmlformats.org/officeDocument/2006/relationships/hyperlink" Target="https://fbref.com/en/country/SWE/Sweden-Football" TargetMode="External"/><Relationship Id="rId1816" Type="http://schemas.openxmlformats.org/officeDocument/2006/relationships/hyperlink" Target="https://fbref.com/en/squads/b1a7a7b9/2024/Mjallby-Stats" TargetMode="External"/><Relationship Id="rId1817" Type="http://schemas.openxmlformats.org/officeDocument/2006/relationships/hyperlink" Target="https://fbref.com/en/players/f8c9069b/matchlogs/2024/summary/Liam-Svensson-Match-Logs" TargetMode="External"/><Relationship Id="rId1818" Type="http://schemas.openxmlformats.org/officeDocument/2006/relationships/hyperlink" Target="https://fbref.com/en/players/6d902017/Max-Svensson" TargetMode="External"/><Relationship Id="rId1819" Type="http://schemas.openxmlformats.org/officeDocument/2006/relationships/hyperlink" Target="https://fbref.com/en/country/SWE/Sweden-Football" TargetMode="External"/><Relationship Id="rId1800" Type="http://schemas.openxmlformats.org/officeDocument/2006/relationships/hyperlink" Target="https://fbref.com/en/squads/b1a7a7b9/2024/Mjallby-Stats" TargetMode="External"/><Relationship Id="rId1801" Type="http://schemas.openxmlformats.org/officeDocument/2006/relationships/hyperlink" Target="https://fbref.com/en/players/ff11bdec/matchlogs/2024/summary/Elliot-Stroud-Match-Logs" TargetMode="External"/><Relationship Id="rId1802" Type="http://schemas.openxmlformats.org/officeDocument/2006/relationships/hyperlink" Target="https://fbref.com/en/players/f91e81c9/Jens-Stryger-Larsen" TargetMode="External"/><Relationship Id="rId1803" Type="http://schemas.openxmlformats.org/officeDocument/2006/relationships/hyperlink" Target="https://fbref.com/en/country/DEN/Denmark-Football" TargetMode="External"/><Relationship Id="rId1804" Type="http://schemas.openxmlformats.org/officeDocument/2006/relationships/hyperlink" Target="https://fbref.com/en/squads/f3d8c8b9/2024/Malmo-Stats" TargetMode="External"/><Relationship Id="rId1805" Type="http://schemas.openxmlformats.org/officeDocument/2006/relationships/hyperlink" Target="https://fbref.com/en/players/f91e81c9/matchlogs/2024/summary/Jens-Stryger-Larsen-Match-Logs" TargetMode="External"/><Relationship Id="rId1806" Type="http://schemas.openxmlformats.org/officeDocument/2006/relationships/hyperlink" Target="https://fbref.com/en/players/b9ea2f44/Jonathan-Svedberg" TargetMode="External"/><Relationship Id="rId1807" Type="http://schemas.openxmlformats.org/officeDocument/2006/relationships/hyperlink" Target="https://fbref.com/en/country/SWE/Sweden-Football" TargetMode="External"/><Relationship Id="rId1808" Type="http://schemas.openxmlformats.org/officeDocument/2006/relationships/hyperlink" Target="https://fbref.com/en/squads/17366e53/2024/Halmstad-Stats" TargetMode="External"/><Relationship Id="rId1809" Type="http://schemas.openxmlformats.org/officeDocument/2006/relationships/hyperlink" Target="https://fbref.com/en/players/b9ea2f44/matchlogs/2024/summary/Jonathan-Svedberg-Match-Logs" TargetMode="External"/><Relationship Id="rId1830" Type="http://schemas.openxmlformats.org/officeDocument/2006/relationships/hyperlink" Target="https://fbref.com/en/players/c631ba63/Jakob-Tannander" TargetMode="External"/><Relationship Id="rId1831" Type="http://schemas.openxmlformats.org/officeDocument/2006/relationships/hyperlink" Target="https://fbref.com/en/country/SWE/Sweden-Football" TargetMode="External"/><Relationship Id="rId1832" Type="http://schemas.openxmlformats.org/officeDocument/2006/relationships/hyperlink" Target="https://fbref.com/en/squads/e9d60d0c/2024/Sirius-Stats" TargetMode="External"/><Relationship Id="rId1833" Type="http://schemas.openxmlformats.org/officeDocument/2006/relationships/hyperlink" Target="https://fbref.com/en/players/c631ba63/matchlogs/2024/summary/Jakob-Tannander-Match-Logs" TargetMode="External"/><Relationship Id="rId1834" Type="http://schemas.openxmlformats.org/officeDocument/2006/relationships/hyperlink" Target="https://fbref.com/en/players/57bc1cbc/Divine-Teah" TargetMode="External"/><Relationship Id="rId1835" Type="http://schemas.openxmlformats.org/officeDocument/2006/relationships/hyperlink" Target="https://fbref.com/en/country/LBR/Liberia-Football" TargetMode="External"/><Relationship Id="rId1836" Type="http://schemas.openxmlformats.org/officeDocument/2006/relationships/hyperlink" Target="https://fbref.com/en/squads/92bfd7f0/2024/Hammarby-Stats" TargetMode="External"/><Relationship Id="rId1837" Type="http://schemas.openxmlformats.org/officeDocument/2006/relationships/hyperlink" Target="https://fbref.com/en/players/57bc1cbc/matchlogs/2024/summary/Divine-Teah-Match-Logs" TargetMode="External"/><Relationship Id="rId1838" Type="http://schemas.openxmlformats.org/officeDocument/2006/relationships/hyperlink" Target="https://fbref.com/en/players/ed16934e/Tesfaldet-Tekie" TargetMode="External"/><Relationship Id="rId1839" Type="http://schemas.openxmlformats.org/officeDocument/2006/relationships/hyperlink" Target="https://fbref.com/en/country/SWE/Sweden-Football" TargetMode="External"/><Relationship Id="rId1820" Type="http://schemas.openxmlformats.org/officeDocument/2006/relationships/hyperlink" Target="https://fbref.com/en/squads/9f13771c/2024/Kalmar-Stats" TargetMode="External"/><Relationship Id="rId1821" Type="http://schemas.openxmlformats.org/officeDocument/2006/relationships/hyperlink" Target="https://fbref.com/en/players/6d902017/matchlogs/2024/summary/Max-Svensson-Match-Logs" TargetMode="External"/><Relationship Id="rId1822" Type="http://schemas.openxmlformats.org/officeDocument/2006/relationships/hyperlink" Target="https://fbref.com/en/players/40134a35/Lars-Saetra" TargetMode="External"/><Relationship Id="rId1823" Type="http://schemas.openxmlformats.org/officeDocument/2006/relationships/hyperlink" Target="https://fbref.com/en/country/NOR/Norway-Football" TargetMode="External"/><Relationship Id="rId1824" Type="http://schemas.openxmlformats.org/officeDocument/2006/relationships/hyperlink" Target="https://fbref.com/en/squads/9f13771c/2024/Kalmar-Stats" TargetMode="External"/><Relationship Id="rId1825" Type="http://schemas.openxmlformats.org/officeDocument/2006/relationships/hyperlink" Target="https://fbref.com/en/players/40134a35/matchlogs/2024/summary/Lars-Saetra-Match-Logs" TargetMode="External"/><Relationship Id="rId1826" Type="http://schemas.openxmlformats.org/officeDocument/2006/relationships/hyperlink" Target="https://fbref.com/en/players/e294cb83/Liam-Tahwildaran" TargetMode="External"/><Relationship Id="rId1827" Type="http://schemas.openxmlformats.org/officeDocument/2006/relationships/hyperlink" Target="https://fbref.com/en/country/SWE/Sweden-Football" TargetMode="External"/><Relationship Id="rId1828" Type="http://schemas.openxmlformats.org/officeDocument/2006/relationships/hyperlink" Target="https://fbref.com/en/squads/bb9e11b2/2024/Brommapojkarna-Stats" TargetMode="External"/><Relationship Id="rId1829" Type="http://schemas.openxmlformats.org/officeDocument/2006/relationships/hyperlink" Target="https://fbref.com/en/players/e294cb83/matchlogs/2024/summary/Liam-Tahwildaran-Match-Logs" TargetMode="External"/><Relationship Id="rId1455" Type="http://schemas.openxmlformats.org/officeDocument/2006/relationships/hyperlink" Target="https://fbref.com/en/players/106c96fe/Vince-Osuji" TargetMode="External"/><Relationship Id="rId1456" Type="http://schemas.openxmlformats.org/officeDocument/2006/relationships/hyperlink" Target="https://fbref.com/en/country/NGA/Nigeria-Football" TargetMode="External"/><Relationship Id="rId1457" Type="http://schemas.openxmlformats.org/officeDocument/2006/relationships/hyperlink" Target="https://fbref.com/en/squads/9f13771c/2024/Kalmar-Stats" TargetMode="External"/><Relationship Id="rId1458" Type="http://schemas.openxmlformats.org/officeDocument/2006/relationships/hyperlink" Target="https://fbref.com/en/players/106c96fe/matchlogs/2024/summary/Vince-Osuji-Match-Logs" TargetMode="External"/><Relationship Id="rId1459" Type="http://schemas.openxmlformats.org/officeDocument/2006/relationships/hyperlink" Target="https://fbref.com/en/players/c76c4e99/Timothy-Ouma" TargetMode="External"/><Relationship Id="rId629" Type="http://schemas.openxmlformats.org/officeDocument/2006/relationships/hyperlink" Target="https://fbref.com/en/players/494bff86/matchlogs/2024/summary/Alex-Gersbach-Match-Logs" TargetMode="External"/><Relationship Id="rId624" Type="http://schemas.openxmlformats.org/officeDocument/2006/relationships/hyperlink" Target="https://fbref.com/en/squads/a8481ab9/2024/Vasteras-Stats" TargetMode="External"/><Relationship Id="rId623" Type="http://schemas.openxmlformats.org/officeDocument/2006/relationships/hyperlink" Target="https://fbref.com/en/country/SWE/Sweden-Football" TargetMode="External"/><Relationship Id="rId622" Type="http://schemas.openxmlformats.org/officeDocument/2006/relationships/hyperlink" Target="https://fbref.com/en/players/f36e97b3/Simon-Gefvert" TargetMode="External"/><Relationship Id="rId621" Type="http://schemas.openxmlformats.org/officeDocument/2006/relationships/hyperlink" Target="https://fbref.com/en/players/22671344/matchlogs/2024/summary/Albin-Gashi-Match-Logs" TargetMode="External"/><Relationship Id="rId628" Type="http://schemas.openxmlformats.org/officeDocument/2006/relationships/hyperlink" Target="https://fbref.com/en/squads/9f13771c/2024/Kalmar-Stats" TargetMode="External"/><Relationship Id="rId627" Type="http://schemas.openxmlformats.org/officeDocument/2006/relationships/hyperlink" Target="https://fbref.com/en/country/AUS/Australia-Football" TargetMode="External"/><Relationship Id="rId626" Type="http://schemas.openxmlformats.org/officeDocument/2006/relationships/hyperlink" Target="https://fbref.com/en/players/494bff86/Alex-Gersbach" TargetMode="External"/><Relationship Id="rId625" Type="http://schemas.openxmlformats.org/officeDocument/2006/relationships/hyperlink" Target="https://fbref.com/en/players/f36e97b3/matchlogs/2024/summary/Simon-Gefvert-Match-Logs" TargetMode="External"/><Relationship Id="rId1450" Type="http://schemas.openxmlformats.org/officeDocument/2006/relationships/hyperlink" Target="https://fbref.com/en/players/e8f5c328/matchlogs/2024/summary/Jacob-Ortmark-Match-Logs" TargetMode="External"/><Relationship Id="rId620" Type="http://schemas.openxmlformats.org/officeDocument/2006/relationships/hyperlink" Target="https://fbref.com/en/squads/8774e267/2024/BK-Hacken-Stats" TargetMode="External"/><Relationship Id="rId1451" Type="http://schemas.openxmlformats.org/officeDocument/2006/relationships/hyperlink" Target="https://fbref.com/en/players/3e346e16/Leo-Ostman" TargetMode="External"/><Relationship Id="rId1452" Type="http://schemas.openxmlformats.org/officeDocument/2006/relationships/hyperlink" Target="https://fbref.com/en/country/SWE/Sweden-Football" TargetMode="External"/><Relationship Id="rId1453" Type="http://schemas.openxmlformats.org/officeDocument/2006/relationships/hyperlink" Target="https://fbref.com/en/squads/50e85bfc/2024/Elfsborg-Stats" TargetMode="External"/><Relationship Id="rId1454" Type="http://schemas.openxmlformats.org/officeDocument/2006/relationships/hyperlink" Target="https://fbref.com/en/players/3e346e16/matchlogs/2024/summary/Leo-Ostman-Match-Logs" TargetMode="External"/><Relationship Id="rId1444" Type="http://schemas.openxmlformats.org/officeDocument/2006/relationships/hyperlink" Target="https://fbref.com/en/country/SWE/Sweden-Football" TargetMode="External"/><Relationship Id="rId1445" Type="http://schemas.openxmlformats.org/officeDocument/2006/relationships/hyperlink" Target="https://fbref.com/en/squads/bb9e11b2/2024/Brommapojkarna-Stats" TargetMode="External"/><Relationship Id="rId1446" Type="http://schemas.openxmlformats.org/officeDocument/2006/relationships/hyperlink" Target="https://fbref.com/en/players/d2f11b42/matchlogs/2024/summary/Rasmus-Orqvist-Match-Logs" TargetMode="External"/><Relationship Id="rId1447" Type="http://schemas.openxmlformats.org/officeDocument/2006/relationships/hyperlink" Target="https://fbref.com/en/players/e8f5c328/Jacob-Ortmark" TargetMode="External"/><Relationship Id="rId1448" Type="http://schemas.openxmlformats.org/officeDocument/2006/relationships/hyperlink" Target="https://fbref.com/en/country/SWE/Sweden-Football" TargetMode="External"/><Relationship Id="rId1449" Type="http://schemas.openxmlformats.org/officeDocument/2006/relationships/hyperlink" Target="https://fbref.com/en/squads/1d0836d6/2024/Norrkoping-Stats" TargetMode="External"/><Relationship Id="rId619" Type="http://schemas.openxmlformats.org/officeDocument/2006/relationships/hyperlink" Target="https://fbref.com/en/country/SWE/Sweden-Football" TargetMode="External"/><Relationship Id="rId618" Type="http://schemas.openxmlformats.org/officeDocument/2006/relationships/hyperlink" Target="https://fbref.com/en/players/22671344/Albin-Gashi" TargetMode="External"/><Relationship Id="rId613" Type="http://schemas.openxmlformats.org/officeDocument/2006/relationships/hyperlink" Target="https://fbref.com/en/players/1034f1e2/matchlogs/2024/summary/Richard-Friday-Match-Logs" TargetMode="External"/><Relationship Id="rId612" Type="http://schemas.openxmlformats.org/officeDocument/2006/relationships/hyperlink" Target="https://fbref.com/en/squads/7c2d1adb/2024/GAIS-Stats" TargetMode="External"/><Relationship Id="rId611" Type="http://schemas.openxmlformats.org/officeDocument/2006/relationships/hyperlink" Target="https://fbref.com/en/country/NGA/Nigeria-Football" TargetMode="External"/><Relationship Id="rId610" Type="http://schemas.openxmlformats.org/officeDocument/2006/relationships/hyperlink" Target="https://fbref.com/en/players/1034f1e2/Richard-Friday" TargetMode="External"/><Relationship Id="rId617" Type="http://schemas.openxmlformats.org/officeDocument/2006/relationships/hyperlink" Target="https://fbref.com/en/players/768667c0/matchlogs/2024/summary/Ludvig-Fritzson-Match-Logs" TargetMode="External"/><Relationship Id="rId616" Type="http://schemas.openxmlformats.org/officeDocument/2006/relationships/hyperlink" Target="https://fbref.com/en/squads/bb9e11b2/2024/Brommapojkarna-Stats" TargetMode="External"/><Relationship Id="rId615" Type="http://schemas.openxmlformats.org/officeDocument/2006/relationships/hyperlink" Target="https://fbref.com/en/country/SWE/Sweden-Football" TargetMode="External"/><Relationship Id="rId614" Type="http://schemas.openxmlformats.org/officeDocument/2006/relationships/hyperlink" Target="https://fbref.com/en/players/768667c0/Ludvig-Fritzson" TargetMode="External"/><Relationship Id="rId1440" Type="http://schemas.openxmlformats.org/officeDocument/2006/relationships/hyperlink" Target="https://fbref.com/en/country/SWE/Sweden-Football" TargetMode="External"/><Relationship Id="rId1441" Type="http://schemas.openxmlformats.org/officeDocument/2006/relationships/hyperlink" Target="https://fbref.com/en/squads/92bfd7f0/2024/Hammarby-Stats" TargetMode="External"/><Relationship Id="rId1442" Type="http://schemas.openxmlformats.org/officeDocument/2006/relationships/hyperlink" Target="https://fbref.com/en/players/0437f092/matchlogs/2024/summary/Elton-Opancar-Match-Logs" TargetMode="External"/><Relationship Id="rId1443" Type="http://schemas.openxmlformats.org/officeDocument/2006/relationships/hyperlink" Target="https://fbref.com/en/players/d2f11b42/Rasmus-Orqvist" TargetMode="External"/><Relationship Id="rId1477" Type="http://schemas.openxmlformats.org/officeDocument/2006/relationships/hyperlink" Target="https://fbref.com/en/squads/b1a7a7b9/2024/Mjallby-Stats" TargetMode="External"/><Relationship Id="rId1478" Type="http://schemas.openxmlformats.org/officeDocument/2006/relationships/hyperlink" Target="https://fbref.com/en/players/220659a5/matchlogs/2024/summary/Johan-Persson-Ahstedt-Match-Logs" TargetMode="External"/><Relationship Id="rId1479" Type="http://schemas.openxmlformats.org/officeDocument/2006/relationships/hyperlink" Target="https://fbref.com/en/players/8092f486/Joakim-Persson" TargetMode="External"/><Relationship Id="rId646" Type="http://schemas.openxmlformats.org/officeDocument/2006/relationships/hyperlink" Target="https://fbref.com/en/players/4937cd16/Viktor-Granath" TargetMode="External"/><Relationship Id="rId645" Type="http://schemas.openxmlformats.org/officeDocument/2006/relationships/hyperlink" Target="https://fbref.com/en/players/4937cd16/matchlogs/2024/summary/Viktor-Granath-Match-Logs" TargetMode="External"/><Relationship Id="rId644" Type="http://schemas.openxmlformats.org/officeDocument/2006/relationships/hyperlink" Target="https://fbref.com/en/squads/17366e53/2024/Halmstad-Stats" TargetMode="External"/><Relationship Id="rId643" Type="http://schemas.openxmlformats.org/officeDocument/2006/relationships/hyperlink" Target="https://fbref.com/en/country/SWE/Sweden-Football" TargetMode="External"/><Relationship Id="rId649" Type="http://schemas.openxmlformats.org/officeDocument/2006/relationships/hyperlink" Target="https://fbref.com/en/players/4937cd16/matchlogs/2024/summary/Viktor-Granath-Match-Logs" TargetMode="External"/><Relationship Id="rId648" Type="http://schemas.openxmlformats.org/officeDocument/2006/relationships/hyperlink" Target="https://fbref.com/en/squads/a8481ab9/2024/Vasteras-Stats" TargetMode="External"/><Relationship Id="rId647" Type="http://schemas.openxmlformats.org/officeDocument/2006/relationships/hyperlink" Target="https://fbref.com/en/country/SWE/Sweden-Football" TargetMode="External"/><Relationship Id="rId1470" Type="http://schemas.openxmlformats.org/officeDocument/2006/relationships/hyperlink" Target="https://fbref.com/en/players/dacd983e/matchlogs/2024/summary/John-Paul-Dembe-Match-Logs" TargetMode="External"/><Relationship Id="rId1471" Type="http://schemas.openxmlformats.org/officeDocument/2006/relationships/hyperlink" Target="https://fbref.com/en/players/eda8506a/Sergio-Pena" TargetMode="External"/><Relationship Id="rId1472" Type="http://schemas.openxmlformats.org/officeDocument/2006/relationships/hyperlink" Target="https://fbref.com/en/country/PER/Peru-Football" TargetMode="External"/><Relationship Id="rId642" Type="http://schemas.openxmlformats.org/officeDocument/2006/relationships/hyperlink" Target="https://fbref.com/en/players/4937cd16/Viktor-Granath" TargetMode="External"/><Relationship Id="rId1473" Type="http://schemas.openxmlformats.org/officeDocument/2006/relationships/hyperlink" Target="https://fbref.com/en/squads/f3d8c8b9/2024/Malmo-Stats" TargetMode="External"/><Relationship Id="rId641" Type="http://schemas.openxmlformats.org/officeDocument/2006/relationships/hyperlink" Target="https://fbref.com/en/players/52cf894f/matchlogs/2024/summary/Gustav-Granath-Match-Logs" TargetMode="External"/><Relationship Id="rId1474" Type="http://schemas.openxmlformats.org/officeDocument/2006/relationships/hyperlink" Target="https://fbref.com/en/players/eda8506a/matchlogs/2024/summary/Sergio-Pena-Match-Logs" TargetMode="External"/><Relationship Id="rId640" Type="http://schemas.openxmlformats.org/officeDocument/2006/relationships/hyperlink" Target="https://fbref.com/en/squads/a8481ab9/2024/Vasteras-Stats" TargetMode="External"/><Relationship Id="rId1475" Type="http://schemas.openxmlformats.org/officeDocument/2006/relationships/hyperlink" Target="https://fbref.com/en/players/220659a5/Johan-Persson-Ahstedt" TargetMode="External"/><Relationship Id="rId1476" Type="http://schemas.openxmlformats.org/officeDocument/2006/relationships/hyperlink" Target="https://fbref.com/en/country/SWE/Sweden-Football" TargetMode="External"/><Relationship Id="rId1466" Type="http://schemas.openxmlformats.org/officeDocument/2006/relationships/hyperlink" Target="https://fbref.com/en/players/da617483/matchlogs/2024/summary/Sotirios-Papagiannopoulos-Match-Logs" TargetMode="External"/><Relationship Id="rId1467" Type="http://schemas.openxmlformats.org/officeDocument/2006/relationships/hyperlink" Target="https://fbref.com/en/players/dacd983e/John-Paul-Dembe" TargetMode="External"/><Relationship Id="rId1468" Type="http://schemas.openxmlformats.org/officeDocument/2006/relationships/hyperlink" Target="https://fbref.com/en/country/UGA/Uganda-Football" TargetMode="External"/><Relationship Id="rId1469" Type="http://schemas.openxmlformats.org/officeDocument/2006/relationships/hyperlink" Target="https://fbref.com/en/squads/8774e267/2024/BK-Hacken-Stats" TargetMode="External"/><Relationship Id="rId635" Type="http://schemas.openxmlformats.org/officeDocument/2006/relationships/hyperlink" Target="https://fbref.com/en/country/LBR/Liberia-Football" TargetMode="External"/><Relationship Id="rId634" Type="http://schemas.openxmlformats.org/officeDocument/2006/relationships/hyperlink" Target="https://fbref.com/en/players/016abc63/Emmanuel-Gono" TargetMode="External"/><Relationship Id="rId633" Type="http://schemas.openxmlformats.org/officeDocument/2006/relationships/hyperlink" Target="https://fbref.com/en/players/65465292/matchlogs/2024/summary/Robert-Gojani-Match-Logs" TargetMode="External"/><Relationship Id="rId632" Type="http://schemas.openxmlformats.org/officeDocument/2006/relationships/hyperlink" Target="https://fbref.com/en/squads/9f13771c/2024/Kalmar-Stats" TargetMode="External"/><Relationship Id="rId639" Type="http://schemas.openxmlformats.org/officeDocument/2006/relationships/hyperlink" Target="https://fbref.com/en/country/SWE/Sweden-Football" TargetMode="External"/><Relationship Id="rId638" Type="http://schemas.openxmlformats.org/officeDocument/2006/relationships/hyperlink" Target="https://fbref.com/en/players/52cf894f/Gustav-Granath" TargetMode="External"/><Relationship Id="rId637" Type="http://schemas.openxmlformats.org/officeDocument/2006/relationships/hyperlink" Target="https://fbref.com/en/players/016abc63/matchlogs/2024/summary/Emmanuel-Gono-Match-Logs" TargetMode="External"/><Relationship Id="rId636" Type="http://schemas.openxmlformats.org/officeDocument/2006/relationships/hyperlink" Target="https://fbref.com/en/squads/b0333581/2024/AIK-Stockholm-Stats" TargetMode="External"/><Relationship Id="rId1460" Type="http://schemas.openxmlformats.org/officeDocument/2006/relationships/hyperlink" Target="https://fbref.com/en/country/KEN/Kenya-Football" TargetMode="External"/><Relationship Id="rId1461" Type="http://schemas.openxmlformats.org/officeDocument/2006/relationships/hyperlink" Target="https://fbref.com/en/squads/50e85bfc/2024/Elfsborg-Stats" TargetMode="External"/><Relationship Id="rId631" Type="http://schemas.openxmlformats.org/officeDocument/2006/relationships/hyperlink" Target="https://fbref.com/en/country/SWE/Sweden-Football" TargetMode="External"/><Relationship Id="rId1462" Type="http://schemas.openxmlformats.org/officeDocument/2006/relationships/hyperlink" Target="https://fbref.com/en/players/c76c4e99/matchlogs/2024/summary/Timothy-Ouma-Match-Logs" TargetMode="External"/><Relationship Id="rId630" Type="http://schemas.openxmlformats.org/officeDocument/2006/relationships/hyperlink" Target="https://fbref.com/en/players/65465292/Robert-Gojani" TargetMode="External"/><Relationship Id="rId1463" Type="http://schemas.openxmlformats.org/officeDocument/2006/relationships/hyperlink" Target="https://fbref.com/en/players/da617483/Sotirios-Papagiannopoulos" TargetMode="External"/><Relationship Id="rId1464" Type="http://schemas.openxmlformats.org/officeDocument/2006/relationships/hyperlink" Target="https://fbref.com/en/country/SWE/Sweden-Football" TargetMode="External"/><Relationship Id="rId1465" Type="http://schemas.openxmlformats.org/officeDocument/2006/relationships/hyperlink" Target="https://fbref.com/en/squads/b0333581/2024/AIK-Stockholm-Stats" TargetMode="External"/><Relationship Id="rId1411" Type="http://schemas.openxmlformats.org/officeDocument/2006/relationships/hyperlink" Target="https://fbref.com/en/players/57467297/Phil-Ofosu-Ayeh" TargetMode="External"/><Relationship Id="rId1895" Type="http://schemas.openxmlformats.org/officeDocument/2006/relationships/hyperlink" Target="https://fbref.com/en/country/JAM/Jamaica-Football" TargetMode="External"/><Relationship Id="rId1412" Type="http://schemas.openxmlformats.org/officeDocument/2006/relationships/hyperlink" Target="https://fbref.com/en/country/GHA/Ghana-Football" TargetMode="External"/><Relationship Id="rId1896" Type="http://schemas.openxmlformats.org/officeDocument/2006/relationships/hyperlink" Target="https://fbref.com/en/squads/17366e53/2024/Halmstad-Stats" TargetMode="External"/><Relationship Id="rId1413" Type="http://schemas.openxmlformats.org/officeDocument/2006/relationships/hyperlink" Target="https://fbref.com/en/squads/17366e53/2024/Halmstad-Stats" TargetMode="External"/><Relationship Id="rId1897" Type="http://schemas.openxmlformats.org/officeDocument/2006/relationships/hyperlink" Target="https://fbref.com/en/players/2c272afa/matchlogs/2024/summary/Blair-Turgott-Match-Logs" TargetMode="External"/><Relationship Id="rId1414" Type="http://schemas.openxmlformats.org/officeDocument/2006/relationships/hyperlink" Target="https://fbref.com/en/players/57467297/matchlogs/2024/summary/Phil-Ofosu-Ayeh-Match-Logs" TargetMode="External"/><Relationship Id="rId1898" Type="http://schemas.openxmlformats.org/officeDocument/2006/relationships/hyperlink" Target="https://fbref.com/en/players/2c272afa/Blair-Turgott" TargetMode="External"/><Relationship Id="rId1415" Type="http://schemas.openxmlformats.org/officeDocument/2006/relationships/hyperlink" Target="https://fbref.com/en/players/4f4c6263/Sebastian-Ohlsson" TargetMode="External"/><Relationship Id="rId1899" Type="http://schemas.openxmlformats.org/officeDocument/2006/relationships/hyperlink" Target="https://fbref.com/en/country/JAM/Jamaica-Football" TargetMode="External"/><Relationship Id="rId1416" Type="http://schemas.openxmlformats.org/officeDocument/2006/relationships/hyperlink" Target="https://fbref.com/en/country/SWE/Sweden-Football" TargetMode="External"/><Relationship Id="rId1417" Type="http://schemas.openxmlformats.org/officeDocument/2006/relationships/hyperlink" Target="https://fbref.com/en/squads/ef1ab26a/2024/Goteborg-Stats" TargetMode="External"/><Relationship Id="rId1418" Type="http://schemas.openxmlformats.org/officeDocument/2006/relationships/hyperlink" Target="https://fbref.com/en/players/4f4c6263/matchlogs/2024/summary/Sebastian-Ohlsson-Match-Logs" TargetMode="External"/><Relationship Id="rId1419" Type="http://schemas.openxmlformats.org/officeDocument/2006/relationships/hyperlink" Target="https://fbref.com/en/players/5fb82e5f/Filip-Ohman" TargetMode="External"/><Relationship Id="rId1890" Type="http://schemas.openxmlformats.org/officeDocument/2006/relationships/hyperlink" Target="https://fbref.com/en/players/b787f0aa/Filip-Trpchevski" TargetMode="External"/><Relationship Id="rId1891" Type="http://schemas.openxmlformats.org/officeDocument/2006/relationships/hyperlink" Target="https://fbref.com/en/country/MKD/North-Macedonia-Football" TargetMode="External"/><Relationship Id="rId1892" Type="http://schemas.openxmlformats.org/officeDocument/2006/relationships/hyperlink" Target="https://fbref.com/en/squads/8774e267/2024/BK-Hacken-Stats" TargetMode="External"/><Relationship Id="rId1893" Type="http://schemas.openxmlformats.org/officeDocument/2006/relationships/hyperlink" Target="https://fbref.com/en/players/b787f0aa/matchlogs/2024/summary/Filip-Trpchevski-Match-Logs" TargetMode="External"/><Relationship Id="rId1410" Type="http://schemas.openxmlformats.org/officeDocument/2006/relationships/hyperlink" Target="https://fbref.com/en/players/58f03998/matchlogs/2024/summary/Henry-Offia-Match-Logs" TargetMode="External"/><Relationship Id="rId1894" Type="http://schemas.openxmlformats.org/officeDocument/2006/relationships/hyperlink" Target="https://fbref.com/en/players/2c272afa/Blair-Turgott" TargetMode="External"/><Relationship Id="rId1400" Type="http://schemas.openxmlformats.org/officeDocument/2006/relationships/hyperlink" Target="https://fbref.com/en/country/SWE/Sweden-Football" TargetMode="External"/><Relationship Id="rId1884" Type="http://schemas.openxmlformats.org/officeDocument/2006/relationships/hyperlink" Target="https://fbref.com/en/squads/9f13771c/2024/Kalmar-Stats" TargetMode="External"/><Relationship Id="rId1401" Type="http://schemas.openxmlformats.org/officeDocument/2006/relationships/hyperlink" Target="https://fbref.com/en/squads/1d0836d6/2024/Norrkoping-Stats" TargetMode="External"/><Relationship Id="rId1885" Type="http://schemas.openxmlformats.org/officeDocument/2006/relationships/hyperlink" Target="https://fbref.com/en/players/bcd60cb7/matchlogs/2024/summary/Jacob-Trenskow-Match-Logs" TargetMode="External"/><Relationship Id="rId1402" Type="http://schemas.openxmlformats.org/officeDocument/2006/relationships/hyperlink" Target="https://fbref.com/en/players/f9e3ef15/matchlogs/2024/summary/Christoffer-Nyman-Match-Logs" TargetMode="External"/><Relationship Id="rId1886" Type="http://schemas.openxmlformats.org/officeDocument/2006/relationships/hyperlink" Target="https://fbref.com/en/players/438ae11e/Anders-Trondsen" TargetMode="External"/><Relationship Id="rId1403" Type="http://schemas.openxmlformats.org/officeDocument/2006/relationships/hyperlink" Target="https://fbref.com/en/players/7a208c6d/Wilmer-Odefalk" TargetMode="External"/><Relationship Id="rId1887" Type="http://schemas.openxmlformats.org/officeDocument/2006/relationships/hyperlink" Target="https://fbref.com/en/country/NOR/Norway-Football" TargetMode="External"/><Relationship Id="rId1404" Type="http://schemas.openxmlformats.org/officeDocument/2006/relationships/hyperlink" Target="https://fbref.com/en/country/SWE/Sweden-Football" TargetMode="External"/><Relationship Id="rId1888" Type="http://schemas.openxmlformats.org/officeDocument/2006/relationships/hyperlink" Target="https://fbref.com/en/squads/ef1ab26a/2024/Goteborg-Stats" TargetMode="External"/><Relationship Id="rId1405" Type="http://schemas.openxmlformats.org/officeDocument/2006/relationships/hyperlink" Target="https://fbref.com/en/squads/bb9e11b2/2024/Brommapojkarna-Stats" TargetMode="External"/><Relationship Id="rId1889" Type="http://schemas.openxmlformats.org/officeDocument/2006/relationships/hyperlink" Target="https://fbref.com/en/players/438ae11e/matchlogs/2024/summary/Anders-Trondsen-Match-Logs" TargetMode="External"/><Relationship Id="rId1406" Type="http://schemas.openxmlformats.org/officeDocument/2006/relationships/hyperlink" Target="https://fbref.com/en/players/7a208c6d/matchlogs/2024/summary/Wilmer-Odefalk-Match-Logs" TargetMode="External"/><Relationship Id="rId1407" Type="http://schemas.openxmlformats.org/officeDocument/2006/relationships/hyperlink" Target="https://fbref.com/en/players/58f03998/Henry-Offia" TargetMode="External"/><Relationship Id="rId1408" Type="http://schemas.openxmlformats.org/officeDocument/2006/relationships/hyperlink" Target="https://fbref.com/en/country/NGA/Nigeria-Football" TargetMode="External"/><Relationship Id="rId1409" Type="http://schemas.openxmlformats.org/officeDocument/2006/relationships/hyperlink" Target="https://fbref.com/en/squads/a8481ab9/2024/Vasteras-Stats" TargetMode="External"/><Relationship Id="rId1880" Type="http://schemas.openxmlformats.org/officeDocument/2006/relationships/hyperlink" Target="https://fbref.com/en/squads/92bfd7f0/2024/Hammarby-Stats" TargetMode="External"/><Relationship Id="rId1881" Type="http://schemas.openxmlformats.org/officeDocument/2006/relationships/hyperlink" Target="https://fbref.com/en/players/93945a50/matchlogs/2024/summary/Bazoumana-Toure-Match-Logs" TargetMode="External"/><Relationship Id="rId1882" Type="http://schemas.openxmlformats.org/officeDocument/2006/relationships/hyperlink" Target="https://fbref.com/en/players/bcd60cb7/Jacob-Trenskow" TargetMode="External"/><Relationship Id="rId1883" Type="http://schemas.openxmlformats.org/officeDocument/2006/relationships/hyperlink" Target="https://fbref.com/en/country/DEN/Denmark-Football" TargetMode="External"/><Relationship Id="rId1433" Type="http://schemas.openxmlformats.org/officeDocument/2006/relationships/hyperlink" Target="https://fbref.com/en/squads/17366e53/2024/Halmstad-Stats" TargetMode="External"/><Relationship Id="rId1434" Type="http://schemas.openxmlformats.org/officeDocument/2006/relationships/hyperlink" Target="https://fbref.com/en/players/47e41ec8/matchlogs/2024/summary/Marcus-Olsson-Match-Logs" TargetMode="External"/><Relationship Id="rId1435" Type="http://schemas.openxmlformats.org/officeDocument/2006/relationships/hyperlink" Target="https://fbref.com/en/players/2f72f79e/Martin-Olsson" TargetMode="External"/><Relationship Id="rId1436" Type="http://schemas.openxmlformats.org/officeDocument/2006/relationships/hyperlink" Target="https://fbref.com/en/country/SWE/Sweden-Football" TargetMode="External"/><Relationship Id="rId1437" Type="http://schemas.openxmlformats.org/officeDocument/2006/relationships/hyperlink" Target="https://fbref.com/en/squads/f3d8c8b9/2024/Malmo-Stats" TargetMode="External"/><Relationship Id="rId1438" Type="http://schemas.openxmlformats.org/officeDocument/2006/relationships/hyperlink" Target="https://fbref.com/en/players/2f72f79e/matchlogs/2024/summary/Martin-Olsson-Match-Logs" TargetMode="External"/><Relationship Id="rId1439" Type="http://schemas.openxmlformats.org/officeDocument/2006/relationships/hyperlink" Target="https://fbref.com/en/players/0437f092/Elton-Opancar" TargetMode="External"/><Relationship Id="rId609" Type="http://schemas.openxmlformats.org/officeDocument/2006/relationships/hyperlink" Target="https://fbref.com/en/players/374368f1/matchlogs/2024/summary/Per-Frick-Match-Logs" TargetMode="External"/><Relationship Id="rId608" Type="http://schemas.openxmlformats.org/officeDocument/2006/relationships/hyperlink" Target="https://fbref.com/en/squads/50e85bfc/2024/Elfsborg-Stats" TargetMode="External"/><Relationship Id="rId607" Type="http://schemas.openxmlformats.org/officeDocument/2006/relationships/hyperlink" Target="https://fbref.com/en/country/SWE/Sweden-Football" TargetMode="External"/><Relationship Id="rId602" Type="http://schemas.openxmlformats.org/officeDocument/2006/relationships/hyperlink" Target="https://fbref.com/en/players/3e588bf5/Gustav-Friberg" TargetMode="External"/><Relationship Id="rId601" Type="http://schemas.openxmlformats.org/officeDocument/2006/relationships/hyperlink" Target="https://fbref.com/en/players/789b7e89/matchlogs/2024/summary/Hlynur-Freyr-Karlsson-Match-Logs" TargetMode="External"/><Relationship Id="rId600" Type="http://schemas.openxmlformats.org/officeDocument/2006/relationships/hyperlink" Target="https://fbref.com/en/squads/bb9e11b2/2024/Brommapojkarna-Stats" TargetMode="External"/><Relationship Id="rId606" Type="http://schemas.openxmlformats.org/officeDocument/2006/relationships/hyperlink" Target="https://fbref.com/en/players/374368f1/Per-Frick" TargetMode="External"/><Relationship Id="rId605" Type="http://schemas.openxmlformats.org/officeDocument/2006/relationships/hyperlink" Target="https://fbref.com/en/players/3e588bf5/matchlogs/2024/summary/Gustav-Friberg-Match-Logs" TargetMode="External"/><Relationship Id="rId604" Type="http://schemas.openxmlformats.org/officeDocument/2006/relationships/hyperlink" Target="https://fbref.com/en/squads/17366e53/2024/Halmstad-Stats" TargetMode="External"/><Relationship Id="rId603" Type="http://schemas.openxmlformats.org/officeDocument/2006/relationships/hyperlink" Target="https://fbref.com/en/country/SWE/Sweden-Football" TargetMode="External"/><Relationship Id="rId1430" Type="http://schemas.openxmlformats.org/officeDocument/2006/relationships/hyperlink" Target="https://fbref.com/en/players/03083eb8/matchlogs/2024/summary/Filip-Olsson-Match-Logs" TargetMode="External"/><Relationship Id="rId1431" Type="http://schemas.openxmlformats.org/officeDocument/2006/relationships/hyperlink" Target="https://fbref.com/en/players/47e41ec8/Marcus-Olsson" TargetMode="External"/><Relationship Id="rId1432" Type="http://schemas.openxmlformats.org/officeDocument/2006/relationships/hyperlink" Target="https://fbref.com/en/country/SWE/Sweden-Football" TargetMode="External"/><Relationship Id="rId1422" Type="http://schemas.openxmlformats.org/officeDocument/2006/relationships/hyperlink" Target="https://fbref.com/en/players/5fb82e5f/matchlogs/2024/summary/Filip-Ohman-Match-Logs" TargetMode="External"/><Relationship Id="rId1423" Type="http://schemas.openxmlformats.org/officeDocument/2006/relationships/hyperlink" Target="https://fbref.com/en/players/9e4df3ba/Lars-Olden-Larsen" TargetMode="External"/><Relationship Id="rId1424" Type="http://schemas.openxmlformats.org/officeDocument/2006/relationships/hyperlink" Target="https://fbref.com/en/country/NOR/Norway-Football" TargetMode="External"/><Relationship Id="rId1425" Type="http://schemas.openxmlformats.org/officeDocument/2006/relationships/hyperlink" Target="https://fbref.com/en/squads/8774e267/2024/BK-Hacken-Stats" TargetMode="External"/><Relationship Id="rId1426" Type="http://schemas.openxmlformats.org/officeDocument/2006/relationships/hyperlink" Target="https://fbref.com/en/players/9e4df3ba/matchlogs/2024/summary/Lars-Olden-Larsen-Match-Logs" TargetMode="External"/><Relationship Id="rId1427" Type="http://schemas.openxmlformats.org/officeDocument/2006/relationships/hyperlink" Target="https://fbref.com/en/players/03083eb8/Filip-Olsson" TargetMode="External"/><Relationship Id="rId1428" Type="http://schemas.openxmlformats.org/officeDocument/2006/relationships/hyperlink" Target="https://fbref.com/en/country/SWE/Sweden-Football" TargetMode="External"/><Relationship Id="rId1429" Type="http://schemas.openxmlformats.org/officeDocument/2006/relationships/hyperlink" Target="https://fbref.com/en/squads/e9d60d0c/2024/Sirius-Stats" TargetMode="External"/><Relationship Id="rId1420" Type="http://schemas.openxmlformats.org/officeDocument/2006/relationships/hyperlink" Target="https://fbref.com/en/country/SWE/Sweden-Football" TargetMode="External"/><Relationship Id="rId1421" Type="http://schemas.openxmlformats.org/officeDocument/2006/relationships/hyperlink" Target="https://fbref.com/en/squads/8774e267/2024/BK-Hacken-Stats" TargetMode="External"/><Relationship Id="rId1059" Type="http://schemas.openxmlformats.org/officeDocument/2006/relationships/hyperlink" Target="https://fbref.com/en/squads/d048ed60/2024/Varnamo-Stats" TargetMode="External"/><Relationship Id="rId228" Type="http://schemas.openxmlformats.org/officeDocument/2006/relationships/hyperlink" Target="https://fbref.com/en/country/SWE/Sweden-Football" TargetMode="External"/><Relationship Id="rId227" Type="http://schemas.openxmlformats.org/officeDocument/2006/relationships/hyperlink" Target="https://fbref.com/en/players/665d3deb/Jacob-Bergstrom" TargetMode="External"/><Relationship Id="rId226" Type="http://schemas.openxmlformats.org/officeDocument/2006/relationships/hyperlink" Target="https://fbref.com/en/players/b6c9898a/matchlogs/2024/summary/Viktor-Bergh-Match-Logs" TargetMode="External"/><Relationship Id="rId225" Type="http://schemas.openxmlformats.org/officeDocument/2006/relationships/hyperlink" Target="https://fbref.com/en/squads/9423c05a/2024/Djurgarden-Stats" TargetMode="External"/><Relationship Id="rId229" Type="http://schemas.openxmlformats.org/officeDocument/2006/relationships/hyperlink" Target="https://fbref.com/en/squads/b1a7a7b9/2024/Mjallby-Stats" TargetMode="External"/><Relationship Id="rId1050" Type="http://schemas.openxmlformats.org/officeDocument/2006/relationships/hyperlink" Target="https://fbref.com/en/country/SWE/Sweden-Football" TargetMode="External"/><Relationship Id="rId220" Type="http://schemas.openxmlformats.org/officeDocument/2006/relationships/hyperlink" Target="https://fbref.com/en/country/SWE/Sweden-Football" TargetMode="External"/><Relationship Id="rId1051" Type="http://schemas.openxmlformats.org/officeDocument/2006/relationships/hyperlink" Target="https://fbref.com/en/squads/ef1ab26a/2024/Goteborg-Stats" TargetMode="External"/><Relationship Id="rId1052" Type="http://schemas.openxmlformats.org/officeDocument/2006/relationships/hyperlink" Target="https://fbref.com/en/players/885bee8f/matchlogs/2024/summary/Melvin-Koliqi-Match-Logs" TargetMode="External"/><Relationship Id="rId1053" Type="http://schemas.openxmlformats.org/officeDocument/2006/relationships/hyperlink" Target="https://fbref.com/en/players/659dd009/Keita-Kosugi" TargetMode="External"/><Relationship Id="rId1054" Type="http://schemas.openxmlformats.org/officeDocument/2006/relationships/hyperlink" Target="https://fbref.com/en/country/JPN/Japan-Football" TargetMode="External"/><Relationship Id="rId224" Type="http://schemas.openxmlformats.org/officeDocument/2006/relationships/hyperlink" Target="https://fbref.com/en/country/SWE/Sweden-Football" TargetMode="External"/><Relationship Id="rId1055" Type="http://schemas.openxmlformats.org/officeDocument/2006/relationships/hyperlink" Target="https://fbref.com/en/squads/9423c05a/2024/Djurgarden-Stats" TargetMode="External"/><Relationship Id="rId223" Type="http://schemas.openxmlformats.org/officeDocument/2006/relationships/hyperlink" Target="https://fbref.com/en/players/b6c9898a/Viktor-Bergh" TargetMode="External"/><Relationship Id="rId1056" Type="http://schemas.openxmlformats.org/officeDocument/2006/relationships/hyperlink" Target="https://fbref.com/en/players/659dd009/matchlogs/2024/summary/Keita-Kosugi-Match-Logs" TargetMode="External"/><Relationship Id="rId222" Type="http://schemas.openxmlformats.org/officeDocument/2006/relationships/hyperlink" Target="https://fbref.com/en/players/b6c9898a/matchlogs/2024/summary/Viktor-Bergh-Match-Logs" TargetMode="External"/><Relationship Id="rId1057" Type="http://schemas.openxmlformats.org/officeDocument/2006/relationships/hyperlink" Target="https://fbref.com/en/players/aed4602d/Samuel-Kotto" TargetMode="External"/><Relationship Id="rId221" Type="http://schemas.openxmlformats.org/officeDocument/2006/relationships/hyperlink" Target="https://fbref.com/en/squads/d048ed60/2024/Varnamo-Stats" TargetMode="External"/><Relationship Id="rId1058" Type="http://schemas.openxmlformats.org/officeDocument/2006/relationships/hyperlink" Target="https://fbref.com/en/country/CMR/Cameroon-Football" TargetMode="External"/><Relationship Id="rId1048" Type="http://schemas.openxmlformats.org/officeDocument/2006/relationships/hyperlink" Target="https://fbref.com/en/players/b261be76/matchlogs/2024/summary/David-Kjaer-Kruse-Match-Logs" TargetMode="External"/><Relationship Id="rId1049" Type="http://schemas.openxmlformats.org/officeDocument/2006/relationships/hyperlink" Target="https://fbref.com/en/players/885bee8f/Melvin-Koliqi" TargetMode="External"/><Relationship Id="rId217" Type="http://schemas.openxmlformats.org/officeDocument/2006/relationships/hyperlink" Target="https://fbref.com/en/squads/f3d8c8b9/2024/Malmo-Stats" TargetMode="External"/><Relationship Id="rId216" Type="http://schemas.openxmlformats.org/officeDocument/2006/relationships/hyperlink" Target="https://fbref.com/en/country/NOR/Norway-Football" TargetMode="External"/><Relationship Id="rId215" Type="http://schemas.openxmlformats.org/officeDocument/2006/relationships/hyperlink" Target="https://fbref.com/en/players/6053df96/Oliver-Berg" TargetMode="External"/><Relationship Id="rId699" Type="http://schemas.openxmlformats.org/officeDocument/2006/relationships/hyperlink" Target="https://fbref.com/en/country/FIN/Finland-Football" TargetMode="External"/><Relationship Id="rId214" Type="http://schemas.openxmlformats.org/officeDocument/2006/relationships/hyperlink" Target="https://fbref.com/en/players/a0b95824/matchlogs/2024/summary/Lasse-Berg-Johnsen-Match-Logs" TargetMode="External"/><Relationship Id="rId698" Type="http://schemas.openxmlformats.org/officeDocument/2006/relationships/hyperlink" Target="https://fbref.com/en/players/2e18f55b/Santeri-Haarala" TargetMode="External"/><Relationship Id="rId219" Type="http://schemas.openxmlformats.org/officeDocument/2006/relationships/hyperlink" Target="https://fbref.com/en/players/b6c9898a/Viktor-Bergh" TargetMode="External"/><Relationship Id="rId218" Type="http://schemas.openxmlformats.org/officeDocument/2006/relationships/hyperlink" Target="https://fbref.com/en/players/6053df96/matchlogs/2024/summary/Oliver-Berg-Match-Logs" TargetMode="External"/><Relationship Id="rId693" Type="http://schemas.openxmlformats.org/officeDocument/2006/relationships/hyperlink" Target="https://fbref.com/en/players/34376913/matchlogs/2024/summary/Jesper-Gustavsson-Match-Logs" TargetMode="External"/><Relationship Id="rId1040" Type="http://schemas.openxmlformats.org/officeDocument/2006/relationships/hyperlink" Target="https://fbref.com/en/players/6962bd71/matchlogs/2024/summary/Jakob-Kiilerich-Match-Logs" TargetMode="External"/><Relationship Id="rId692" Type="http://schemas.openxmlformats.org/officeDocument/2006/relationships/hyperlink" Target="https://fbref.com/en/squads/b1a7a7b9/2024/Mjallby-Stats" TargetMode="External"/><Relationship Id="rId1041" Type="http://schemas.openxmlformats.org/officeDocument/2006/relationships/hyperlink" Target="https://fbref.com/en/players/cfdf1bfe/Jakob-Kindberg" TargetMode="External"/><Relationship Id="rId691" Type="http://schemas.openxmlformats.org/officeDocument/2006/relationships/hyperlink" Target="https://fbref.com/en/country/SWE/Sweden-Football" TargetMode="External"/><Relationship Id="rId1042" Type="http://schemas.openxmlformats.org/officeDocument/2006/relationships/hyperlink" Target="https://fbref.com/en/country/SWE/Sweden-Football" TargetMode="External"/><Relationship Id="rId690" Type="http://schemas.openxmlformats.org/officeDocument/2006/relationships/hyperlink" Target="https://fbref.com/en/players/34376913/Jesper-Gustavsson" TargetMode="External"/><Relationship Id="rId1043" Type="http://schemas.openxmlformats.org/officeDocument/2006/relationships/hyperlink" Target="https://fbref.com/en/squads/9f13771c/2024/Kalmar-Stats" TargetMode="External"/><Relationship Id="rId213" Type="http://schemas.openxmlformats.org/officeDocument/2006/relationships/hyperlink" Target="https://fbref.com/en/squads/f3d8c8b9/2024/Malmo-Stats" TargetMode="External"/><Relationship Id="rId697" Type="http://schemas.openxmlformats.org/officeDocument/2006/relationships/hyperlink" Target="https://fbref.com/en/players/316262e1/matchlogs/2024/summary/Kingsley-Gyamfi-Match-Logs" TargetMode="External"/><Relationship Id="rId1044" Type="http://schemas.openxmlformats.org/officeDocument/2006/relationships/hyperlink" Target="https://fbref.com/en/players/cfdf1bfe/matchlogs/2024/summary/Jakob-Kindberg-Match-Logs" TargetMode="External"/><Relationship Id="rId212" Type="http://schemas.openxmlformats.org/officeDocument/2006/relationships/hyperlink" Target="https://fbref.com/en/country/NOR/Norway-Football" TargetMode="External"/><Relationship Id="rId696" Type="http://schemas.openxmlformats.org/officeDocument/2006/relationships/hyperlink" Target="https://fbref.com/en/squads/92bfd7f0/2024/Hammarby-Stats" TargetMode="External"/><Relationship Id="rId1045" Type="http://schemas.openxmlformats.org/officeDocument/2006/relationships/hyperlink" Target="https://fbref.com/en/players/b261be76/David-Kjaer-Kruse" TargetMode="External"/><Relationship Id="rId211" Type="http://schemas.openxmlformats.org/officeDocument/2006/relationships/hyperlink" Target="https://fbref.com/en/players/a0b95824/Lasse-Berg-Johnsen" TargetMode="External"/><Relationship Id="rId695" Type="http://schemas.openxmlformats.org/officeDocument/2006/relationships/hyperlink" Target="https://fbref.com/en/country/GHA/Ghana-Football" TargetMode="External"/><Relationship Id="rId1046" Type="http://schemas.openxmlformats.org/officeDocument/2006/relationships/hyperlink" Target="https://fbref.com/en/country/DEN/Denmark-Football" TargetMode="External"/><Relationship Id="rId210" Type="http://schemas.openxmlformats.org/officeDocument/2006/relationships/hyperlink" Target="https://fbref.com/en/players/ce30f585/matchlogs/2024/summary/Lion-Beqiri-Match-Logs" TargetMode="External"/><Relationship Id="rId694" Type="http://schemas.openxmlformats.org/officeDocument/2006/relationships/hyperlink" Target="https://fbref.com/en/players/316262e1/Kingsley-Gyamfi" TargetMode="External"/><Relationship Id="rId1047" Type="http://schemas.openxmlformats.org/officeDocument/2006/relationships/hyperlink" Target="https://fbref.com/en/squads/ef1ab26a/2024/Goteborg-Stats" TargetMode="External"/><Relationship Id="rId249" Type="http://schemas.openxmlformats.org/officeDocument/2006/relationships/hyperlink" Target="https://fbref.com/en/squads/92bfd7f0/2024/Hammarby-Stats" TargetMode="External"/><Relationship Id="rId248" Type="http://schemas.openxmlformats.org/officeDocument/2006/relationships/hyperlink" Target="https://fbref.com/en/country/SWE/Sweden-Football" TargetMode="External"/><Relationship Id="rId247" Type="http://schemas.openxmlformats.org/officeDocument/2006/relationships/hyperlink" Target="https://fbref.com/en/players/2fadcd15/Nahir-Besara" TargetMode="External"/><Relationship Id="rId1070" Type="http://schemas.openxmlformats.org/officeDocument/2006/relationships/hyperlink" Target="https://fbref.com/en/country/SWE/Sweden-Football" TargetMode="External"/><Relationship Id="rId1071" Type="http://schemas.openxmlformats.org/officeDocument/2006/relationships/hyperlink" Target="https://fbref.com/en/squads/1d0836d6/2024/Norrkoping-Stats" TargetMode="External"/><Relationship Id="rId1072" Type="http://schemas.openxmlformats.org/officeDocument/2006/relationships/hyperlink" Target="https://fbref.com/en/players/0f4a6872/matchlogs/2024/summary/Theo-Krantz-Match-Logs" TargetMode="External"/><Relationship Id="rId242" Type="http://schemas.openxmlformats.org/officeDocument/2006/relationships/hyperlink" Target="https://fbref.com/en/players/beb11e3d/matchlogs/2024/summary/Theo-Bergvall-Match-Logs" TargetMode="External"/><Relationship Id="rId1073" Type="http://schemas.openxmlformats.org/officeDocument/2006/relationships/hyperlink" Target="https://fbref.com/en/players/5a290e60/Dion-Krasniqi" TargetMode="External"/><Relationship Id="rId241" Type="http://schemas.openxmlformats.org/officeDocument/2006/relationships/hyperlink" Target="https://fbref.com/en/squads/9423c05a/2024/Djurgarden-Stats" TargetMode="External"/><Relationship Id="rId1074" Type="http://schemas.openxmlformats.org/officeDocument/2006/relationships/hyperlink" Target="https://fbref.com/en/country/KVX/Kosovo-Football" TargetMode="External"/><Relationship Id="rId240" Type="http://schemas.openxmlformats.org/officeDocument/2006/relationships/hyperlink" Target="https://fbref.com/en/country/SWE/Sweden-Football" TargetMode="External"/><Relationship Id="rId1075" Type="http://schemas.openxmlformats.org/officeDocument/2006/relationships/hyperlink" Target="https://fbref.com/en/squads/50e85bfc/2024/Elfsborg-Stats" TargetMode="External"/><Relationship Id="rId1076" Type="http://schemas.openxmlformats.org/officeDocument/2006/relationships/hyperlink" Target="https://fbref.com/en/players/5a290e60/matchlogs/2024/summary/Dion-Krasniqi-Match-Logs" TargetMode="External"/><Relationship Id="rId246" Type="http://schemas.openxmlformats.org/officeDocument/2006/relationships/hyperlink" Target="https://fbref.com/en/players/beb11e3d/matchlogs/2024/summary/Theo-Bergvall-Match-Logs" TargetMode="External"/><Relationship Id="rId1077" Type="http://schemas.openxmlformats.org/officeDocument/2006/relationships/hyperlink" Target="https://fbref.com/en/players/5a290e60/Dion-Krasniqi" TargetMode="External"/><Relationship Id="rId245" Type="http://schemas.openxmlformats.org/officeDocument/2006/relationships/hyperlink" Target="https://fbref.com/en/squads/bb9e11b2/2024/Brommapojkarna-Stats" TargetMode="External"/><Relationship Id="rId1078" Type="http://schemas.openxmlformats.org/officeDocument/2006/relationships/hyperlink" Target="https://fbref.com/en/country/KVX/Kosovo-Football" TargetMode="External"/><Relationship Id="rId244" Type="http://schemas.openxmlformats.org/officeDocument/2006/relationships/hyperlink" Target="https://fbref.com/en/country/SWE/Sweden-Football" TargetMode="External"/><Relationship Id="rId1079" Type="http://schemas.openxmlformats.org/officeDocument/2006/relationships/hyperlink" Target="https://fbref.com/en/squads/9f13771c/2024/Kalmar-Stats" TargetMode="External"/><Relationship Id="rId243" Type="http://schemas.openxmlformats.org/officeDocument/2006/relationships/hyperlink" Target="https://fbref.com/en/players/beb11e3d/Theo-Bergvall" TargetMode="External"/><Relationship Id="rId239" Type="http://schemas.openxmlformats.org/officeDocument/2006/relationships/hyperlink" Target="https://fbref.com/en/players/beb11e3d/Theo-Bergvall" TargetMode="External"/><Relationship Id="rId238" Type="http://schemas.openxmlformats.org/officeDocument/2006/relationships/hyperlink" Target="https://fbref.com/en/players/a109e5c8/matchlogs/2024/summary/Lucas-Bergvall-Match-Logs" TargetMode="External"/><Relationship Id="rId237" Type="http://schemas.openxmlformats.org/officeDocument/2006/relationships/hyperlink" Target="https://fbref.com/en/squads/9423c05a/2024/Djurgarden-Stats" TargetMode="External"/><Relationship Id="rId236" Type="http://schemas.openxmlformats.org/officeDocument/2006/relationships/hyperlink" Target="https://fbref.com/en/country/SWE/Sweden-Football" TargetMode="External"/><Relationship Id="rId1060" Type="http://schemas.openxmlformats.org/officeDocument/2006/relationships/hyperlink" Target="https://fbref.com/en/players/aed4602d/matchlogs/2024/summary/Samuel-Kotto-Match-Logs" TargetMode="External"/><Relationship Id="rId1061" Type="http://schemas.openxmlformats.org/officeDocument/2006/relationships/hyperlink" Target="https://fbref.com/en/players/d935c83b/Anton-Kralj" TargetMode="External"/><Relationship Id="rId231" Type="http://schemas.openxmlformats.org/officeDocument/2006/relationships/hyperlink" Target="https://fbref.com/en/players/b59c2a92/Lucas-Bergstrom" TargetMode="External"/><Relationship Id="rId1062" Type="http://schemas.openxmlformats.org/officeDocument/2006/relationships/hyperlink" Target="https://fbref.com/en/country/SWE/Sweden-Football" TargetMode="External"/><Relationship Id="rId230" Type="http://schemas.openxmlformats.org/officeDocument/2006/relationships/hyperlink" Target="https://fbref.com/en/players/665d3deb/matchlogs/2024/summary/Jacob-Bergstrom-Match-Logs" TargetMode="External"/><Relationship Id="rId1063" Type="http://schemas.openxmlformats.org/officeDocument/2006/relationships/hyperlink" Target="https://fbref.com/en/squads/92bfd7f0/2024/Hammarby-Stats" TargetMode="External"/><Relationship Id="rId1064" Type="http://schemas.openxmlformats.org/officeDocument/2006/relationships/hyperlink" Target="https://fbref.com/en/players/d935c83b/matchlogs/2024/summary/Anton-Kralj-Match-Logs" TargetMode="External"/><Relationship Id="rId1065" Type="http://schemas.openxmlformats.org/officeDocument/2006/relationships/hyperlink" Target="https://fbref.com/en/players/e83432da/Erik-Krantz" TargetMode="External"/><Relationship Id="rId235" Type="http://schemas.openxmlformats.org/officeDocument/2006/relationships/hyperlink" Target="https://fbref.com/en/players/a109e5c8/Lucas-Bergvall" TargetMode="External"/><Relationship Id="rId1066" Type="http://schemas.openxmlformats.org/officeDocument/2006/relationships/hyperlink" Target="https://fbref.com/en/country/SWE/Sweden-Football" TargetMode="External"/><Relationship Id="rId234" Type="http://schemas.openxmlformats.org/officeDocument/2006/relationships/hyperlink" Target="https://fbref.com/en/players/b59c2a92/matchlogs/2024/summary/Lucas-Bergstrom-Match-Logs" TargetMode="External"/><Relationship Id="rId1067" Type="http://schemas.openxmlformats.org/officeDocument/2006/relationships/hyperlink" Target="https://fbref.com/en/squads/7c2d1adb/2024/GAIS-Stats" TargetMode="External"/><Relationship Id="rId233" Type="http://schemas.openxmlformats.org/officeDocument/2006/relationships/hyperlink" Target="https://fbref.com/en/squads/bb9e11b2/2024/Brommapojkarna-Stats" TargetMode="External"/><Relationship Id="rId1068" Type="http://schemas.openxmlformats.org/officeDocument/2006/relationships/hyperlink" Target="https://fbref.com/en/players/e83432da/matchlogs/2024/summary/Erik-Krantz-Match-Logs" TargetMode="External"/><Relationship Id="rId232" Type="http://schemas.openxmlformats.org/officeDocument/2006/relationships/hyperlink" Target="https://fbref.com/en/country/FIN/Finland-Football" TargetMode="External"/><Relationship Id="rId1069" Type="http://schemas.openxmlformats.org/officeDocument/2006/relationships/hyperlink" Target="https://fbref.com/en/players/0f4a6872/Theo-Krantz" TargetMode="External"/><Relationship Id="rId1015" Type="http://schemas.openxmlformats.org/officeDocument/2006/relationships/hyperlink" Target="https://fbref.com/en/squads/92bfd7f0/2024/Hammarby-Stats" TargetMode="External"/><Relationship Id="rId1499" Type="http://schemas.openxmlformats.org/officeDocument/2006/relationships/hyperlink" Target="https://fbref.com/en/players/cbdaa6cf/Paya-Pichkah" TargetMode="External"/><Relationship Id="rId1016" Type="http://schemas.openxmlformats.org/officeDocument/2006/relationships/hyperlink" Target="https://fbref.com/en/players/7bf158d6/matchlogs/2024/summary/Markus-Karlsson-Match-Logs" TargetMode="External"/><Relationship Id="rId1017" Type="http://schemas.openxmlformats.org/officeDocument/2006/relationships/hyperlink" Target="https://fbref.com/en/players/29f54da0/Tobias-Karlsson" TargetMode="External"/><Relationship Id="rId1018" Type="http://schemas.openxmlformats.org/officeDocument/2006/relationships/hyperlink" Target="https://fbref.com/en/country/SWE/Sweden-Football" TargetMode="External"/><Relationship Id="rId1019" Type="http://schemas.openxmlformats.org/officeDocument/2006/relationships/hyperlink" Target="https://fbref.com/en/squads/e9d60d0c/2024/Sirius-Stats" TargetMode="External"/><Relationship Id="rId668" Type="http://schemas.openxmlformats.org/officeDocument/2006/relationships/hyperlink" Target="https://fbref.com/en/squads/92bfd7f0/2024/Hammarby-Stats" TargetMode="External"/><Relationship Id="rId667" Type="http://schemas.openxmlformats.org/officeDocument/2006/relationships/hyperlink" Target="https://fbref.com/en/country/TUR/Turkey-Football" TargetMode="External"/><Relationship Id="rId666" Type="http://schemas.openxmlformats.org/officeDocument/2006/relationships/hyperlink" Target="https://fbref.com/en/players/f0fb443e/Deniz-Gul" TargetMode="External"/><Relationship Id="rId665" Type="http://schemas.openxmlformats.org/officeDocument/2006/relationships/hyperlink" Target="https://fbref.com/en/players/99bebd12/matchlogs/2024/summary/John-Guidetti-Match-Logs" TargetMode="External"/><Relationship Id="rId669" Type="http://schemas.openxmlformats.org/officeDocument/2006/relationships/hyperlink" Target="https://fbref.com/en/players/f0fb443e/matchlogs/2024/summary/Deniz-Gul-Match-Logs" TargetMode="External"/><Relationship Id="rId1490" Type="http://schemas.openxmlformats.org/officeDocument/2006/relationships/hyperlink" Target="https://fbref.com/en/players/38e91805/matchlogs/2024/summary/Isak-Pettersson-Match-Logs" TargetMode="External"/><Relationship Id="rId660" Type="http://schemas.openxmlformats.org/officeDocument/2006/relationships/hyperlink" Target="https://fbref.com/en/squads/f3d8c8b9/2024/Malmo-Stats" TargetMode="External"/><Relationship Id="rId1491" Type="http://schemas.openxmlformats.org/officeDocument/2006/relationships/hyperlink" Target="https://fbref.com/en/players/cb54b01f/Oscar-Pettersson" TargetMode="External"/><Relationship Id="rId1492" Type="http://schemas.openxmlformats.org/officeDocument/2006/relationships/hyperlink" Target="https://fbref.com/en/country/SWE/Sweden-Football" TargetMode="External"/><Relationship Id="rId1493" Type="http://schemas.openxmlformats.org/officeDocument/2006/relationships/hyperlink" Target="https://fbref.com/en/squads/ef1ab26a/2024/Goteborg-Stats" TargetMode="External"/><Relationship Id="rId1010" Type="http://schemas.openxmlformats.org/officeDocument/2006/relationships/hyperlink" Target="https://fbref.com/en/country/SWE/Sweden-Football" TargetMode="External"/><Relationship Id="rId1494" Type="http://schemas.openxmlformats.org/officeDocument/2006/relationships/hyperlink" Target="https://fbref.com/en/players/cb54b01f/matchlogs/2024/summary/Oscar-Pettersson-Match-Logs" TargetMode="External"/><Relationship Id="rId664" Type="http://schemas.openxmlformats.org/officeDocument/2006/relationships/hyperlink" Target="https://fbref.com/en/squads/b0333581/2024/AIK-Stockholm-Stats" TargetMode="External"/><Relationship Id="rId1011" Type="http://schemas.openxmlformats.org/officeDocument/2006/relationships/hyperlink" Target="https://fbref.com/en/squads/9f13771c/2024/Kalmar-Stats" TargetMode="External"/><Relationship Id="rId1495" Type="http://schemas.openxmlformats.org/officeDocument/2006/relationships/hyperlink" Target="https://fbref.com/en/players/c1268aa3/Tom-Pettersson" TargetMode="External"/><Relationship Id="rId663" Type="http://schemas.openxmlformats.org/officeDocument/2006/relationships/hyperlink" Target="https://fbref.com/en/country/SWE/Sweden-Football" TargetMode="External"/><Relationship Id="rId1012" Type="http://schemas.openxmlformats.org/officeDocument/2006/relationships/hyperlink" Target="https://fbref.com/en/players/03ee1876/matchlogs/2024/summary/Johan-Karlsson-Match-Logs" TargetMode="External"/><Relationship Id="rId1496" Type="http://schemas.openxmlformats.org/officeDocument/2006/relationships/hyperlink" Target="https://fbref.com/en/country/SWE/Sweden-Football" TargetMode="External"/><Relationship Id="rId662" Type="http://schemas.openxmlformats.org/officeDocument/2006/relationships/hyperlink" Target="https://fbref.com/en/players/99bebd12/John-Guidetti" TargetMode="External"/><Relationship Id="rId1013" Type="http://schemas.openxmlformats.org/officeDocument/2006/relationships/hyperlink" Target="https://fbref.com/en/players/7bf158d6/Markus-Karlsson" TargetMode="External"/><Relationship Id="rId1497" Type="http://schemas.openxmlformats.org/officeDocument/2006/relationships/hyperlink" Target="https://fbref.com/en/squads/b1a7a7b9/2024/Mjallby-Stats" TargetMode="External"/><Relationship Id="rId661" Type="http://schemas.openxmlformats.org/officeDocument/2006/relationships/hyperlink" Target="https://fbref.com/en/players/cf04a4c7/matchlogs/2024/summary/Daniel-Gudjohnsen-Match-Logs" TargetMode="External"/><Relationship Id="rId1014" Type="http://schemas.openxmlformats.org/officeDocument/2006/relationships/hyperlink" Target="https://fbref.com/en/country/SWE/Sweden-Football" TargetMode="External"/><Relationship Id="rId1498" Type="http://schemas.openxmlformats.org/officeDocument/2006/relationships/hyperlink" Target="https://fbref.com/en/players/c1268aa3/matchlogs/2024/summary/Tom-Pettersson-Match-Logs" TargetMode="External"/><Relationship Id="rId1004" Type="http://schemas.openxmlformats.org/officeDocument/2006/relationships/hyperlink" Target="https://fbref.com/en/players/6b6dbfd9/matchlogs/2024/summary/Johnbosco-Kalu-Match-Logs" TargetMode="External"/><Relationship Id="rId1488" Type="http://schemas.openxmlformats.org/officeDocument/2006/relationships/hyperlink" Target="https://fbref.com/en/country/SWE/Sweden-Football" TargetMode="External"/><Relationship Id="rId1005" Type="http://schemas.openxmlformats.org/officeDocument/2006/relationships/hyperlink" Target="https://fbref.com/en/players/09cb9776/Jardell-Kanga" TargetMode="External"/><Relationship Id="rId1489" Type="http://schemas.openxmlformats.org/officeDocument/2006/relationships/hyperlink" Target="https://fbref.com/en/squads/50e85bfc/2024/Elfsborg-Stats" TargetMode="External"/><Relationship Id="rId1006" Type="http://schemas.openxmlformats.org/officeDocument/2006/relationships/hyperlink" Target="https://fbref.com/en/country/SWE/Sweden-Football" TargetMode="External"/><Relationship Id="rId1007" Type="http://schemas.openxmlformats.org/officeDocument/2006/relationships/hyperlink" Target="https://fbref.com/en/squads/92bfd7f0/2024/Hammarby-Stats" TargetMode="External"/><Relationship Id="rId1008" Type="http://schemas.openxmlformats.org/officeDocument/2006/relationships/hyperlink" Target="https://fbref.com/en/players/09cb9776/matchlogs/2024/summary/Jardell-Kanga-Match-Logs" TargetMode="External"/><Relationship Id="rId1009" Type="http://schemas.openxmlformats.org/officeDocument/2006/relationships/hyperlink" Target="https://fbref.com/en/players/03ee1876/Johan-Karlsson" TargetMode="External"/><Relationship Id="rId657" Type="http://schemas.openxmlformats.org/officeDocument/2006/relationships/hyperlink" Target="https://fbref.com/en/players/0f4ff0e8/matchlogs/2024/summary/Emin-Grozdanic-Match-Logs" TargetMode="External"/><Relationship Id="rId656" Type="http://schemas.openxmlformats.org/officeDocument/2006/relationships/hyperlink" Target="https://fbref.com/en/squads/d048ed60/2024/Varnamo-Stats" TargetMode="External"/><Relationship Id="rId655" Type="http://schemas.openxmlformats.org/officeDocument/2006/relationships/hyperlink" Target="https://fbref.com/en/country/SWE/Sweden-Football" TargetMode="External"/><Relationship Id="rId654" Type="http://schemas.openxmlformats.org/officeDocument/2006/relationships/hyperlink" Target="https://fbref.com/en/players/0f4ff0e8/Emin-Grozdanic" TargetMode="External"/><Relationship Id="rId659" Type="http://schemas.openxmlformats.org/officeDocument/2006/relationships/hyperlink" Target="https://fbref.com/en/country/ISL/Iceland-Football" TargetMode="External"/><Relationship Id="rId658" Type="http://schemas.openxmlformats.org/officeDocument/2006/relationships/hyperlink" Target="https://fbref.com/en/players/cf04a4c7/Daniel-Gudjohnsen" TargetMode="External"/><Relationship Id="rId1480" Type="http://schemas.openxmlformats.org/officeDocument/2006/relationships/hyperlink" Target="https://fbref.com/en/country/SWE/Sweden-Football" TargetMode="External"/><Relationship Id="rId1481" Type="http://schemas.openxmlformats.org/officeDocument/2006/relationships/hyperlink" Target="https://fbref.com/en/squads/e9d60d0c/2024/Sirius-Stats" TargetMode="External"/><Relationship Id="rId1482" Type="http://schemas.openxmlformats.org/officeDocument/2006/relationships/hyperlink" Target="https://fbref.com/en/players/8092f486/matchlogs/2024/summary/Joakim-Persson-Match-Logs" TargetMode="External"/><Relationship Id="rId1483" Type="http://schemas.openxmlformats.org/officeDocument/2006/relationships/hyperlink" Target="https://fbref.com/en/players/f6571475/Joakim-Persson" TargetMode="External"/><Relationship Id="rId653" Type="http://schemas.openxmlformats.org/officeDocument/2006/relationships/hyperlink" Target="https://fbref.com/en/players/d1328a96/matchlogs/2024/summary/Villiam-Granath-Match-Logs" TargetMode="External"/><Relationship Id="rId1000" Type="http://schemas.openxmlformats.org/officeDocument/2006/relationships/hyperlink" Target="https://fbref.com/en/players/b1120985/matchlogs/2024/summary/Yahya-Kalley-Match-Logs" TargetMode="External"/><Relationship Id="rId1484" Type="http://schemas.openxmlformats.org/officeDocument/2006/relationships/hyperlink" Target="https://fbref.com/en/country/SWE/Sweden-Football" TargetMode="External"/><Relationship Id="rId652" Type="http://schemas.openxmlformats.org/officeDocument/2006/relationships/hyperlink" Target="https://fbref.com/en/squads/17366e53/2024/Halmstad-Stats" TargetMode="External"/><Relationship Id="rId1001" Type="http://schemas.openxmlformats.org/officeDocument/2006/relationships/hyperlink" Target="https://fbref.com/en/players/6b6dbfd9/Johnbosco-Kalu" TargetMode="External"/><Relationship Id="rId1485" Type="http://schemas.openxmlformats.org/officeDocument/2006/relationships/hyperlink" Target="https://fbref.com/en/squads/f3d8c8b9/2024/Malmo-Stats" TargetMode="External"/><Relationship Id="rId651" Type="http://schemas.openxmlformats.org/officeDocument/2006/relationships/hyperlink" Target="https://fbref.com/en/country/SWE/Sweden-Football" TargetMode="External"/><Relationship Id="rId1002" Type="http://schemas.openxmlformats.org/officeDocument/2006/relationships/hyperlink" Target="https://fbref.com/en/country/NGA/Nigeria-Football" TargetMode="External"/><Relationship Id="rId1486" Type="http://schemas.openxmlformats.org/officeDocument/2006/relationships/hyperlink" Target="https://fbref.com/en/players/f6571475/matchlogs/2024/summary/Joakim-Persson-Match-Logs" TargetMode="External"/><Relationship Id="rId650" Type="http://schemas.openxmlformats.org/officeDocument/2006/relationships/hyperlink" Target="https://fbref.com/en/players/d1328a96/Villiam-Granath" TargetMode="External"/><Relationship Id="rId1003" Type="http://schemas.openxmlformats.org/officeDocument/2006/relationships/hyperlink" Target="https://fbref.com/en/squads/d048ed60/2024/Varnamo-Stats" TargetMode="External"/><Relationship Id="rId1487" Type="http://schemas.openxmlformats.org/officeDocument/2006/relationships/hyperlink" Target="https://fbref.com/en/players/38e91805/Isak-Pettersson" TargetMode="External"/><Relationship Id="rId1037" Type="http://schemas.openxmlformats.org/officeDocument/2006/relationships/hyperlink" Target="https://fbref.com/en/players/6962bd71/Jakob-Kiilerich" TargetMode="External"/><Relationship Id="rId1038" Type="http://schemas.openxmlformats.org/officeDocument/2006/relationships/hyperlink" Target="https://fbref.com/en/country/DEN/Denmark-Football" TargetMode="External"/><Relationship Id="rId1039" Type="http://schemas.openxmlformats.org/officeDocument/2006/relationships/hyperlink" Target="https://fbref.com/en/squads/b1a7a7b9/2024/Mjallby-Stats" TargetMode="External"/><Relationship Id="rId206" Type="http://schemas.openxmlformats.org/officeDocument/2006/relationships/hyperlink" Target="https://fbref.com/en/players/8be7e8db/matchlogs/2024/summary/Adam-Benediktsson-Match-Logs" TargetMode="External"/><Relationship Id="rId205" Type="http://schemas.openxmlformats.org/officeDocument/2006/relationships/hyperlink" Target="https://fbref.com/en/squads/ef1ab26a/2024/Goteborg-Stats" TargetMode="External"/><Relationship Id="rId689" Type="http://schemas.openxmlformats.org/officeDocument/2006/relationships/hyperlink" Target="https://fbref.com/en/players/385c6006/matchlogs/2024/summary/Viktor-Gustafsson-Match-Logs" TargetMode="External"/><Relationship Id="rId204" Type="http://schemas.openxmlformats.org/officeDocument/2006/relationships/hyperlink" Target="https://fbref.com/en/country/ISL/Iceland-Football" TargetMode="External"/><Relationship Id="rId688" Type="http://schemas.openxmlformats.org/officeDocument/2006/relationships/hyperlink" Target="https://fbref.com/en/squads/b1a7a7b9/2024/Mjallby-Stats" TargetMode="External"/><Relationship Id="rId203" Type="http://schemas.openxmlformats.org/officeDocument/2006/relationships/hyperlink" Target="https://fbref.com/en/players/8be7e8db/Adam-Benediktsson" TargetMode="External"/><Relationship Id="rId687" Type="http://schemas.openxmlformats.org/officeDocument/2006/relationships/hyperlink" Target="https://fbref.com/en/country/SWE/Sweden-Football" TargetMode="External"/><Relationship Id="rId209" Type="http://schemas.openxmlformats.org/officeDocument/2006/relationships/hyperlink" Target="https://fbref.com/en/squads/ef1ab26a/2024/Goteborg-Stats" TargetMode="External"/><Relationship Id="rId208" Type="http://schemas.openxmlformats.org/officeDocument/2006/relationships/hyperlink" Target="https://fbref.com/en/country/SWE/Sweden-Football" TargetMode="External"/><Relationship Id="rId207" Type="http://schemas.openxmlformats.org/officeDocument/2006/relationships/hyperlink" Target="https://fbref.com/en/players/ce30f585/Lion-Beqiri" TargetMode="External"/><Relationship Id="rId682" Type="http://schemas.openxmlformats.org/officeDocument/2006/relationships/hyperlink" Target="https://fbref.com/en/players/e035fef6/Filip-Gustafsson" TargetMode="External"/><Relationship Id="rId681" Type="http://schemas.openxmlformats.org/officeDocument/2006/relationships/hyperlink" Target="https://fbref.com/en/players/d7556379/matchlogs/2024/summary/Simon-Gustafson-Match-Logs" TargetMode="External"/><Relationship Id="rId1030" Type="http://schemas.openxmlformats.org/officeDocument/2006/relationships/hyperlink" Target="https://fbref.com/en/country/SWE/Sweden-Football" TargetMode="External"/><Relationship Id="rId680" Type="http://schemas.openxmlformats.org/officeDocument/2006/relationships/hyperlink" Target="https://fbref.com/en/squads/8774e267/2024/BK-Hacken-Stats" TargetMode="External"/><Relationship Id="rId1031" Type="http://schemas.openxmlformats.org/officeDocument/2006/relationships/hyperlink" Target="https://fbref.com/en/squads/1d0836d6/2024/Norrkoping-Stats" TargetMode="External"/><Relationship Id="rId1032" Type="http://schemas.openxmlformats.org/officeDocument/2006/relationships/hyperlink" Target="https://fbref.com/en/players/8b2e1b87/matchlogs/2024/summary/Kristoffer-Khazeni-Match-Logs" TargetMode="External"/><Relationship Id="rId202" Type="http://schemas.openxmlformats.org/officeDocument/2006/relationships/hyperlink" Target="https://fbref.com/en/players/7d88e3b5/matchlogs/2024/summary/Filip-Beckman-Match-Logs" TargetMode="External"/><Relationship Id="rId686" Type="http://schemas.openxmlformats.org/officeDocument/2006/relationships/hyperlink" Target="https://fbref.com/en/players/385c6006/Viktor-Gustafsson" TargetMode="External"/><Relationship Id="rId1033" Type="http://schemas.openxmlformats.org/officeDocument/2006/relationships/hyperlink" Target="https://fbref.com/en/players/b956af7d/Isaac-Kiese-Thelin" TargetMode="External"/><Relationship Id="rId201" Type="http://schemas.openxmlformats.org/officeDocument/2006/relationships/hyperlink" Target="https://fbref.com/en/squads/7c2d1adb/2024/GAIS-Stats" TargetMode="External"/><Relationship Id="rId685" Type="http://schemas.openxmlformats.org/officeDocument/2006/relationships/hyperlink" Target="https://fbref.com/en/players/e035fef6/matchlogs/2024/summary/Filip-Gustafsson-Match-Logs" TargetMode="External"/><Relationship Id="rId1034" Type="http://schemas.openxmlformats.org/officeDocument/2006/relationships/hyperlink" Target="https://fbref.com/en/country/SWE/Sweden-Football" TargetMode="External"/><Relationship Id="rId200" Type="http://schemas.openxmlformats.org/officeDocument/2006/relationships/hyperlink" Target="https://fbref.com/en/country/SWE/Sweden-Football" TargetMode="External"/><Relationship Id="rId684" Type="http://schemas.openxmlformats.org/officeDocument/2006/relationships/hyperlink" Target="https://fbref.com/en/squads/7c2d1adb/2024/GAIS-Stats" TargetMode="External"/><Relationship Id="rId1035" Type="http://schemas.openxmlformats.org/officeDocument/2006/relationships/hyperlink" Target="https://fbref.com/en/squads/f3d8c8b9/2024/Malmo-Stats" TargetMode="External"/><Relationship Id="rId683" Type="http://schemas.openxmlformats.org/officeDocument/2006/relationships/hyperlink" Target="https://fbref.com/en/country/SWE/Sweden-Football" TargetMode="External"/><Relationship Id="rId1036" Type="http://schemas.openxmlformats.org/officeDocument/2006/relationships/hyperlink" Target="https://fbref.com/en/players/b956af7d/matchlogs/2024/summary/Isaac-Kiese-Thelin-Match-Logs" TargetMode="External"/><Relationship Id="rId1026" Type="http://schemas.openxmlformats.org/officeDocument/2006/relationships/hyperlink" Target="https://fbref.com/en/country/SWE/Sweden-Football" TargetMode="External"/><Relationship Id="rId1027" Type="http://schemas.openxmlformats.org/officeDocument/2006/relationships/hyperlink" Target="https://fbref.com/en/squads/d048ed60/2024/Varnamo-Stats" TargetMode="External"/><Relationship Id="rId1028" Type="http://schemas.openxmlformats.org/officeDocument/2006/relationships/hyperlink" Target="https://fbref.com/en/players/220b4575/matchlogs/2024/summary/William-Kenndal-Match-Logs" TargetMode="External"/><Relationship Id="rId1029" Type="http://schemas.openxmlformats.org/officeDocument/2006/relationships/hyperlink" Target="https://fbref.com/en/players/8b2e1b87/Kristoffer-Khazeni" TargetMode="External"/><Relationship Id="rId679" Type="http://schemas.openxmlformats.org/officeDocument/2006/relationships/hyperlink" Target="https://fbref.com/en/country/SWE/Sweden-Football" TargetMode="External"/><Relationship Id="rId678" Type="http://schemas.openxmlformats.org/officeDocument/2006/relationships/hyperlink" Target="https://fbref.com/en/players/d7556379/Simon-Gustafson" TargetMode="External"/><Relationship Id="rId677" Type="http://schemas.openxmlformats.org/officeDocument/2006/relationships/hyperlink" Target="https://fbref.com/en/players/e3bbf552/matchlogs/2024/summary/Karl-Gunnarsson-Match-Logs" TargetMode="External"/><Relationship Id="rId676" Type="http://schemas.openxmlformats.org/officeDocument/2006/relationships/hyperlink" Target="https://fbref.com/en/squads/a8481ab9/2024/Vasteras-Stats" TargetMode="External"/><Relationship Id="rId671" Type="http://schemas.openxmlformats.org/officeDocument/2006/relationships/hyperlink" Target="https://fbref.com/en/country/NOR/Norway-Football" TargetMode="External"/><Relationship Id="rId670" Type="http://schemas.openxmlformats.org/officeDocument/2006/relationships/hyperlink" Target="https://fbref.com/en/players/7f24d8d9/Tobias-Gulliksen" TargetMode="External"/><Relationship Id="rId1020" Type="http://schemas.openxmlformats.org/officeDocument/2006/relationships/hyperlink" Target="https://fbref.com/en/players/29f54da0/matchlogs/2024/summary/Tobias-Karlsson-Match-Logs" TargetMode="External"/><Relationship Id="rId1021" Type="http://schemas.openxmlformats.org/officeDocument/2006/relationships/hyperlink" Target="https://fbref.com/en/players/eb6fac77/Jacob-Karlstrom" TargetMode="External"/><Relationship Id="rId675" Type="http://schemas.openxmlformats.org/officeDocument/2006/relationships/hyperlink" Target="https://fbref.com/en/country/SWE/Sweden-Football" TargetMode="External"/><Relationship Id="rId1022" Type="http://schemas.openxmlformats.org/officeDocument/2006/relationships/hyperlink" Target="https://fbref.com/en/country/NOR/Norway-Football" TargetMode="External"/><Relationship Id="rId674" Type="http://schemas.openxmlformats.org/officeDocument/2006/relationships/hyperlink" Target="https://fbref.com/en/players/e3bbf552/Karl-Gunnarsson" TargetMode="External"/><Relationship Id="rId1023" Type="http://schemas.openxmlformats.org/officeDocument/2006/relationships/hyperlink" Target="https://fbref.com/en/squads/ef1ab26a/2024/Goteborg-Stats" TargetMode="External"/><Relationship Id="rId673" Type="http://schemas.openxmlformats.org/officeDocument/2006/relationships/hyperlink" Target="https://fbref.com/en/players/7f24d8d9/matchlogs/2024/summary/Tobias-Gulliksen-Match-Logs" TargetMode="External"/><Relationship Id="rId1024" Type="http://schemas.openxmlformats.org/officeDocument/2006/relationships/hyperlink" Target="https://fbref.com/en/players/eb6fac77/matchlogs/2024/summary/Jacob-Karlstrom-Match-Logs" TargetMode="External"/><Relationship Id="rId672" Type="http://schemas.openxmlformats.org/officeDocument/2006/relationships/hyperlink" Target="https://fbref.com/en/squads/9423c05a/2024/Djurgarden-Stats" TargetMode="External"/><Relationship Id="rId1025" Type="http://schemas.openxmlformats.org/officeDocument/2006/relationships/hyperlink" Target="https://fbref.com/en/players/220b4575/William-Kenndal" TargetMode="External"/><Relationship Id="rId190" Type="http://schemas.openxmlformats.org/officeDocument/2006/relationships/hyperlink" Target="https://fbref.com/en/players/a9e5bc99/matchlogs/2024/summary/Kaare-Barslund-Match-Logs" TargetMode="External"/><Relationship Id="rId194" Type="http://schemas.openxmlformats.org/officeDocument/2006/relationships/hyperlink" Target="https://fbref.com/en/players/750c6b42/matchlogs/2024/summary/Mohamed-Bawa-Match-Logs" TargetMode="External"/><Relationship Id="rId193" Type="http://schemas.openxmlformats.org/officeDocument/2006/relationships/hyperlink" Target="https://fbref.com/en/squads/7c2d1adb/2024/GAIS-Stats" TargetMode="External"/><Relationship Id="rId192" Type="http://schemas.openxmlformats.org/officeDocument/2006/relationships/hyperlink" Target="https://fbref.com/en/country/LBY/Libya-Football" TargetMode="External"/><Relationship Id="rId191" Type="http://schemas.openxmlformats.org/officeDocument/2006/relationships/hyperlink" Target="https://fbref.com/en/players/750c6b42/Mohamed-Bawa" TargetMode="External"/><Relationship Id="rId187" Type="http://schemas.openxmlformats.org/officeDocument/2006/relationships/hyperlink" Target="https://fbref.com/en/players/a9e5bc99/Kaare-Barslund" TargetMode="External"/><Relationship Id="rId186" Type="http://schemas.openxmlformats.org/officeDocument/2006/relationships/hyperlink" Target="https://fbref.com/en/players/c0d3bd23/matchlogs/2024/summary/Jacob-Barrett-Laursen-Match-Logs" TargetMode="External"/><Relationship Id="rId185" Type="http://schemas.openxmlformats.org/officeDocument/2006/relationships/hyperlink" Target="https://fbref.com/en/squads/8774e267/2024/BK-Hacken-Stats" TargetMode="External"/><Relationship Id="rId184" Type="http://schemas.openxmlformats.org/officeDocument/2006/relationships/hyperlink" Target="https://fbref.com/en/country/DEN/Denmark-Football" TargetMode="External"/><Relationship Id="rId189" Type="http://schemas.openxmlformats.org/officeDocument/2006/relationships/hyperlink" Target="https://fbref.com/en/squads/bb9e11b2/2024/Brommapojkarna-Stats" TargetMode="External"/><Relationship Id="rId188" Type="http://schemas.openxmlformats.org/officeDocument/2006/relationships/hyperlink" Target="https://fbref.com/en/country/DEN/Denmark-Football" TargetMode="External"/><Relationship Id="rId183" Type="http://schemas.openxmlformats.org/officeDocument/2006/relationships/hyperlink" Target="https://fbref.com/en/players/c0d3bd23/Jacob-Barrett-Laursen" TargetMode="External"/><Relationship Id="rId182" Type="http://schemas.openxmlformats.org/officeDocument/2006/relationships/hyperlink" Target="https://fbref.com/en/players/467553cf/matchlogs/2024/summary/Michael-Baidoo-Match-Logs" TargetMode="External"/><Relationship Id="rId181" Type="http://schemas.openxmlformats.org/officeDocument/2006/relationships/hyperlink" Target="https://fbref.com/en/squads/50e85bfc/2024/Elfsborg-Stats" TargetMode="External"/><Relationship Id="rId180" Type="http://schemas.openxmlformats.org/officeDocument/2006/relationships/hyperlink" Target="https://fbref.com/en/country/GHA/Ghana-Football" TargetMode="External"/><Relationship Id="rId176" Type="http://schemas.openxmlformats.org/officeDocument/2006/relationships/hyperlink" Target="https://fbref.com/en/country/DEN/Denmark-Football" TargetMode="External"/><Relationship Id="rId175" Type="http://schemas.openxmlformats.org/officeDocument/2006/relationships/hyperlink" Target="https://fbref.com/en/players/8ec24b58/Marcus-Baggesen" TargetMode="External"/><Relationship Id="rId174" Type="http://schemas.openxmlformats.org/officeDocument/2006/relationships/hyperlink" Target="https://fbref.com/en/players/ddd54920/matchlogs/2024/summary/Jonas-Bager-Match-Logs" TargetMode="External"/><Relationship Id="rId173" Type="http://schemas.openxmlformats.org/officeDocument/2006/relationships/hyperlink" Target="https://fbref.com/en/squads/ef1ab26a/2024/Goteborg-Stats" TargetMode="External"/><Relationship Id="rId179" Type="http://schemas.openxmlformats.org/officeDocument/2006/relationships/hyperlink" Target="https://fbref.com/en/players/467553cf/Michael-Baidoo" TargetMode="External"/><Relationship Id="rId178" Type="http://schemas.openxmlformats.org/officeDocument/2006/relationships/hyperlink" Target="https://fbref.com/en/players/8ec24b58/matchlogs/2024/summary/Marcus-Baggesen-Match-Logs" TargetMode="External"/><Relationship Id="rId177" Type="http://schemas.openxmlformats.org/officeDocument/2006/relationships/hyperlink" Target="https://fbref.com/en/squads/1d0836d6/2024/Norrkoping-Stats" TargetMode="External"/><Relationship Id="rId1910" Type="http://schemas.openxmlformats.org/officeDocument/2006/relationships/hyperlink" Target="https://fbref.com/en/players/b45672e0/Jacob-Une-Larsson" TargetMode="External"/><Relationship Id="rId1911" Type="http://schemas.openxmlformats.org/officeDocument/2006/relationships/hyperlink" Target="https://fbref.com/en/country/SWE/Sweden-Football" TargetMode="External"/><Relationship Id="rId1912" Type="http://schemas.openxmlformats.org/officeDocument/2006/relationships/hyperlink" Target="https://fbref.com/en/squads/9423c05a/2024/Djurgarden-Stats" TargetMode="External"/><Relationship Id="rId1913" Type="http://schemas.openxmlformats.org/officeDocument/2006/relationships/hyperlink" Target="https://fbref.com/en/players/b45672e0/matchlogs/2024/summary/Jacob-Une-Larsson-Match-Logs" TargetMode="External"/><Relationship Id="rId1914" Type="http://schemas.openxmlformats.org/officeDocument/2006/relationships/hyperlink" Target="https://fbref.com/en/players/8fc6a717/Melker-Uppenberg" TargetMode="External"/><Relationship Id="rId1915" Type="http://schemas.openxmlformats.org/officeDocument/2006/relationships/hyperlink" Target="https://fbref.com/en/country/SWE/Sweden-Football" TargetMode="External"/><Relationship Id="rId1916" Type="http://schemas.openxmlformats.org/officeDocument/2006/relationships/hyperlink" Target="https://fbref.com/en/squads/50e85bfc/2024/Elfsborg-Stats" TargetMode="External"/><Relationship Id="rId1917" Type="http://schemas.openxmlformats.org/officeDocument/2006/relationships/hyperlink" Target="https://fbref.com/en/players/8fc6a717/matchlogs/2024/summary/Melker-Uppenberg-Match-Logs" TargetMode="External"/><Relationship Id="rId1918" Type="http://schemas.openxmlformats.org/officeDocument/2006/relationships/hyperlink" Target="https://fbref.com/en/players/8f906c5f/Pavle-Vagic" TargetMode="External"/><Relationship Id="rId1919" Type="http://schemas.openxmlformats.org/officeDocument/2006/relationships/hyperlink" Target="https://fbref.com/en/country/SWE/Sweden-Football" TargetMode="External"/><Relationship Id="rId1900" Type="http://schemas.openxmlformats.org/officeDocument/2006/relationships/hyperlink" Target="https://fbref.com/en/squads/8774e267/2024/BK-Hacken-Stats" TargetMode="External"/><Relationship Id="rId1901" Type="http://schemas.openxmlformats.org/officeDocument/2006/relationships/hyperlink" Target="https://fbref.com/en/players/2c272afa/matchlogs/2024/summary/Blair-Turgott-Match-Logs" TargetMode="External"/><Relationship Id="rId1902" Type="http://schemas.openxmlformats.org/officeDocument/2006/relationships/hyperlink" Target="https://fbref.com/en/players/b343386d/Oscar-Uddenas" TargetMode="External"/><Relationship Id="rId1903" Type="http://schemas.openxmlformats.org/officeDocument/2006/relationships/hyperlink" Target="https://fbref.com/en/country/SWE/Sweden-Football" TargetMode="External"/><Relationship Id="rId1904" Type="http://schemas.openxmlformats.org/officeDocument/2006/relationships/hyperlink" Target="https://fbref.com/en/squads/b0333581/2024/AIK-Stockholm-Stats" TargetMode="External"/><Relationship Id="rId1905" Type="http://schemas.openxmlformats.org/officeDocument/2006/relationships/hyperlink" Target="https://fbref.com/en/players/b343386d/matchlogs/2024/summary/Oscar-Uddenas-Match-Logs" TargetMode="External"/><Relationship Id="rId1906" Type="http://schemas.openxmlformats.org/officeDocument/2006/relationships/hyperlink" Target="https://fbref.com/en/players/3ff08295/Wilson-Uhrstrom" TargetMode="External"/><Relationship Id="rId1907" Type="http://schemas.openxmlformats.org/officeDocument/2006/relationships/hyperlink" Target="https://fbref.com/en/country/SWE/Sweden-Football" TargetMode="External"/><Relationship Id="rId1908" Type="http://schemas.openxmlformats.org/officeDocument/2006/relationships/hyperlink" Target="https://fbref.com/en/squads/92bfd7f0/2024/Hammarby-Stats" TargetMode="External"/><Relationship Id="rId1909" Type="http://schemas.openxmlformats.org/officeDocument/2006/relationships/hyperlink" Target="https://fbref.com/en/players/3ff08295/matchlogs/2024/summary/Wilson-Uhrstrom-Match-Logs" TargetMode="External"/><Relationship Id="rId198" Type="http://schemas.openxmlformats.org/officeDocument/2006/relationships/hyperlink" Target="https://fbref.com/en/players/d189eba5/matchlogs/2024/summary/Edvin-Becirovic-Match-Logs" TargetMode="External"/><Relationship Id="rId197" Type="http://schemas.openxmlformats.org/officeDocument/2006/relationships/hyperlink" Target="https://fbref.com/en/squads/7c2d1adb/2024/GAIS-Stats" TargetMode="External"/><Relationship Id="rId196" Type="http://schemas.openxmlformats.org/officeDocument/2006/relationships/hyperlink" Target="https://fbref.com/en/country/SWE/Sweden-Football" TargetMode="External"/><Relationship Id="rId195" Type="http://schemas.openxmlformats.org/officeDocument/2006/relationships/hyperlink" Target="https://fbref.com/en/players/d189eba5/Edvin-Becirovic" TargetMode="External"/><Relationship Id="rId199" Type="http://schemas.openxmlformats.org/officeDocument/2006/relationships/hyperlink" Target="https://fbref.com/en/players/7d88e3b5/Filip-Beckman" TargetMode="External"/><Relationship Id="rId150" Type="http://schemas.openxmlformats.org/officeDocument/2006/relationships/hyperlink" Target="https://fbref.com/en/players/a83599a7/matchlogs/2024/summary/Samuel-Asoma-Match-Logs" TargetMode="External"/><Relationship Id="rId149" Type="http://schemas.openxmlformats.org/officeDocument/2006/relationships/hyperlink" Target="https://fbref.com/en/squads/a8481ab9/2024/Vasteras-Stats" TargetMode="External"/><Relationship Id="rId148" Type="http://schemas.openxmlformats.org/officeDocument/2006/relationships/hyperlink" Target="https://fbref.com/en/country/BEL/Belgium-Football" TargetMode="External"/><Relationship Id="rId1090" Type="http://schemas.openxmlformats.org/officeDocument/2006/relationships/hyperlink" Target="https://fbref.com/en/squads/7c2d1adb/2024/GAIS-Stats" TargetMode="External"/><Relationship Id="rId1091" Type="http://schemas.openxmlformats.org/officeDocument/2006/relationships/hyperlink" Target="https://fbref.com/en/players/84cff6aa/matchlogs/2024/summary/Denis-Krivosic-Match-Logs" TargetMode="External"/><Relationship Id="rId1092" Type="http://schemas.openxmlformats.org/officeDocument/2006/relationships/hyperlink" Target="https://fbref.com/en/players/275530f0/Antonio-Kujundzic" TargetMode="External"/><Relationship Id="rId1093" Type="http://schemas.openxmlformats.org/officeDocument/2006/relationships/hyperlink" Target="https://fbref.com/en/country/CRO/Croatia-Football" TargetMode="External"/><Relationship Id="rId1094" Type="http://schemas.openxmlformats.org/officeDocument/2006/relationships/hyperlink" Target="https://fbref.com/en/squads/9f13771c/2024/Kalmar-Stats" TargetMode="External"/><Relationship Id="rId143" Type="http://schemas.openxmlformats.org/officeDocument/2006/relationships/hyperlink" Target="https://fbref.com/en/players/e9a809c4/Patric-Aslund" TargetMode="External"/><Relationship Id="rId1095" Type="http://schemas.openxmlformats.org/officeDocument/2006/relationships/hyperlink" Target="https://fbref.com/en/players/275530f0/matchlogs/2024/summary/Antonio-Kujundzic-Match-Logs" TargetMode="External"/><Relationship Id="rId142" Type="http://schemas.openxmlformats.org/officeDocument/2006/relationships/hyperlink" Target="https://fbref.com/en/players/e9a809c4/matchlogs/2024/summary/Patric-Aslund-Match-Logs" TargetMode="External"/><Relationship Id="rId1096" Type="http://schemas.openxmlformats.org/officeDocument/2006/relationships/hyperlink" Target="https://fbref.com/en/players/139230f5/Bleon-Kurtulus" TargetMode="External"/><Relationship Id="rId141" Type="http://schemas.openxmlformats.org/officeDocument/2006/relationships/hyperlink" Target="https://fbref.com/en/squads/9423c05a/2024/Djurgarden-Stats" TargetMode="External"/><Relationship Id="rId1097" Type="http://schemas.openxmlformats.org/officeDocument/2006/relationships/hyperlink" Target="https://fbref.com/en/country/SWE/Sweden-Football" TargetMode="External"/><Relationship Id="rId140" Type="http://schemas.openxmlformats.org/officeDocument/2006/relationships/hyperlink" Target="https://fbref.com/en/country/SWE/Sweden-Football" TargetMode="External"/><Relationship Id="rId1098" Type="http://schemas.openxmlformats.org/officeDocument/2006/relationships/hyperlink" Target="https://fbref.com/en/squads/17366e53/2024/Halmstad-Stats" TargetMode="External"/><Relationship Id="rId147" Type="http://schemas.openxmlformats.org/officeDocument/2006/relationships/hyperlink" Target="https://fbref.com/en/players/a83599a7/Samuel-Asoma" TargetMode="External"/><Relationship Id="rId1099" Type="http://schemas.openxmlformats.org/officeDocument/2006/relationships/hyperlink" Target="https://fbref.com/en/players/139230f5/matchlogs/2024/summary/Bleon-Kurtulus-Match-Logs" TargetMode="External"/><Relationship Id="rId146" Type="http://schemas.openxmlformats.org/officeDocument/2006/relationships/hyperlink" Target="https://fbref.com/en/players/e9a809c4/matchlogs/2024/summary/Patric-Aslund-Match-Logs" TargetMode="External"/><Relationship Id="rId145" Type="http://schemas.openxmlformats.org/officeDocument/2006/relationships/hyperlink" Target="https://fbref.com/en/squads/a8481ab9/2024/Vasteras-Stats" TargetMode="External"/><Relationship Id="rId144" Type="http://schemas.openxmlformats.org/officeDocument/2006/relationships/hyperlink" Target="https://fbref.com/en/country/SWE/Sweden-Football" TargetMode="External"/><Relationship Id="rId139" Type="http://schemas.openxmlformats.org/officeDocument/2006/relationships/hyperlink" Target="https://fbref.com/en/players/e9a809c4/Patric-Aslund" TargetMode="External"/><Relationship Id="rId138" Type="http://schemas.openxmlformats.org/officeDocument/2006/relationships/hyperlink" Target="https://fbref.com/en/players/46b7eab3/matchlogs/2024/summary/Daniel-Ask-Match-Logs" TargetMode="External"/><Relationship Id="rId137" Type="http://schemas.openxmlformats.org/officeDocument/2006/relationships/hyperlink" Target="https://fbref.com/en/squads/a8481ab9/2024/Vasteras-Stats" TargetMode="External"/><Relationship Id="rId1080" Type="http://schemas.openxmlformats.org/officeDocument/2006/relationships/hyperlink" Target="https://fbref.com/en/players/5a290e60/matchlogs/2024/summary/Dion-Krasniqi-Match-Logs" TargetMode="External"/><Relationship Id="rId1081" Type="http://schemas.openxmlformats.org/officeDocument/2006/relationships/hyperlink" Target="https://fbref.com/en/players/c26f9d5a/Mergim-Krasniqi" TargetMode="External"/><Relationship Id="rId1082" Type="http://schemas.openxmlformats.org/officeDocument/2006/relationships/hyperlink" Target="https://fbref.com/en/country/SWE/Sweden-Football" TargetMode="External"/><Relationship Id="rId1083" Type="http://schemas.openxmlformats.org/officeDocument/2006/relationships/hyperlink" Target="https://fbref.com/en/squads/7c2d1adb/2024/GAIS-Stats" TargetMode="External"/><Relationship Id="rId132" Type="http://schemas.openxmlformats.org/officeDocument/2006/relationships/hyperlink" Target="https://fbref.com/en/players/ee7b3d77/Gustav-Arvidsson" TargetMode="External"/><Relationship Id="rId1084" Type="http://schemas.openxmlformats.org/officeDocument/2006/relationships/hyperlink" Target="https://fbref.com/en/players/c26f9d5a/matchlogs/2024/summary/Mergim-Krasniqi-Match-Logs" TargetMode="External"/><Relationship Id="rId131" Type="http://schemas.openxmlformats.org/officeDocument/2006/relationships/hyperlink" Target="https://fbref.com/en/players/ef516406/matchlogs/2024/summary/Frode-Aronsson-Match-Logs" TargetMode="External"/><Relationship Id="rId1085" Type="http://schemas.openxmlformats.org/officeDocument/2006/relationships/hyperlink" Target="https://fbref.com/en/players/61dc42f4/Anders-Kristiansen" TargetMode="External"/><Relationship Id="rId130" Type="http://schemas.openxmlformats.org/officeDocument/2006/relationships/hyperlink" Target="https://fbref.com/en/squads/50e85bfc/2024/Elfsborg-Stats" TargetMode="External"/><Relationship Id="rId1086" Type="http://schemas.openxmlformats.org/officeDocument/2006/relationships/hyperlink" Target="https://fbref.com/en/country/NOR/Norway-Football" TargetMode="External"/><Relationship Id="rId1087" Type="http://schemas.openxmlformats.org/officeDocument/2006/relationships/hyperlink" Target="https://fbref.com/en/squads/ef1ab26a/2024/Goteborg-Stats" TargetMode="External"/><Relationship Id="rId136" Type="http://schemas.openxmlformats.org/officeDocument/2006/relationships/hyperlink" Target="https://fbref.com/en/country/SWE/Sweden-Football" TargetMode="External"/><Relationship Id="rId1088" Type="http://schemas.openxmlformats.org/officeDocument/2006/relationships/hyperlink" Target="https://fbref.com/en/players/61dc42f4/matchlogs/2024/summary/Anders-Kristiansen-Match-Logs" TargetMode="External"/><Relationship Id="rId135" Type="http://schemas.openxmlformats.org/officeDocument/2006/relationships/hyperlink" Target="https://fbref.com/en/players/46b7eab3/Daniel-Ask" TargetMode="External"/><Relationship Id="rId1089" Type="http://schemas.openxmlformats.org/officeDocument/2006/relationships/hyperlink" Target="https://fbref.com/en/players/84cff6aa/Denis-Krivosic" TargetMode="External"/><Relationship Id="rId134" Type="http://schemas.openxmlformats.org/officeDocument/2006/relationships/hyperlink" Target="https://fbref.com/en/players/ee7b3d77/matchlogs/2024/summary/Gustav-Arvidsson-Match-Logs" TargetMode="External"/><Relationship Id="rId133" Type="http://schemas.openxmlformats.org/officeDocument/2006/relationships/hyperlink" Target="https://fbref.com/en/squads/9f13771c/2024/Kalmar-Stats" TargetMode="External"/><Relationship Id="rId172" Type="http://schemas.openxmlformats.org/officeDocument/2006/relationships/hyperlink" Target="https://fbref.com/en/country/DEN/Denmark-Football" TargetMode="External"/><Relationship Id="rId171" Type="http://schemas.openxmlformats.org/officeDocument/2006/relationships/hyperlink" Target="https://fbref.com/en/players/ddd54920/Jonas-Bager" TargetMode="External"/><Relationship Id="rId170" Type="http://schemas.openxmlformats.org/officeDocument/2006/relationships/hyperlink" Target="https://fbref.com/en/players/ee18a2b7/matchlogs/2024/summary/Joseph-Baffo-Match-Logs" TargetMode="External"/><Relationship Id="rId165" Type="http://schemas.openxmlformats.org/officeDocument/2006/relationships/hyperlink" Target="https://fbref.com/en/squads/ef1ab26a/2024/Goteborg-Stats" TargetMode="External"/><Relationship Id="rId164" Type="http://schemas.openxmlformats.org/officeDocument/2006/relationships/hyperlink" Target="https://fbref.com/en/country/DEN/Denmark-Football" TargetMode="External"/><Relationship Id="rId163" Type="http://schemas.openxmlformats.org/officeDocument/2006/relationships/hyperlink" Target="https://fbref.com/en/players/3b216df2/Nikolai-Baden-Frederiksen" TargetMode="External"/><Relationship Id="rId162" Type="http://schemas.openxmlformats.org/officeDocument/2006/relationships/hyperlink" Target="https://fbref.com/en/players/924a6d17/matchlogs/2024/summary/Taha-Ayari-Match-Logs" TargetMode="External"/><Relationship Id="rId169" Type="http://schemas.openxmlformats.org/officeDocument/2006/relationships/hyperlink" Target="https://fbref.com/en/squads/17366e53/2024/Halmstad-Stats" TargetMode="External"/><Relationship Id="rId168" Type="http://schemas.openxmlformats.org/officeDocument/2006/relationships/hyperlink" Target="https://fbref.com/en/country/SWE/Sweden-Football" TargetMode="External"/><Relationship Id="rId167" Type="http://schemas.openxmlformats.org/officeDocument/2006/relationships/hyperlink" Target="https://fbref.com/en/players/ee18a2b7/Joseph-Baffo" TargetMode="External"/><Relationship Id="rId166" Type="http://schemas.openxmlformats.org/officeDocument/2006/relationships/hyperlink" Target="https://fbref.com/en/players/3b216df2/matchlogs/2024/summary/Nikolai-Baden-Frederiksen-Match-Logs" TargetMode="External"/><Relationship Id="rId161" Type="http://schemas.openxmlformats.org/officeDocument/2006/relationships/hyperlink" Target="https://fbref.com/en/squads/b0333581/2024/AIK-Stockholm-Stats" TargetMode="External"/><Relationship Id="rId160" Type="http://schemas.openxmlformats.org/officeDocument/2006/relationships/hyperlink" Target="https://fbref.com/en/country/SWE/Sweden-Football" TargetMode="External"/><Relationship Id="rId159" Type="http://schemas.openxmlformats.org/officeDocument/2006/relationships/hyperlink" Target="https://fbref.com/en/players/924a6d17/Taha-Ayari" TargetMode="External"/><Relationship Id="rId154" Type="http://schemas.openxmlformats.org/officeDocument/2006/relationships/hyperlink" Target="https://fbref.com/en/players/bcddb3ea/matchlogs/2024/summary/Alieu-Atlee-Manneh-Match-Logs" TargetMode="External"/><Relationship Id="rId153" Type="http://schemas.openxmlformats.org/officeDocument/2006/relationships/hyperlink" Target="https://fbref.com/en/squads/9423c05a/2024/Djurgarden-Stats" TargetMode="External"/><Relationship Id="rId152" Type="http://schemas.openxmlformats.org/officeDocument/2006/relationships/hyperlink" Target="https://fbref.com/en/country/SWE/Sweden-Football" TargetMode="External"/><Relationship Id="rId151" Type="http://schemas.openxmlformats.org/officeDocument/2006/relationships/hyperlink" Target="https://fbref.com/en/players/bcddb3ea/Alieu-Atlee-Manneh" TargetMode="External"/><Relationship Id="rId158" Type="http://schemas.openxmlformats.org/officeDocument/2006/relationships/hyperlink" Target="https://fbref.com/en/players/8e3002aa/matchlogs/2024/summary/Noah-August-Ek-Match-Logs" TargetMode="External"/><Relationship Id="rId157" Type="http://schemas.openxmlformats.org/officeDocument/2006/relationships/hyperlink" Target="https://fbref.com/en/squads/8774e267/2024/BK-Hacken-Stats" TargetMode="External"/><Relationship Id="rId156" Type="http://schemas.openxmlformats.org/officeDocument/2006/relationships/hyperlink" Target="https://fbref.com/en/country/SWE/Sweden-Football" TargetMode="External"/><Relationship Id="rId155" Type="http://schemas.openxmlformats.org/officeDocument/2006/relationships/hyperlink" Target="https://fbref.com/en/players/8e3002aa/Noah-August-Ek" TargetMode="External"/><Relationship Id="rId1972" Type="http://schemas.openxmlformats.org/officeDocument/2006/relationships/hyperlink" Target="https://fbref.com/en/squads/d048ed60/2024/Varnamo-Stats" TargetMode="External"/><Relationship Id="rId1973" Type="http://schemas.openxmlformats.org/officeDocument/2006/relationships/hyperlink" Target="https://fbref.com/en/players/028c5f06/matchlogs/2024/summary/Wenderson-Match-Logs" TargetMode="External"/><Relationship Id="rId1974" Type="http://schemas.openxmlformats.org/officeDocument/2006/relationships/hyperlink" Target="https://fbref.com/en/players/fbdeae85/Robin-Wendin-Thomasson" TargetMode="External"/><Relationship Id="rId1975" Type="http://schemas.openxmlformats.org/officeDocument/2006/relationships/hyperlink" Target="https://fbref.com/en/country/SWE/Sweden-Football" TargetMode="External"/><Relationship Id="rId1976" Type="http://schemas.openxmlformats.org/officeDocument/2006/relationships/hyperlink" Target="https://fbref.com/en/squads/7c2d1adb/2024/GAIS-Stats" TargetMode="External"/><Relationship Id="rId1977" Type="http://schemas.openxmlformats.org/officeDocument/2006/relationships/hyperlink" Target="https://fbref.com/en/players/fbdeae85/matchlogs/2024/summary/Robin-Wendin-Thomasson-Match-Logs" TargetMode="External"/><Relationship Id="rId1978" Type="http://schemas.openxmlformats.org/officeDocument/2006/relationships/hyperlink" Target="https://fbref.com/en/players/b69261a0/Oscar-Wendt" TargetMode="External"/><Relationship Id="rId1979" Type="http://schemas.openxmlformats.org/officeDocument/2006/relationships/hyperlink" Target="https://fbref.com/en/country/SWE/Sweden-Football" TargetMode="External"/><Relationship Id="rId1970" Type="http://schemas.openxmlformats.org/officeDocument/2006/relationships/hyperlink" Target="https://fbref.com/en/players/028c5f06/Wenderson" TargetMode="External"/><Relationship Id="rId1971" Type="http://schemas.openxmlformats.org/officeDocument/2006/relationships/hyperlink" Target="https://fbref.com/en/country/BRA/Brazil-Football" TargetMode="External"/><Relationship Id="rId1961" Type="http://schemas.openxmlformats.org/officeDocument/2006/relationships/hyperlink" Target="https://fbref.com/en/players/bdb3baee/matchlogs/2024/summary/August-Wangberg-Match-Logs" TargetMode="External"/><Relationship Id="rId1962" Type="http://schemas.openxmlformats.org/officeDocument/2006/relationships/hyperlink" Target="https://fbref.com/en/players/ad3bc2e7/Alexander-Warneryd" TargetMode="External"/><Relationship Id="rId1963" Type="http://schemas.openxmlformats.org/officeDocument/2006/relationships/hyperlink" Target="https://fbref.com/en/country/SWE/Sweden-Football" TargetMode="External"/><Relationship Id="rId1964" Type="http://schemas.openxmlformats.org/officeDocument/2006/relationships/hyperlink" Target="https://fbref.com/en/squads/a8481ab9/2024/Vasteras-Stats" TargetMode="External"/><Relationship Id="rId1965" Type="http://schemas.openxmlformats.org/officeDocument/2006/relationships/hyperlink" Target="https://fbref.com/en/players/ad3bc2e7/matchlogs/2024/summary/Alexander-Warneryd-Match-Logs" TargetMode="External"/><Relationship Id="rId1966" Type="http://schemas.openxmlformats.org/officeDocument/2006/relationships/hyperlink" Target="https://fbref.com/en/players/18d95619/Max-Watson" TargetMode="External"/><Relationship Id="rId1967" Type="http://schemas.openxmlformats.org/officeDocument/2006/relationships/hyperlink" Target="https://fbref.com/en/country/SWE/Sweden-Football" TargetMode="External"/><Relationship Id="rId1968" Type="http://schemas.openxmlformats.org/officeDocument/2006/relationships/hyperlink" Target="https://fbref.com/en/squads/1d0836d6/2024/Norrkoping-Stats" TargetMode="External"/><Relationship Id="rId1969" Type="http://schemas.openxmlformats.org/officeDocument/2006/relationships/hyperlink" Target="https://fbref.com/en/players/18d95619/matchlogs/2024/summary/Max-Watson-Match-Logs" TargetMode="External"/><Relationship Id="rId1960" Type="http://schemas.openxmlformats.org/officeDocument/2006/relationships/hyperlink" Target="https://fbref.com/en/squads/7c2d1adb/2024/GAIS-Stats" TargetMode="External"/><Relationship Id="rId1510" Type="http://schemas.openxmlformats.org/officeDocument/2006/relationships/hyperlink" Target="https://fbref.com/en/players/aa954c2b/matchlogs/2024/summary/Ioannis-Pittas-Match-Logs" TargetMode="External"/><Relationship Id="rId1994" Type="http://schemas.openxmlformats.org/officeDocument/2006/relationships/hyperlink" Target="https://fbref.com/en/players/512a52c6/Dennis-Widgren" TargetMode="External"/><Relationship Id="rId1511" Type="http://schemas.openxmlformats.org/officeDocument/2006/relationships/hyperlink" Target="https://fbref.com/en/players/d646e08c/Tim-Prica" TargetMode="External"/><Relationship Id="rId1995" Type="http://schemas.openxmlformats.org/officeDocument/2006/relationships/hyperlink" Target="https://fbref.com/en/country/SWE/Sweden-Football" TargetMode="External"/><Relationship Id="rId1512" Type="http://schemas.openxmlformats.org/officeDocument/2006/relationships/hyperlink" Target="https://fbref.com/en/country/SWE/Sweden-Football" TargetMode="External"/><Relationship Id="rId1996" Type="http://schemas.openxmlformats.org/officeDocument/2006/relationships/hyperlink" Target="https://fbref.com/en/squads/e9d60d0c/2024/Sirius-Stats" TargetMode="External"/><Relationship Id="rId1513" Type="http://schemas.openxmlformats.org/officeDocument/2006/relationships/hyperlink" Target="https://fbref.com/en/squads/1d0836d6/2024/Norrkoping-Stats" TargetMode="External"/><Relationship Id="rId1997" Type="http://schemas.openxmlformats.org/officeDocument/2006/relationships/hyperlink" Target="https://fbref.com/en/players/512a52c6/matchlogs/2024/summary/Dennis-Widgren-Match-Logs" TargetMode="External"/><Relationship Id="rId1514" Type="http://schemas.openxmlformats.org/officeDocument/2006/relationships/hyperlink" Target="https://fbref.com/en/players/d646e08c/matchlogs/2024/summary/Tim-Prica-Match-Logs" TargetMode="External"/><Relationship Id="rId1998" Type="http://schemas.openxmlformats.org/officeDocument/2006/relationships/hyperlink" Target="https://fbref.com/en/players/e23db68b/Rasmus-Wiedesheim" TargetMode="External"/><Relationship Id="rId1515" Type="http://schemas.openxmlformats.org/officeDocument/2006/relationships/hyperlink" Target="https://fbref.com/en/players/b50b9cc3/August-Priske" TargetMode="External"/><Relationship Id="rId1999" Type="http://schemas.openxmlformats.org/officeDocument/2006/relationships/hyperlink" Target="https://fbref.com/en/country/SWE/Sweden-Football" TargetMode="External"/><Relationship Id="rId1516" Type="http://schemas.openxmlformats.org/officeDocument/2006/relationships/hyperlink" Target="https://fbref.com/en/country/DEN/Denmark-Football" TargetMode="External"/><Relationship Id="rId1517" Type="http://schemas.openxmlformats.org/officeDocument/2006/relationships/hyperlink" Target="https://fbref.com/en/squads/9423c05a/2024/Djurgarden-Stats" TargetMode="External"/><Relationship Id="rId1518" Type="http://schemas.openxmlformats.org/officeDocument/2006/relationships/hyperlink" Target="https://fbref.com/en/players/b50b9cc3/matchlogs/2024/summary/August-Priske-Match-Logs" TargetMode="External"/><Relationship Id="rId1519" Type="http://schemas.openxmlformats.org/officeDocument/2006/relationships/hyperlink" Target="https://fbref.com/en/players/17e8b732/Andreas-Pyndt-Andersen" TargetMode="External"/><Relationship Id="rId1990" Type="http://schemas.openxmlformats.org/officeDocument/2006/relationships/hyperlink" Target="https://fbref.com/en/players/ac5120d8/Jacob-Widell-Zetterstrom" TargetMode="External"/><Relationship Id="rId1991" Type="http://schemas.openxmlformats.org/officeDocument/2006/relationships/hyperlink" Target="https://fbref.com/en/country/SWE/Sweden-Football" TargetMode="External"/><Relationship Id="rId1992" Type="http://schemas.openxmlformats.org/officeDocument/2006/relationships/hyperlink" Target="https://fbref.com/en/squads/9423c05a/2024/Djurgarden-Stats" TargetMode="External"/><Relationship Id="rId1993" Type="http://schemas.openxmlformats.org/officeDocument/2006/relationships/hyperlink" Target="https://fbref.com/en/players/ac5120d8/matchlogs/2024/summary/Jacob-Widell-Zetterstrom-Match-Logs" TargetMode="External"/><Relationship Id="rId1983" Type="http://schemas.openxmlformats.org/officeDocument/2006/relationships/hyperlink" Target="https://fbref.com/en/country/SWE/Sweden-Football" TargetMode="External"/><Relationship Id="rId1500" Type="http://schemas.openxmlformats.org/officeDocument/2006/relationships/hyperlink" Target="https://fbref.com/en/country/SWE/Sweden-Football" TargetMode="External"/><Relationship Id="rId1984" Type="http://schemas.openxmlformats.org/officeDocument/2006/relationships/hyperlink" Target="https://fbref.com/en/squads/a8481ab9/2024/Vasteras-Stats" TargetMode="External"/><Relationship Id="rId1501" Type="http://schemas.openxmlformats.org/officeDocument/2006/relationships/hyperlink" Target="https://fbref.com/en/squads/bb9e11b2/2024/Brommapojkarna-Stats" TargetMode="External"/><Relationship Id="rId1985" Type="http://schemas.openxmlformats.org/officeDocument/2006/relationships/hyperlink" Target="https://fbref.com/en/players/0b4921f3/matchlogs/2024/summary/Victor-Wernersson-Match-Logs" TargetMode="External"/><Relationship Id="rId1502" Type="http://schemas.openxmlformats.org/officeDocument/2006/relationships/hyperlink" Target="https://fbref.com/en/players/cbdaa6cf/matchlogs/2024/summary/Paya-Pichkah-Match-Logs" TargetMode="External"/><Relationship Id="rId1986" Type="http://schemas.openxmlformats.org/officeDocument/2006/relationships/hyperlink" Target="https://fbref.com/en/players/c54280ff/Jesper-Westermark" TargetMode="External"/><Relationship Id="rId1503" Type="http://schemas.openxmlformats.org/officeDocument/2006/relationships/hyperlink" Target="https://fbref.com/en/players/1fd1df9c/Shaquille-Pinas" TargetMode="External"/><Relationship Id="rId1987" Type="http://schemas.openxmlformats.org/officeDocument/2006/relationships/hyperlink" Target="https://fbref.com/en/country/SWE/Sweden-Football" TargetMode="External"/><Relationship Id="rId1504" Type="http://schemas.openxmlformats.org/officeDocument/2006/relationships/hyperlink" Target="https://fbref.com/en/country/SUR/Suriname-Football" TargetMode="External"/><Relationship Id="rId1988" Type="http://schemas.openxmlformats.org/officeDocument/2006/relationships/hyperlink" Target="https://fbref.com/en/squads/17366e53/2024/Halmstad-Stats" TargetMode="External"/><Relationship Id="rId1505" Type="http://schemas.openxmlformats.org/officeDocument/2006/relationships/hyperlink" Target="https://fbref.com/en/squads/92bfd7f0/2024/Hammarby-Stats" TargetMode="External"/><Relationship Id="rId1989" Type="http://schemas.openxmlformats.org/officeDocument/2006/relationships/hyperlink" Target="https://fbref.com/en/players/c54280ff/matchlogs/2024/summary/Jesper-Westermark-Match-Logs" TargetMode="External"/><Relationship Id="rId1506" Type="http://schemas.openxmlformats.org/officeDocument/2006/relationships/hyperlink" Target="https://fbref.com/en/players/1fd1df9c/matchlogs/2024/summary/Shaquille-Pinas-Match-Logs" TargetMode="External"/><Relationship Id="rId1507" Type="http://schemas.openxmlformats.org/officeDocument/2006/relationships/hyperlink" Target="https://fbref.com/en/players/aa954c2b/Ioannis-Pittas" TargetMode="External"/><Relationship Id="rId1508" Type="http://schemas.openxmlformats.org/officeDocument/2006/relationships/hyperlink" Target="https://fbref.com/en/country/CYP/Cyprus-Football" TargetMode="External"/><Relationship Id="rId1509" Type="http://schemas.openxmlformats.org/officeDocument/2006/relationships/hyperlink" Target="https://fbref.com/en/squads/b0333581/2024/AIK-Stockholm-Stats" TargetMode="External"/><Relationship Id="rId1980" Type="http://schemas.openxmlformats.org/officeDocument/2006/relationships/hyperlink" Target="https://fbref.com/en/squads/ef1ab26a/2024/Goteborg-Stats" TargetMode="External"/><Relationship Id="rId1981" Type="http://schemas.openxmlformats.org/officeDocument/2006/relationships/hyperlink" Target="https://fbref.com/en/players/b69261a0/matchlogs/2024/summary/Oscar-Wendt-Match-Logs" TargetMode="External"/><Relationship Id="rId1982" Type="http://schemas.openxmlformats.org/officeDocument/2006/relationships/hyperlink" Target="https://fbref.com/en/players/0b4921f3/Victor-Wernersson" TargetMode="External"/><Relationship Id="rId1930" Type="http://schemas.openxmlformats.org/officeDocument/2006/relationships/hyperlink" Target="https://fbref.com/en/players/023a32ea/Stefano-Vecchia" TargetMode="External"/><Relationship Id="rId1931" Type="http://schemas.openxmlformats.org/officeDocument/2006/relationships/hyperlink" Target="https://fbref.com/en/country/SWE/Sweden-Football" TargetMode="External"/><Relationship Id="rId1932" Type="http://schemas.openxmlformats.org/officeDocument/2006/relationships/hyperlink" Target="https://fbref.com/en/squads/f3d8c8b9/2024/Malmo-Stats" TargetMode="External"/><Relationship Id="rId1933" Type="http://schemas.openxmlformats.org/officeDocument/2006/relationships/hyperlink" Target="https://fbref.com/en/players/023a32ea/matchlogs/2024/summary/Stefano-Vecchia-Match-Logs" TargetMode="External"/><Relationship Id="rId1934" Type="http://schemas.openxmlformats.org/officeDocument/2006/relationships/hyperlink" Target="https://fbref.com/en/players/49bb999b/Martin-Vetkal" TargetMode="External"/><Relationship Id="rId1935" Type="http://schemas.openxmlformats.org/officeDocument/2006/relationships/hyperlink" Target="https://fbref.com/en/country/EST/Estonia-Football" TargetMode="External"/><Relationship Id="rId1936" Type="http://schemas.openxmlformats.org/officeDocument/2006/relationships/hyperlink" Target="https://fbref.com/en/squads/bb9e11b2/2024/Brommapojkarna-Stats" TargetMode="External"/><Relationship Id="rId1937" Type="http://schemas.openxmlformats.org/officeDocument/2006/relationships/hyperlink" Target="https://fbref.com/en/players/49bb999b/matchlogs/2024/summary/Martin-Vetkal-Match-Logs" TargetMode="External"/><Relationship Id="rId1938" Type="http://schemas.openxmlformats.org/officeDocument/2006/relationships/hyperlink" Target="https://fbref.com/en/players/380e2a1d/Jakob-Voelkerling-Persson" TargetMode="External"/><Relationship Id="rId1939" Type="http://schemas.openxmlformats.org/officeDocument/2006/relationships/hyperlink" Target="https://fbref.com/en/country/SWE/Sweden-Football" TargetMode="External"/><Relationship Id="rId1920" Type="http://schemas.openxmlformats.org/officeDocument/2006/relationships/hyperlink" Target="https://fbref.com/en/squads/92bfd7f0/2024/Hammarby-Stats" TargetMode="External"/><Relationship Id="rId1921" Type="http://schemas.openxmlformats.org/officeDocument/2006/relationships/hyperlink" Target="https://fbref.com/en/players/8f906c5f/matchlogs/2024/summary/Pavle-Vagic-Match-Logs" TargetMode="External"/><Relationship Id="rId1922" Type="http://schemas.openxmlformats.org/officeDocument/2006/relationships/hyperlink" Target="https://fbref.com/en/players/8ed8c801/Onni-Valakari" TargetMode="External"/><Relationship Id="rId1923" Type="http://schemas.openxmlformats.org/officeDocument/2006/relationships/hyperlink" Target="https://fbref.com/en/country/FIN/Finland-Football" TargetMode="External"/><Relationship Id="rId1924" Type="http://schemas.openxmlformats.org/officeDocument/2006/relationships/hyperlink" Target="https://fbref.com/en/squads/b0333581/2024/AIK-Stockholm-Stats" TargetMode="External"/><Relationship Id="rId1925" Type="http://schemas.openxmlformats.org/officeDocument/2006/relationships/hyperlink" Target="https://fbref.com/en/players/8ed8c801/matchlogs/2024/summary/Onni-Valakari-Match-Logs" TargetMode="External"/><Relationship Id="rId1926" Type="http://schemas.openxmlformats.org/officeDocument/2006/relationships/hyperlink" Target="https://fbref.com/en/players/319ef3f6/Nikola-Vasic" TargetMode="External"/><Relationship Id="rId1927" Type="http://schemas.openxmlformats.org/officeDocument/2006/relationships/hyperlink" Target="https://fbref.com/en/country/SWE/Sweden-Football" TargetMode="External"/><Relationship Id="rId1928" Type="http://schemas.openxmlformats.org/officeDocument/2006/relationships/hyperlink" Target="https://fbref.com/en/squads/bb9e11b2/2024/Brommapojkarna-Stats" TargetMode="External"/><Relationship Id="rId1929" Type="http://schemas.openxmlformats.org/officeDocument/2006/relationships/hyperlink" Target="https://fbref.com/en/players/319ef3f6/matchlogs/2024/summary/Nikola-Vasic-Match-Logs" TargetMode="External"/><Relationship Id="rId1950" Type="http://schemas.openxmlformats.org/officeDocument/2006/relationships/hyperlink" Target="https://fbref.com/en/players/5d7c2b31/Gabriel-Wallentin" TargetMode="External"/><Relationship Id="rId1951" Type="http://schemas.openxmlformats.org/officeDocument/2006/relationships/hyperlink" Target="https://fbref.com/en/country/SWE/Sweden-Football" TargetMode="External"/><Relationship Id="rId1952" Type="http://schemas.openxmlformats.org/officeDocument/2006/relationships/hyperlink" Target="https://fbref.com/en/squads/17366e53/2024/Halmstad-Stats" TargetMode="External"/><Relationship Id="rId1953" Type="http://schemas.openxmlformats.org/officeDocument/2006/relationships/hyperlink" Target="https://fbref.com/en/players/5d7c2b31/matchlogs/2024/summary/Gabriel-Wallentin-Match-Logs" TargetMode="External"/><Relationship Id="rId1954" Type="http://schemas.openxmlformats.org/officeDocument/2006/relationships/hyperlink" Target="https://fbref.com/en/players/a0d23533/Leo-Walta" TargetMode="External"/><Relationship Id="rId1955" Type="http://schemas.openxmlformats.org/officeDocument/2006/relationships/hyperlink" Target="https://fbref.com/en/country/FIN/Finland-Football" TargetMode="External"/><Relationship Id="rId1956" Type="http://schemas.openxmlformats.org/officeDocument/2006/relationships/hyperlink" Target="https://fbref.com/en/squads/e9d60d0c/2024/Sirius-Stats" TargetMode="External"/><Relationship Id="rId1957" Type="http://schemas.openxmlformats.org/officeDocument/2006/relationships/hyperlink" Target="https://fbref.com/en/players/a0d23533/matchlogs/2024/summary/Leo-Walta-Match-Logs" TargetMode="External"/><Relationship Id="rId1958" Type="http://schemas.openxmlformats.org/officeDocument/2006/relationships/hyperlink" Target="https://fbref.com/en/players/bdb3baee/August-Wangberg" TargetMode="External"/><Relationship Id="rId1959" Type="http://schemas.openxmlformats.org/officeDocument/2006/relationships/hyperlink" Target="https://fbref.com/en/country/SWE/Sweden-Football" TargetMode="External"/><Relationship Id="rId1940" Type="http://schemas.openxmlformats.org/officeDocument/2006/relationships/hyperlink" Target="https://fbref.com/en/squads/e9d60d0c/2024/Sirius-Stats" TargetMode="External"/><Relationship Id="rId1941" Type="http://schemas.openxmlformats.org/officeDocument/2006/relationships/hyperlink" Target="https://fbref.com/en/players/380e2a1d/matchlogs/2024/summary/Jakob-Voelkerling-Persson-Match-Logs" TargetMode="External"/><Relationship Id="rId1942" Type="http://schemas.openxmlformats.org/officeDocument/2006/relationships/hyperlink" Target="https://fbref.com/en/players/b3ef6517/Joel-Voelkerling-Persson" TargetMode="External"/><Relationship Id="rId1943" Type="http://schemas.openxmlformats.org/officeDocument/2006/relationships/hyperlink" Target="https://fbref.com/en/country/SWE/Sweden-Football" TargetMode="External"/><Relationship Id="rId1944" Type="http://schemas.openxmlformats.org/officeDocument/2006/relationships/hyperlink" Target="https://fbref.com/en/squads/d048ed60/2024/Varnamo-Stats" TargetMode="External"/><Relationship Id="rId1945" Type="http://schemas.openxmlformats.org/officeDocument/2006/relationships/hyperlink" Target="https://fbref.com/en/players/b3ef6517/matchlogs/2024/summary/Joel-Voelkerling-Persson-Match-Logs" TargetMode="External"/><Relationship Id="rId1946" Type="http://schemas.openxmlformats.org/officeDocument/2006/relationships/hyperlink" Target="https://fbref.com/en/players/517503ce/Elis-Wahl" TargetMode="External"/><Relationship Id="rId1947" Type="http://schemas.openxmlformats.org/officeDocument/2006/relationships/hyperlink" Target="https://fbref.com/en/country/SWE/Sweden-Football" TargetMode="External"/><Relationship Id="rId1948" Type="http://schemas.openxmlformats.org/officeDocument/2006/relationships/hyperlink" Target="https://fbref.com/en/squads/a8481ab9/2024/Vasteras-Stats" TargetMode="External"/><Relationship Id="rId1949" Type="http://schemas.openxmlformats.org/officeDocument/2006/relationships/hyperlink" Target="https://fbref.com/en/players/517503ce/matchlogs/2024/summary/Elis-Wahl-Match-Logs" TargetMode="External"/><Relationship Id="rId1576" Type="http://schemas.openxmlformats.org/officeDocument/2006/relationships/hyperlink" Target="https://fbref.com/en/country/DEN/Denmark-Football" TargetMode="External"/><Relationship Id="rId1577" Type="http://schemas.openxmlformats.org/officeDocument/2006/relationships/hyperlink" Target="https://fbref.com/en/squads/f3d8c8b9/2024/Malmo-Stats" TargetMode="External"/><Relationship Id="rId1578" Type="http://schemas.openxmlformats.org/officeDocument/2006/relationships/hyperlink" Target="https://fbref.com/en/players/572498c7/matchlogs/2024/summary/Soren-Rieks-Match-Logs" TargetMode="External"/><Relationship Id="rId1579" Type="http://schemas.openxmlformats.org/officeDocument/2006/relationships/hyperlink" Target="https://fbref.com/en/players/9bc48002/Erik-Ring" TargetMode="External"/><Relationship Id="rId509" Type="http://schemas.openxmlformats.org/officeDocument/2006/relationships/hyperlink" Target="https://fbref.com/en/squads/1d0836d6/2024/Norrkoping-Stats" TargetMode="External"/><Relationship Id="rId508" Type="http://schemas.openxmlformats.org/officeDocument/2006/relationships/hyperlink" Target="https://fbref.com/en/country/NOR/Norway-Football" TargetMode="External"/><Relationship Id="rId503" Type="http://schemas.openxmlformats.org/officeDocument/2006/relationships/hyperlink" Target="https://fbref.com/en/players/29e298a8/Mads-Dohr-Thychosen" TargetMode="External"/><Relationship Id="rId987" Type="http://schemas.openxmlformats.org/officeDocument/2006/relationships/hyperlink" Target="https://fbref.com/en/squads/a8481ab9/2024/Vasteras-Stats" TargetMode="External"/><Relationship Id="rId502" Type="http://schemas.openxmlformats.org/officeDocument/2006/relationships/hyperlink" Target="https://fbref.com/en/players/91bee6ac/matchlogs/2024/summary/Leon-Dusi-Match-Logs" TargetMode="External"/><Relationship Id="rId986" Type="http://schemas.openxmlformats.org/officeDocument/2006/relationships/hyperlink" Target="https://fbref.com/en/country/DEN/Denmark-Football" TargetMode="External"/><Relationship Id="rId501" Type="http://schemas.openxmlformats.org/officeDocument/2006/relationships/hyperlink" Target="https://fbref.com/en/squads/ef1ab26a/2024/Goteborg-Stats" TargetMode="External"/><Relationship Id="rId985" Type="http://schemas.openxmlformats.org/officeDocument/2006/relationships/hyperlink" Target="https://fbref.com/en/players/4bfc414e/William-Kaastrup" TargetMode="External"/><Relationship Id="rId500" Type="http://schemas.openxmlformats.org/officeDocument/2006/relationships/hyperlink" Target="https://fbref.com/en/country/SWE/Sweden-Football" TargetMode="External"/><Relationship Id="rId984" Type="http://schemas.openxmlformats.org/officeDocument/2006/relationships/hyperlink" Target="https://fbref.com/en/players/d796974b/matchlogs/2024/summary/Sebastian-Jorgensen-Match-Logs" TargetMode="External"/><Relationship Id="rId507" Type="http://schemas.openxmlformats.org/officeDocument/2006/relationships/hyperlink" Target="https://fbref.com/en/players/9a12e666/Daniel-Eid" TargetMode="External"/><Relationship Id="rId506" Type="http://schemas.openxmlformats.org/officeDocument/2006/relationships/hyperlink" Target="https://fbref.com/en/players/29e298a8/matchlogs/2024/summary/Mads-Dohr-Thychosen-Match-Logs" TargetMode="External"/><Relationship Id="rId505" Type="http://schemas.openxmlformats.org/officeDocument/2006/relationships/hyperlink" Target="https://fbref.com/en/squads/b0333581/2024/AIK-Stockholm-Stats" TargetMode="External"/><Relationship Id="rId989" Type="http://schemas.openxmlformats.org/officeDocument/2006/relationships/hyperlink" Target="https://fbref.com/en/players/76b131a9/Lucas-Kahed" TargetMode="External"/><Relationship Id="rId504" Type="http://schemas.openxmlformats.org/officeDocument/2006/relationships/hyperlink" Target="https://fbref.com/en/country/DEN/Denmark-Football" TargetMode="External"/><Relationship Id="rId988" Type="http://schemas.openxmlformats.org/officeDocument/2006/relationships/hyperlink" Target="https://fbref.com/en/players/4bfc414e/matchlogs/2024/summary/William-Kaastrup-Match-Logs" TargetMode="External"/><Relationship Id="rId1570" Type="http://schemas.openxmlformats.org/officeDocument/2006/relationships/hyperlink" Target="https://fbref.com/en/players/c40e64b6/matchlogs/2024/summary/Ricardo-Match-Logs" TargetMode="External"/><Relationship Id="rId1571" Type="http://schemas.openxmlformats.org/officeDocument/2006/relationships/hyperlink" Target="https://fbref.com/en/players/fd94116b/Ludvig-Richtner" TargetMode="External"/><Relationship Id="rId983" Type="http://schemas.openxmlformats.org/officeDocument/2006/relationships/hyperlink" Target="https://fbref.com/en/squads/f3d8c8b9/2024/Malmo-Stats" TargetMode="External"/><Relationship Id="rId1572" Type="http://schemas.openxmlformats.org/officeDocument/2006/relationships/hyperlink" Target="https://fbref.com/en/country/SWE/Sweden-Football" TargetMode="External"/><Relationship Id="rId982" Type="http://schemas.openxmlformats.org/officeDocument/2006/relationships/hyperlink" Target="https://fbref.com/en/country/DEN/Denmark-Football" TargetMode="External"/><Relationship Id="rId1573" Type="http://schemas.openxmlformats.org/officeDocument/2006/relationships/hyperlink" Target="https://fbref.com/en/squads/50e85bfc/2024/Elfsborg-Stats" TargetMode="External"/><Relationship Id="rId981" Type="http://schemas.openxmlformats.org/officeDocument/2006/relationships/hyperlink" Target="https://fbref.com/en/players/d796974b/Sebastian-Jorgensen" TargetMode="External"/><Relationship Id="rId1574" Type="http://schemas.openxmlformats.org/officeDocument/2006/relationships/hyperlink" Target="https://fbref.com/en/players/fd94116b/matchlogs/2024/summary/Ludvig-Richtner-Match-Logs" TargetMode="External"/><Relationship Id="rId980" Type="http://schemas.openxmlformats.org/officeDocument/2006/relationships/hyperlink" Target="https://fbref.com/en/players/bc77dc63/matchlogs/2024/summary/Carl-Juhlin-Match-Logs" TargetMode="External"/><Relationship Id="rId1575" Type="http://schemas.openxmlformats.org/officeDocument/2006/relationships/hyperlink" Target="https://fbref.com/en/players/572498c7/Soren-Rieks" TargetMode="External"/><Relationship Id="rId1565" Type="http://schemas.openxmlformats.org/officeDocument/2006/relationships/hyperlink" Target="https://fbref.com/en/squads/a8481ab9/2024/Vasteras-Stats" TargetMode="External"/><Relationship Id="rId1566" Type="http://schemas.openxmlformats.org/officeDocument/2006/relationships/hyperlink" Target="https://fbref.com/en/players/c39c4cb7/matchlogs/2024/summary/Pedro-Ribeiro-Match-Logs" TargetMode="External"/><Relationship Id="rId1567" Type="http://schemas.openxmlformats.org/officeDocument/2006/relationships/hyperlink" Target="https://fbref.com/en/players/c40e64b6/Ricardo" TargetMode="External"/><Relationship Id="rId1568" Type="http://schemas.openxmlformats.org/officeDocument/2006/relationships/hyperlink" Target="https://fbref.com/en/country/BRA/Brazil-Football" TargetMode="External"/><Relationship Id="rId1569" Type="http://schemas.openxmlformats.org/officeDocument/2006/relationships/hyperlink" Target="https://fbref.com/en/squads/f3d8c8b9/2024/Malmo-Stats" TargetMode="External"/><Relationship Id="rId976" Type="http://schemas.openxmlformats.org/officeDocument/2006/relationships/hyperlink" Target="https://fbref.com/en/players/04fea502/matchlogs/2024/summary/Liam-Jordan-Match-Logs" TargetMode="External"/><Relationship Id="rId975" Type="http://schemas.openxmlformats.org/officeDocument/2006/relationships/hyperlink" Target="https://fbref.com/en/squads/bb9e11b2/2024/Brommapojkarna-Stats" TargetMode="External"/><Relationship Id="rId974" Type="http://schemas.openxmlformats.org/officeDocument/2006/relationships/hyperlink" Target="https://fbref.com/en/country/RSA/South-Africa-Football" TargetMode="External"/><Relationship Id="rId973" Type="http://schemas.openxmlformats.org/officeDocument/2006/relationships/hyperlink" Target="https://fbref.com/en/players/04fea502/Liam-Jordan" TargetMode="External"/><Relationship Id="rId979" Type="http://schemas.openxmlformats.org/officeDocument/2006/relationships/hyperlink" Target="https://fbref.com/en/squads/7c2d1adb/2024/GAIS-Stats" TargetMode="External"/><Relationship Id="rId978" Type="http://schemas.openxmlformats.org/officeDocument/2006/relationships/hyperlink" Target="https://fbref.com/en/country/SWE/Sweden-Football" TargetMode="External"/><Relationship Id="rId977" Type="http://schemas.openxmlformats.org/officeDocument/2006/relationships/hyperlink" Target="https://fbref.com/en/players/bc77dc63/Carl-Juhlin" TargetMode="External"/><Relationship Id="rId1560" Type="http://schemas.openxmlformats.org/officeDocument/2006/relationships/hyperlink" Target="https://fbref.com/en/country/SWE/Sweden-Football" TargetMode="External"/><Relationship Id="rId972" Type="http://schemas.openxmlformats.org/officeDocument/2006/relationships/hyperlink" Target="https://fbref.com/en/players/3d66c883/matchlogs/2024/summary/Leo-Jonsson-Match-Logs" TargetMode="External"/><Relationship Id="rId1561" Type="http://schemas.openxmlformats.org/officeDocument/2006/relationships/hyperlink" Target="https://fbref.com/en/squads/92bfd7f0/2024/Hammarby-Stats" TargetMode="External"/><Relationship Id="rId971" Type="http://schemas.openxmlformats.org/officeDocument/2006/relationships/hyperlink" Target="https://fbref.com/en/squads/1d0836d6/2024/Norrkoping-Stats" TargetMode="External"/><Relationship Id="rId1562" Type="http://schemas.openxmlformats.org/officeDocument/2006/relationships/hyperlink" Target="https://fbref.com/en/players/83063748/matchlogs/2024/summary/Emil-Reyes-Rigo-Match-Logs" TargetMode="External"/><Relationship Id="rId970" Type="http://schemas.openxmlformats.org/officeDocument/2006/relationships/hyperlink" Target="https://fbref.com/en/country/SWE/Sweden-Football" TargetMode="External"/><Relationship Id="rId1563" Type="http://schemas.openxmlformats.org/officeDocument/2006/relationships/hyperlink" Target="https://fbref.com/en/players/c39c4cb7/Pedro-Ribeiro" TargetMode="External"/><Relationship Id="rId1564" Type="http://schemas.openxmlformats.org/officeDocument/2006/relationships/hyperlink" Target="https://fbref.com/en/country/BRA/Brazil-Football" TargetMode="External"/><Relationship Id="rId1114" Type="http://schemas.openxmlformats.org/officeDocument/2006/relationships/hyperlink" Target="https://fbref.com/en/squads/50e85bfc/2024/Elfsborg-Stats" TargetMode="External"/><Relationship Id="rId1598" Type="http://schemas.openxmlformats.org/officeDocument/2006/relationships/hyperlink" Target="https://fbref.com/en/players/8e833ce2/matchlogs/2024/summary/Tim-Ronning-Match-Logs" TargetMode="External"/><Relationship Id="rId1115" Type="http://schemas.openxmlformats.org/officeDocument/2006/relationships/hyperlink" Target="https://fbref.com/en/players/fe006f82/matchlogs/2024/summary/Johan-Larsson-Match-Logs" TargetMode="External"/><Relationship Id="rId1599" Type="http://schemas.openxmlformats.org/officeDocument/2006/relationships/hyperlink" Target="https://fbref.com/en/players/1871b45b/Alvar-Rosander" TargetMode="External"/><Relationship Id="rId1116" Type="http://schemas.openxmlformats.org/officeDocument/2006/relationships/hyperlink" Target="https://fbref.com/en/players/f57be357/Max-Larsson" TargetMode="External"/><Relationship Id="rId1117" Type="http://schemas.openxmlformats.org/officeDocument/2006/relationships/hyperlink" Target="https://fbref.com/en/country/SWE/Sweden-Football" TargetMode="External"/><Relationship Id="rId1118" Type="http://schemas.openxmlformats.org/officeDocument/2006/relationships/hyperlink" Target="https://fbref.com/en/squads/a8481ab9/2024/Vasteras-Stats" TargetMode="External"/><Relationship Id="rId1119" Type="http://schemas.openxmlformats.org/officeDocument/2006/relationships/hyperlink" Target="https://fbref.com/en/players/f57be357/matchlogs/2024/summary/Max-Larsson-Match-Logs" TargetMode="External"/><Relationship Id="rId525" Type="http://schemas.openxmlformats.org/officeDocument/2006/relationships/hyperlink" Target="https://fbref.com/en/squads/92bfd7f0/2024/Hammarby-Stats" TargetMode="External"/><Relationship Id="rId524" Type="http://schemas.openxmlformats.org/officeDocument/2006/relationships/hyperlink" Target="https://fbref.com/en/country/SWE/Sweden-Football" TargetMode="External"/><Relationship Id="rId523" Type="http://schemas.openxmlformats.org/officeDocument/2006/relationships/hyperlink" Target="https://fbref.com/en/players/7aa14afa/Gent-Elezaj" TargetMode="External"/><Relationship Id="rId522" Type="http://schemas.openxmlformats.org/officeDocument/2006/relationships/hyperlink" Target="https://fbref.com/en/players/1aae6743/matchlogs/2024/summary/Victor-Ekstrom-Match-Logs" TargetMode="External"/><Relationship Id="rId529" Type="http://schemas.openxmlformats.org/officeDocument/2006/relationships/hyperlink" Target="https://fbref.com/en/players/69a56269/matchlogs/2024/summary/Viggo-Elfstrom-Match-Logs" TargetMode="External"/><Relationship Id="rId528" Type="http://schemas.openxmlformats.org/officeDocument/2006/relationships/hyperlink" Target="https://fbref.com/en/squads/bb9e11b2/2024/Brommapojkarna-Stats" TargetMode="External"/><Relationship Id="rId527" Type="http://schemas.openxmlformats.org/officeDocument/2006/relationships/hyperlink" Target="https://fbref.com/en/players/69a56269/Viggo-Elfstrom" TargetMode="External"/><Relationship Id="rId526" Type="http://schemas.openxmlformats.org/officeDocument/2006/relationships/hyperlink" Target="https://fbref.com/en/players/7aa14afa/matchlogs/2024/summary/Gent-Elezaj-Match-Logs" TargetMode="External"/><Relationship Id="rId1590" Type="http://schemas.openxmlformats.org/officeDocument/2006/relationships/hyperlink" Target="https://fbref.com/en/players/09d131ed/matchlogs/2024/summary/Jacob-Rinne-Match-Logs" TargetMode="External"/><Relationship Id="rId1591" Type="http://schemas.openxmlformats.org/officeDocument/2006/relationships/hyperlink" Target="https://fbref.com/en/players/596e48ce/Romario" TargetMode="External"/><Relationship Id="rId1592" Type="http://schemas.openxmlformats.org/officeDocument/2006/relationships/hyperlink" Target="https://fbref.com/en/country/BRA/Brazil-Football" TargetMode="External"/><Relationship Id="rId1593" Type="http://schemas.openxmlformats.org/officeDocument/2006/relationships/hyperlink" Target="https://fbref.com/en/squads/9f13771c/2024/Kalmar-Stats" TargetMode="External"/><Relationship Id="rId521" Type="http://schemas.openxmlformats.org/officeDocument/2006/relationships/hyperlink" Target="https://fbref.com/en/squads/e9d60d0c/2024/Sirius-Stats" TargetMode="External"/><Relationship Id="rId1110" Type="http://schemas.openxmlformats.org/officeDocument/2006/relationships/hyperlink" Target="https://fbref.com/en/squads/92bfd7f0/2024/Hammarby-Stats" TargetMode="External"/><Relationship Id="rId1594" Type="http://schemas.openxmlformats.org/officeDocument/2006/relationships/hyperlink" Target="https://fbref.com/en/players/596e48ce/matchlogs/2024/summary/Romario-Match-Logs" TargetMode="External"/><Relationship Id="rId520" Type="http://schemas.openxmlformats.org/officeDocument/2006/relationships/hyperlink" Target="https://fbref.com/en/country/SWE/Sweden-Football" TargetMode="External"/><Relationship Id="rId1111" Type="http://schemas.openxmlformats.org/officeDocument/2006/relationships/hyperlink" Target="https://fbref.com/en/players/b0d2c09a/matchlogs/2024/summary/Adrian-Lahdo-Match-Logs" TargetMode="External"/><Relationship Id="rId1595" Type="http://schemas.openxmlformats.org/officeDocument/2006/relationships/hyperlink" Target="https://fbref.com/en/players/8e833ce2/Tim-Ronning" TargetMode="External"/><Relationship Id="rId1112" Type="http://schemas.openxmlformats.org/officeDocument/2006/relationships/hyperlink" Target="https://fbref.com/en/players/fe006f82/Johan-Larsson" TargetMode="External"/><Relationship Id="rId1596" Type="http://schemas.openxmlformats.org/officeDocument/2006/relationships/hyperlink" Target="https://fbref.com/en/country/SWE/Sweden-Football" TargetMode="External"/><Relationship Id="rId1113" Type="http://schemas.openxmlformats.org/officeDocument/2006/relationships/hyperlink" Target="https://fbref.com/en/country/SWE/Sweden-Football" TargetMode="External"/><Relationship Id="rId1597" Type="http://schemas.openxmlformats.org/officeDocument/2006/relationships/hyperlink" Target="https://fbref.com/en/squads/17366e53/2024/Halmstad-Stats" TargetMode="External"/><Relationship Id="rId1103" Type="http://schemas.openxmlformats.org/officeDocument/2006/relationships/hyperlink" Target="https://fbref.com/en/players/5b136c33/matchlogs/2024/summary/Edvin-Kurtulus-Match-Logs" TargetMode="External"/><Relationship Id="rId1587" Type="http://schemas.openxmlformats.org/officeDocument/2006/relationships/hyperlink" Target="https://fbref.com/en/players/09d131ed/Jacob-Rinne" TargetMode="External"/><Relationship Id="rId1104" Type="http://schemas.openxmlformats.org/officeDocument/2006/relationships/hyperlink" Target="https://fbref.com/en/players/b18a497e/Manasse-Kusu" TargetMode="External"/><Relationship Id="rId1588" Type="http://schemas.openxmlformats.org/officeDocument/2006/relationships/hyperlink" Target="https://fbref.com/en/country/SWE/Sweden-Football" TargetMode="External"/><Relationship Id="rId1105" Type="http://schemas.openxmlformats.org/officeDocument/2006/relationships/hyperlink" Target="https://fbref.com/en/country/SWE/Sweden-Football" TargetMode="External"/><Relationship Id="rId1589" Type="http://schemas.openxmlformats.org/officeDocument/2006/relationships/hyperlink" Target="https://fbref.com/en/squads/9423c05a/2024/Djurgarden-Stats" TargetMode="External"/><Relationship Id="rId1106" Type="http://schemas.openxmlformats.org/officeDocument/2006/relationships/hyperlink" Target="https://fbref.com/en/squads/b1a7a7b9/2024/Mjallby-Stats" TargetMode="External"/><Relationship Id="rId1107" Type="http://schemas.openxmlformats.org/officeDocument/2006/relationships/hyperlink" Target="https://fbref.com/en/players/b18a497e/matchlogs/2024/summary/Manasse-Kusu-Match-Logs" TargetMode="External"/><Relationship Id="rId1108" Type="http://schemas.openxmlformats.org/officeDocument/2006/relationships/hyperlink" Target="https://fbref.com/en/players/b0d2c09a/Adrian-Lahdo" TargetMode="External"/><Relationship Id="rId1109" Type="http://schemas.openxmlformats.org/officeDocument/2006/relationships/hyperlink" Target="https://fbref.com/en/country/SWE/Sweden-Football" TargetMode="External"/><Relationship Id="rId519" Type="http://schemas.openxmlformats.org/officeDocument/2006/relationships/hyperlink" Target="https://fbref.com/en/players/1aae6743/Victor-Ekstrom" TargetMode="External"/><Relationship Id="rId514" Type="http://schemas.openxmlformats.org/officeDocument/2006/relationships/hyperlink" Target="https://fbref.com/en/players/f503ea63/matchlogs/2024/summary/Albin-Ekdal-Match-Logs" TargetMode="External"/><Relationship Id="rId998" Type="http://schemas.openxmlformats.org/officeDocument/2006/relationships/hyperlink" Target="https://fbref.com/en/country/SWE/Sweden-Football" TargetMode="External"/><Relationship Id="rId513" Type="http://schemas.openxmlformats.org/officeDocument/2006/relationships/hyperlink" Target="https://fbref.com/en/squads/9423c05a/2024/Djurgarden-Stats" TargetMode="External"/><Relationship Id="rId997" Type="http://schemas.openxmlformats.org/officeDocument/2006/relationships/hyperlink" Target="https://fbref.com/en/players/b1120985/Yahya-Kalley" TargetMode="External"/><Relationship Id="rId512" Type="http://schemas.openxmlformats.org/officeDocument/2006/relationships/hyperlink" Target="https://fbref.com/en/country/SWE/Sweden-Football" TargetMode="External"/><Relationship Id="rId996" Type="http://schemas.openxmlformats.org/officeDocument/2006/relationships/hyperlink" Target="https://fbref.com/en/players/74804a09/matchlogs/2024/summary/Rami-Kaib-Match-Logs" TargetMode="External"/><Relationship Id="rId511" Type="http://schemas.openxmlformats.org/officeDocument/2006/relationships/hyperlink" Target="https://fbref.com/en/players/f503ea63/Albin-Ekdal" TargetMode="External"/><Relationship Id="rId995" Type="http://schemas.openxmlformats.org/officeDocument/2006/relationships/hyperlink" Target="https://fbref.com/en/squads/50e85bfc/2024/Elfsborg-Stats" TargetMode="External"/><Relationship Id="rId518" Type="http://schemas.openxmlformats.org/officeDocument/2006/relationships/hyperlink" Target="https://fbref.com/en/players/848fa029/matchlogs/2024/summary/Otega-Ekperuoh-Match-Logs" TargetMode="External"/><Relationship Id="rId517" Type="http://schemas.openxmlformats.org/officeDocument/2006/relationships/hyperlink" Target="https://fbref.com/en/squads/bb9e11b2/2024/Brommapojkarna-Stats" TargetMode="External"/><Relationship Id="rId516" Type="http://schemas.openxmlformats.org/officeDocument/2006/relationships/hyperlink" Target="https://fbref.com/en/country/SWE/Sweden-Football" TargetMode="External"/><Relationship Id="rId515" Type="http://schemas.openxmlformats.org/officeDocument/2006/relationships/hyperlink" Target="https://fbref.com/en/players/848fa029/Otega-Ekperuoh" TargetMode="External"/><Relationship Id="rId999" Type="http://schemas.openxmlformats.org/officeDocument/2006/relationships/hyperlink" Target="https://fbref.com/en/squads/1d0836d6/2024/Norrkoping-Stats" TargetMode="External"/><Relationship Id="rId990" Type="http://schemas.openxmlformats.org/officeDocument/2006/relationships/hyperlink" Target="https://fbref.com/en/country/SWE/Sweden-Football" TargetMode="External"/><Relationship Id="rId1580" Type="http://schemas.openxmlformats.org/officeDocument/2006/relationships/hyperlink" Target="https://fbref.com/en/country/SWE/Sweden-Football" TargetMode="External"/><Relationship Id="rId1581" Type="http://schemas.openxmlformats.org/officeDocument/2006/relationships/hyperlink" Target="https://fbref.com/en/squads/b0333581/2024/AIK-Stockholm-Stats" TargetMode="External"/><Relationship Id="rId1582" Type="http://schemas.openxmlformats.org/officeDocument/2006/relationships/hyperlink" Target="https://fbref.com/en/players/9bc48002/matchlogs/2024/summary/Erik-Ring-Match-Logs" TargetMode="External"/><Relationship Id="rId510" Type="http://schemas.openxmlformats.org/officeDocument/2006/relationships/hyperlink" Target="https://fbref.com/en/players/9a12e666/matchlogs/2024/summary/Daniel-Eid-Match-Logs" TargetMode="External"/><Relationship Id="rId994" Type="http://schemas.openxmlformats.org/officeDocument/2006/relationships/hyperlink" Target="https://fbref.com/en/country/TUN/Tunisia-Football" TargetMode="External"/><Relationship Id="rId1583" Type="http://schemas.openxmlformats.org/officeDocument/2006/relationships/hyperlink" Target="https://fbref.com/en/players/a9780d60/Jonathan-Ring" TargetMode="External"/><Relationship Id="rId993" Type="http://schemas.openxmlformats.org/officeDocument/2006/relationships/hyperlink" Target="https://fbref.com/en/players/74804a09/Rami-Kaib" TargetMode="External"/><Relationship Id="rId1100" Type="http://schemas.openxmlformats.org/officeDocument/2006/relationships/hyperlink" Target="https://fbref.com/en/players/5b136c33/Edvin-Kurtulus" TargetMode="External"/><Relationship Id="rId1584" Type="http://schemas.openxmlformats.org/officeDocument/2006/relationships/hyperlink" Target="https://fbref.com/en/country/SWE/Sweden-Football" TargetMode="External"/><Relationship Id="rId992" Type="http://schemas.openxmlformats.org/officeDocument/2006/relationships/hyperlink" Target="https://fbref.com/en/players/76b131a9/matchlogs/2024/summary/Lucas-Kahed-Match-Logs" TargetMode="External"/><Relationship Id="rId1101" Type="http://schemas.openxmlformats.org/officeDocument/2006/relationships/hyperlink" Target="https://fbref.com/en/country/SWE/Sweden-Football" TargetMode="External"/><Relationship Id="rId1585" Type="http://schemas.openxmlformats.org/officeDocument/2006/relationships/hyperlink" Target="https://fbref.com/en/squads/9f13771c/2024/Kalmar-Stats" TargetMode="External"/><Relationship Id="rId991" Type="http://schemas.openxmlformats.org/officeDocument/2006/relationships/hyperlink" Target="https://fbref.com/en/squads/ef1ab26a/2024/Goteborg-Stats" TargetMode="External"/><Relationship Id="rId1102" Type="http://schemas.openxmlformats.org/officeDocument/2006/relationships/hyperlink" Target="https://fbref.com/en/squads/92bfd7f0/2024/Hammarby-Stats" TargetMode="External"/><Relationship Id="rId1586" Type="http://schemas.openxmlformats.org/officeDocument/2006/relationships/hyperlink" Target="https://fbref.com/en/players/a9780d60/matchlogs/2024/summary/Jonathan-Ring-Match-Logs" TargetMode="External"/><Relationship Id="rId1532" Type="http://schemas.openxmlformats.org/officeDocument/2006/relationships/hyperlink" Target="https://fbref.com/en/country/AZE/Azerbaijan-Football" TargetMode="External"/><Relationship Id="rId1533" Type="http://schemas.openxmlformats.org/officeDocument/2006/relationships/hyperlink" Target="https://fbref.com/en/squads/9423c05a/2024/Djurgarden-Stats" TargetMode="External"/><Relationship Id="rId1534" Type="http://schemas.openxmlformats.org/officeDocument/2006/relationships/hyperlink" Target="https://fbref.com/en/players/9c2e7413/matchlogs/2024/summary/Musa-Qurbanli-Match-Logs" TargetMode="External"/><Relationship Id="rId1535" Type="http://schemas.openxmlformats.org/officeDocument/2006/relationships/hyperlink" Target="https://fbref.com/en/players/76c24535/Haris-Radetinac" TargetMode="External"/><Relationship Id="rId1536" Type="http://schemas.openxmlformats.org/officeDocument/2006/relationships/hyperlink" Target="https://fbref.com/en/country/BIH/Bosnia-and-Herzegovina-Football" TargetMode="External"/><Relationship Id="rId1537" Type="http://schemas.openxmlformats.org/officeDocument/2006/relationships/hyperlink" Target="https://fbref.com/en/squads/9423c05a/2024/Djurgarden-Stats" TargetMode="External"/><Relationship Id="rId1538" Type="http://schemas.openxmlformats.org/officeDocument/2006/relationships/hyperlink" Target="https://fbref.com/en/players/76c24535/matchlogs/2024/summary/Haris-Radetinac-Match-Logs" TargetMode="External"/><Relationship Id="rId1539" Type="http://schemas.openxmlformats.org/officeDocument/2006/relationships/hyperlink" Target="https://fbref.com/en/players/a1fbaeb3/Marcus-Rafferty" TargetMode="External"/><Relationship Id="rId949" Type="http://schemas.openxmlformats.org/officeDocument/2006/relationships/hyperlink" Target="https://fbref.com/en/players/bbd74918/matchlogs/2024/summary/Mattias-Johansson-Match-Logs" TargetMode="External"/><Relationship Id="rId948" Type="http://schemas.openxmlformats.org/officeDocument/2006/relationships/hyperlink" Target="https://fbref.com/en/squads/ef1ab26a/2024/Goteborg-Stats" TargetMode="External"/><Relationship Id="rId943" Type="http://schemas.openxmlformats.org/officeDocument/2006/relationships/hyperlink" Target="https://fbref.com/en/country/SWE/Sweden-Football" TargetMode="External"/><Relationship Id="rId942" Type="http://schemas.openxmlformats.org/officeDocument/2006/relationships/hyperlink" Target="https://fbref.com/en/players/240e5395/Julius-Johansson" TargetMode="External"/><Relationship Id="rId941" Type="http://schemas.openxmlformats.org/officeDocument/2006/relationships/hyperlink" Target="https://fbref.com/en/players/6f864562/matchlogs/2024/summary/Herman-Johansson-Match-Logs" TargetMode="External"/><Relationship Id="rId940" Type="http://schemas.openxmlformats.org/officeDocument/2006/relationships/hyperlink" Target="https://fbref.com/en/squads/b1a7a7b9/2024/Mjallby-Stats" TargetMode="External"/><Relationship Id="rId947" Type="http://schemas.openxmlformats.org/officeDocument/2006/relationships/hyperlink" Target="https://fbref.com/en/country/SWE/Sweden-Football" TargetMode="External"/><Relationship Id="rId946" Type="http://schemas.openxmlformats.org/officeDocument/2006/relationships/hyperlink" Target="https://fbref.com/en/players/bbd74918/Mattias-Johansson" TargetMode="External"/><Relationship Id="rId945" Type="http://schemas.openxmlformats.org/officeDocument/2006/relationships/hyperlink" Target="https://fbref.com/en/players/240e5395/matchlogs/2024/summary/Julius-Johansson-Match-Logs" TargetMode="External"/><Relationship Id="rId944" Type="http://schemas.openxmlformats.org/officeDocument/2006/relationships/hyperlink" Target="https://fbref.com/en/squads/a8481ab9/2024/Vasteras-Stats" TargetMode="External"/><Relationship Id="rId1530" Type="http://schemas.openxmlformats.org/officeDocument/2006/relationships/hyperlink" Target="https://fbref.com/en/players/27219ecb/matchlogs/2024/summary/Ahmed-Qasem-Match-Logs" TargetMode="External"/><Relationship Id="rId1531" Type="http://schemas.openxmlformats.org/officeDocument/2006/relationships/hyperlink" Target="https://fbref.com/en/players/9c2e7413/Musa-Qurbanli" TargetMode="External"/><Relationship Id="rId1521" Type="http://schemas.openxmlformats.org/officeDocument/2006/relationships/hyperlink" Target="https://fbref.com/en/squads/e9d60d0c/2024/Sirius-Stats" TargetMode="External"/><Relationship Id="rId1522" Type="http://schemas.openxmlformats.org/officeDocument/2006/relationships/hyperlink" Target="https://fbref.com/en/players/17e8b732/matchlogs/2024/summary/Andreas-Pyndt-Andersen-Match-Logs" TargetMode="External"/><Relationship Id="rId1523" Type="http://schemas.openxmlformats.org/officeDocument/2006/relationships/hyperlink" Target="https://fbref.com/en/players/17e8b732/Andreas-Pyndt-Andersen" TargetMode="External"/><Relationship Id="rId1524" Type="http://schemas.openxmlformats.org/officeDocument/2006/relationships/hyperlink" Target="https://fbref.com/en/country/DEN/Denmark-Football" TargetMode="External"/><Relationship Id="rId1525" Type="http://schemas.openxmlformats.org/officeDocument/2006/relationships/hyperlink" Target="https://fbref.com/en/squads/ef1ab26a/2024/Goteborg-Stats" TargetMode="External"/><Relationship Id="rId1526" Type="http://schemas.openxmlformats.org/officeDocument/2006/relationships/hyperlink" Target="https://fbref.com/en/players/17e8b732/matchlogs/2024/summary/Andreas-Pyndt-Andersen-Match-Logs" TargetMode="External"/><Relationship Id="rId1527" Type="http://schemas.openxmlformats.org/officeDocument/2006/relationships/hyperlink" Target="https://fbref.com/en/players/27219ecb/Ahmed-Qasem" TargetMode="External"/><Relationship Id="rId1528" Type="http://schemas.openxmlformats.org/officeDocument/2006/relationships/hyperlink" Target="https://fbref.com/en/country/SWE/Sweden-Football" TargetMode="External"/><Relationship Id="rId1529" Type="http://schemas.openxmlformats.org/officeDocument/2006/relationships/hyperlink" Target="https://fbref.com/en/squads/50e85bfc/2024/Elfsborg-Stats" TargetMode="External"/><Relationship Id="rId939" Type="http://schemas.openxmlformats.org/officeDocument/2006/relationships/hyperlink" Target="https://fbref.com/en/country/SWE/Sweden-Football" TargetMode="External"/><Relationship Id="rId938" Type="http://schemas.openxmlformats.org/officeDocument/2006/relationships/hyperlink" Target="https://fbref.com/en/players/6f864562/Herman-Johansson" TargetMode="External"/><Relationship Id="rId937" Type="http://schemas.openxmlformats.org/officeDocument/2006/relationships/hyperlink" Target="https://fbref.com/en/players/65df97ab/matchlogs/2024/summary/Carl-Johansson-Match-Logs" TargetMode="External"/><Relationship Id="rId932" Type="http://schemas.openxmlformats.org/officeDocument/2006/relationships/hyperlink" Target="https://fbref.com/en/squads/d048ed60/2024/Varnamo-Stats" TargetMode="External"/><Relationship Id="rId931" Type="http://schemas.openxmlformats.org/officeDocument/2006/relationships/hyperlink" Target="https://fbref.com/en/country/SWE/Sweden-Football" TargetMode="External"/><Relationship Id="rId930" Type="http://schemas.openxmlformats.org/officeDocument/2006/relationships/hyperlink" Target="https://fbref.com/en/players/8f3d288a/Calle-Johansson" TargetMode="External"/><Relationship Id="rId936" Type="http://schemas.openxmlformats.org/officeDocument/2006/relationships/hyperlink" Target="https://fbref.com/en/squads/d048ed60/2024/Varnamo-Stats" TargetMode="External"/><Relationship Id="rId935" Type="http://schemas.openxmlformats.org/officeDocument/2006/relationships/hyperlink" Target="https://fbref.com/en/country/SWE/Sweden-Football" TargetMode="External"/><Relationship Id="rId934" Type="http://schemas.openxmlformats.org/officeDocument/2006/relationships/hyperlink" Target="https://fbref.com/en/players/65df97ab/Carl-Johansson" TargetMode="External"/><Relationship Id="rId933" Type="http://schemas.openxmlformats.org/officeDocument/2006/relationships/hyperlink" Target="https://fbref.com/en/players/8f3d288a/matchlogs/2024/summary/Calle-Johansson-Match-Logs" TargetMode="External"/><Relationship Id="rId1520" Type="http://schemas.openxmlformats.org/officeDocument/2006/relationships/hyperlink" Target="https://fbref.com/en/country/DEN/Denmark-Football" TargetMode="External"/><Relationship Id="rId1554" Type="http://schemas.openxmlformats.org/officeDocument/2006/relationships/hyperlink" Target="https://fbref.com/en/players/30b7d942/matchlogs/2024/summary/Jonathan-Rasheed-Match-Logs" TargetMode="External"/><Relationship Id="rId1555" Type="http://schemas.openxmlformats.org/officeDocument/2006/relationships/hyperlink" Target="https://fbref.com/en/players/4f001fc4/Zakarias-Ravik" TargetMode="External"/><Relationship Id="rId1556" Type="http://schemas.openxmlformats.org/officeDocument/2006/relationships/hyperlink" Target="https://fbref.com/en/country/SWE/Sweden-Football" TargetMode="External"/><Relationship Id="rId1557" Type="http://schemas.openxmlformats.org/officeDocument/2006/relationships/hyperlink" Target="https://fbref.com/en/squads/9f13771c/2024/Kalmar-Stats" TargetMode="External"/><Relationship Id="rId1558" Type="http://schemas.openxmlformats.org/officeDocument/2006/relationships/hyperlink" Target="https://fbref.com/en/players/4f001fc4/matchlogs/2024/summary/Zakarias-Ravik-Match-Logs" TargetMode="External"/><Relationship Id="rId1559" Type="http://schemas.openxmlformats.org/officeDocument/2006/relationships/hyperlink" Target="https://fbref.com/en/players/83063748/Emil-Reyes-Rigo" TargetMode="External"/><Relationship Id="rId965" Type="http://schemas.openxmlformats.org/officeDocument/2006/relationships/hyperlink" Target="https://fbref.com/en/players/4f5078df/Isak-Jonsson" TargetMode="External"/><Relationship Id="rId964" Type="http://schemas.openxmlformats.org/officeDocument/2006/relationships/hyperlink" Target="https://fbref.com/en/players/58dca0f6/matchlogs/2024/summary/Isaac-Johnson-Match-Logs" TargetMode="External"/><Relationship Id="rId963" Type="http://schemas.openxmlformats.org/officeDocument/2006/relationships/hyperlink" Target="https://fbref.com/en/squads/b1a7a7b9/2024/Mjallby-Stats" TargetMode="External"/><Relationship Id="rId962" Type="http://schemas.openxmlformats.org/officeDocument/2006/relationships/hyperlink" Target="https://fbref.com/en/players/58dca0f6/Isaac-Johnson" TargetMode="External"/><Relationship Id="rId969" Type="http://schemas.openxmlformats.org/officeDocument/2006/relationships/hyperlink" Target="https://fbref.com/en/players/3d66c883/Leo-Jonsson" TargetMode="External"/><Relationship Id="rId968" Type="http://schemas.openxmlformats.org/officeDocument/2006/relationships/hyperlink" Target="https://fbref.com/en/players/4f5078df/matchlogs/2024/summary/Isak-Jonsson-Match-Logs" TargetMode="External"/><Relationship Id="rId967" Type="http://schemas.openxmlformats.org/officeDocument/2006/relationships/hyperlink" Target="https://fbref.com/en/squads/a8481ab9/2024/Vasteras-Stats" TargetMode="External"/><Relationship Id="rId966" Type="http://schemas.openxmlformats.org/officeDocument/2006/relationships/hyperlink" Target="https://fbref.com/en/country/SWE/Sweden-Football" TargetMode="External"/><Relationship Id="rId961" Type="http://schemas.openxmlformats.org/officeDocument/2006/relationships/hyperlink" Target="https://fbref.com/en/players/8326e57a/matchlogs/2024/summary/Simon-Johansson-Match-Logs" TargetMode="External"/><Relationship Id="rId1550" Type="http://schemas.openxmlformats.org/officeDocument/2006/relationships/hyperlink" Target="https://fbref.com/en/players/ab86ca19/matchlogs/2024/summary/Johan-Rapp-Match-Logs" TargetMode="External"/><Relationship Id="rId960" Type="http://schemas.openxmlformats.org/officeDocument/2006/relationships/hyperlink" Target="https://fbref.com/en/squads/a8481ab9/2024/Vasteras-Stats" TargetMode="External"/><Relationship Id="rId1551" Type="http://schemas.openxmlformats.org/officeDocument/2006/relationships/hyperlink" Target="https://fbref.com/en/players/30b7d942/Jonathan-Rasheed" TargetMode="External"/><Relationship Id="rId1552" Type="http://schemas.openxmlformats.org/officeDocument/2006/relationships/hyperlink" Target="https://fbref.com/en/country/NOR/Norway-Football" TargetMode="External"/><Relationship Id="rId1553" Type="http://schemas.openxmlformats.org/officeDocument/2006/relationships/hyperlink" Target="https://fbref.com/en/squads/d048ed60/2024/Varnamo-Stats" TargetMode="External"/><Relationship Id="rId1543" Type="http://schemas.openxmlformats.org/officeDocument/2006/relationships/hyperlink" Target="https://fbref.com/en/players/bf214961/Gottfrid-Rapp" TargetMode="External"/><Relationship Id="rId1544" Type="http://schemas.openxmlformats.org/officeDocument/2006/relationships/hyperlink" Target="https://fbref.com/en/country/SWE/Sweden-Football" TargetMode="External"/><Relationship Id="rId1545" Type="http://schemas.openxmlformats.org/officeDocument/2006/relationships/hyperlink" Target="https://fbref.com/en/squads/50e85bfc/2024/Elfsborg-Stats" TargetMode="External"/><Relationship Id="rId1546" Type="http://schemas.openxmlformats.org/officeDocument/2006/relationships/hyperlink" Target="https://fbref.com/en/players/bf214961/matchlogs/2024/summary/Gottfrid-Rapp-Match-Logs" TargetMode="External"/><Relationship Id="rId1547" Type="http://schemas.openxmlformats.org/officeDocument/2006/relationships/hyperlink" Target="https://fbref.com/en/players/ab86ca19/Johan-Rapp" TargetMode="External"/><Relationship Id="rId1548" Type="http://schemas.openxmlformats.org/officeDocument/2006/relationships/hyperlink" Target="https://fbref.com/en/country/SWE/Sweden-Football" TargetMode="External"/><Relationship Id="rId1549" Type="http://schemas.openxmlformats.org/officeDocument/2006/relationships/hyperlink" Target="https://fbref.com/en/squads/d048ed60/2024/Varnamo-Stats" TargetMode="External"/><Relationship Id="rId959" Type="http://schemas.openxmlformats.org/officeDocument/2006/relationships/hyperlink" Target="https://fbref.com/en/country/SWE/Sweden-Football" TargetMode="External"/><Relationship Id="rId954" Type="http://schemas.openxmlformats.org/officeDocument/2006/relationships/hyperlink" Target="https://fbref.com/en/players/5a471a3e/Piotr-Johansson" TargetMode="External"/><Relationship Id="rId953" Type="http://schemas.openxmlformats.org/officeDocument/2006/relationships/hyperlink" Target="https://fbref.com/en/players/0db3fcba/matchlogs/2024/summary/Oscar-Johansson-Match-Logs" TargetMode="External"/><Relationship Id="rId952" Type="http://schemas.openxmlformats.org/officeDocument/2006/relationships/hyperlink" Target="https://fbref.com/en/squads/92bfd7f0/2024/Hammarby-Stats" TargetMode="External"/><Relationship Id="rId951" Type="http://schemas.openxmlformats.org/officeDocument/2006/relationships/hyperlink" Target="https://fbref.com/en/country/SWE/Sweden-Football" TargetMode="External"/><Relationship Id="rId958" Type="http://schemas.openxmlformats.org/officeDocument/2006/relationships/hyperlink" Target="https://fbref.com/en/players/8326e57a/Simon-Johansson" TargetMode="External"/><Relationship Id="rId957" Type="http://schemas.openxmlformats.org/officeDocument/2006/relationships/hyperlink" Target="https://fbref.com/en/players/5a471a3e/matchlogs/2024/summary/Piotr-Johansson-Match-Logs" TargetMode="External"/><Relationship Id="rId956" Type="http://schemas.openxmlformats.org/officeDocument/2006/relationships/hyperlink" Target="https://fbref.com/en/squads/9423c05a/2024/Djurgarden-Stats" TargetMode="External"/><Relationship Id="rId955" Type="http://schemas.openxmlformats.org/officeDocument/2006/relationships/hyperlink" Target="https://fbref.com/en/country/SWE/Sweden-Football" TargetMode="External"/><Relationship Id="rId950" Type="http://schemas.openxmlformats.org/officeDocument/2006/relationships/hyperlink" Target="https://fbref.com/en/players/0db3fcba/Oscar-Johansson" TargetMode="External"/><Relationship Id="rId1540" Type="http://schemas.openxmlformats.org/officeDocument/2006/relationships/hyperlink" Target="https://fbref.com/en/country/SWE/Sweden-Football" TargetMode="External"/><Relationship Id="rId1541" Type="http://schemas.openxmlformats.org/officeDocument/2006/relationships/hyperlink" Target="https://fbref.com/en/squads/92bfd7f0/2024/Hammarby-Stats" TargetMode="External"/><Relationship Id="rId1542" Type="http://schemas.openxmlformats.org/officeDocument/2006/relationships/hyperlink" Target="https://fbref.com/en/players/a1fbaeb3/matchlogs/2024/summary/Marcus-Rafferty-Match-Logs" TargetMode="External"/><Relationship Id="rId2027" Type="http://schemas.openxmlformats.org/officeDocument/2006/relationships/hyperlink" Target="https://fbref.com/en/country/CIV/Cote-dIvoire-Football" TargetMode="External"/><Relationship Id="rId2028" Type="http://schemas.openxmlformats.org/officeDocument/2006/relationships/hyperlink" Target="https://fbref.com/en/squads/ef1ab26a/2024/Goteborg-Stats" TargetMode="External"/><Relationship Id="rId2029" Type="http://schemas.openxmlformats.org/officeDocument/2006/relationships/hyperlink" Target="https://fbref.com/en/players/e295402e/matchlogs/2024/summary/Malick-Yalcouye-Match-Logs" TargetMode="External"/><Relationship Id="rId590" Type="http://schemas.openxmlformats.org/officeDocument/2006/relationships/hyperlink" Target="https://fbref.com/en/players/df894060/Mads-Fenger" TargetMode="External"/><Relationship Id="rId107" Type="http://schemas.openxmlformats.org/officeDocument/2006/relationships/hyperlink" Target="https://fbref.com/en/players/2e5be23c/matchlogs/2024/summary/William-Andersson-Match-Logs" TargetMode="External"/><Relationship Id="rId106" Type="http://schemas.openxmlformats.org/officeDocument/2006/relationships/hyperlink" Target="https://fbref.com/en/squads/9f13771c/2024/Kalmar-Stats" TargetMode="External"/><Relationship Id="rId105" Type="http://schemas.openxmlformats.org/officeDocument/2006/relationships/hyperlink" Target="https://fbref.com/en/country/SWE/Sweden-Football" TargetMode="External"/><Relationship Id="rId589" Type="http://schemas.openxmlformats.org/officeDocument/2006/relationships/hyperlink" Target="https://fbref.com/en/players/de627c8a/matchlogs/2024/summary/Omar-Faraj-Match-Logs" TargetMode="External"/><Relationship Id="rId104" Type="http://schemas.openxmlformats.org/officeDocument/2006/relationships/hyperlink" Target="https://fbref.com/en/players/2e5be23c/William-Andersson" TargetMode="External"/><Relationship Id="rId588" Type="http://schemas.openxmlformats.org/officeDocument/2006/relationships/hyperlink" Target="https://fbref.com/en/squads/b0333581/2024/AIK-Stockholm-Stats" TargetMode="External"/><Relationship Id="rId109" Type="http://schemas.openxmlformats.org/officeDocument/2006/relationships/hyperlink" Target="https://fbref.com/en/country/SWE/Sweden-Football" TargetMode="External"/><Relationship Id="rId1170" Type="http://schemas.openxmlformats.org/officeDocument/2006/relationships/hyperlink" Target="https://fbref.com/en/squads/a8481ab9/2024/Vasteras-Stats" TargetMode="External"/><Relationship Id="rId108" Type="http://schemas.openxmlformats.org/officeDocument/2006/relationships/hyperlink" Target="https://fbref.com/en/players/67594583/Wilmer-Andersson" TargetMode="External"/><Relationship Id="rId1171" Type="http://schemas.openxmlformats.org/officeDocument/2006/relationships/hyperlink" Target="https://fbref.com/en/players/e0103307/matchlogs/2024/summary/Alex-Lindelov-Match-Logs" TargetMode="External"/><Relationship Id="rId583" Type="http://schemas.openxmlformats.org/officeDocument/2006/relationships/hyperlink" Target="https://fbref.com/en/country/SYR/Syria-Football" TargetMode="External"/><Relationship Id="rId1172" Type="http://schemas.openxmlformats.org/officeDocument/2006/relationships/hyperlink" Target="https://fbref.com/en/players/ec1baa9b/Filip-Linderoth" TargetMode="External"/><Relationship Id="rId582" Type="http://schemas.openxmlformats.org/officeDocument/2006/relationships/hyperlink" Target="https://fbref.com/en/players/0f5c93cc/Ahmad-Faqa" TargetMode="External"/><Relationship Id="rId1173" Type="http://schemas.openxmlformats.org/officeDocument/2006/relationships/hyperlink" Target="https://fbref.com/en/country/SWE/Sweden-Football" TargetMode="External"/><Relationship Id="rId2020" Type="http://schemas.openxmlformats.org/officeDocument/2006/relationships/hyperlink" Target="https://fbref.com/en/squads/d048ed60/2024/Varnamo-Stats" TargetMode="External"/><Relationship Id="rId581" Type="http://schemas.openxmlformats.org/officeDocument/2006/relationships/hyperlink" Target="https://fbref.com/en/players/1f6c538c/matchlogs/2024/summary/Lamine-Fanne-Match-Logs" TargetMode="External"/><Relationship Id="rId1174" Type="http://schemas.openxmlformats.org/officeDocument/2006/relationships/hyperlink" Target="https://fbref.com/en/squads/b1a7a7b9/2024/Mjallby-Stats" TargetMode="External"/><Relationship Id="rId2021" Type="http://schemas.openxmlformats.org/officeDocument/2006/relationships/hyperlink" Target="https://fbref.com/en/players/95c840ac/matchlogs/2024/summary/Freddy-Winsth-Match-Logs" TargetMode="External"/><Relationship Id="rId580" Type="http://schemas.openxmlformats.org/officeDocument/2006/relationships/hyperlink" Target="https://fbref.com/en/squads/b0333581/2024/AIK-Stockholm-Stats" TargetMode="External"/><Relationship Id="rId1175" Type="http://schemas.openxmlformats.org/officeDocument/2006/relationships/hyperlink" Target="https://fbref.com/en/players/ec1baa9b/matchlogs/2024/summary/Filip-Linderoth-Match-Logs" TargetMode="External"/><Relationship Id="rId2022" Type="http://schemas.openxmlformats.org/officeDocument/2006/relationships/hyperlink" Target="https://fbref.com/en/players/a1257b5e/Frederik-Winther" TargetMode="External"/><Relationship Id="rId103" Type="http://schemas.openxmlformats.org/officeDocument/2006/relationships/hyperlink" Target="https://fbref.com/en/players/04914da4/matchlogs/2024/summary/Viktor-Andersson-Match-Logs" TargetMode="External"/><Relationship Id="rId587" Type="http://schemas.openxmlformats.org/officeDocument/2006/relationships/hyperlink" Target="https://fbref.com/en/country/PLE/Palestine-Football" TargetMode="External"/><Relationship Id="rId1176" Type="http://schemas.openxmlformats.org/officeDocument/2006/relationships/hyperlink" Target="https://fbref.com/en/players/09a377a3/August-Ljungberg" TargetMode="External"/><Relationship Id="rId2023" Type="http://schemas.openxmlformats.org/officeDocument/2006/relationships/hyperlink" Target="https://fbref.com/en/country/DEN/Denmark-Football" TargetMode="External"/><Relationship Id="rId102" Type="http://schemas.openxmlformats.org/officeDocument/2006/relationships/hyperlink" Target="https://fbref.com/en/squads/d048ed60/2024/Varnamo-Stats" TargetMode="External"/><Relationship Id="rId586" Type="http://schemas.openxmlformats.org/officeDocument/2006/relationships/hyperlink" Target="https://fbref.com/en/players/de627c8a/Omar-Faraj" TargetMode="External"/><Relationship Id="rId1177" Type="http://schemas.openxmlformats.org/officeDocument/2006/relationships/hyperlink" Target="https://fbref.com/en/country/SWE/Sweden-Football" TargetMode="External"/><Relationship Id="rId2024" Type="http://schemas.openxmlformats.org/officeDocument/2006/relationships/hyperlink" Target="https://fbref.com/en/squads/92bfd7f0/2024/Hammarby-Stats" TargetMode="External"/><Relationship Id="rId101" Type="http://schemas.openxmlformats.org/officeDocument/2006/relationships/hyperlink" Target="https://fbref.com/en/country/SWE/Sweden-Football" TargetMode="External"/><Relationship Id="rId585" Type="http://schemas.openxmlformats.org/officeDocument/2006/relationships/hyperlink" Target="https://fbref.com/en/players/0f5c93cc/matchlogs/2024/summary/Ahmad-Faqa-Match-Logs" TargetMode="External"/><Relationship Id="rId1178" Type="http://schemas.openxmlformats.org/officeDocument/2006/relationships/hyperlink" Target="https://fbref.com/en/squads/e9d60d0c/2024/Sirius-Stats" TargetMode="External"/><Relationship Id="rId2025" Type="http://schemas.openxmlformats.org/officeDocument/2006/relationships/hyperlink" Target="https://fbref.com/en/players/a1257b5e/matchlogs/2024/summary/Frederik-Winther-Match-Logs" TargetMode="External"/><Relationship Id="rId100" Type="http://schemas.openxmlformats.org/officeDocument/2006/relationships/hyperlink" Target="https://fbref.com/en/players/04914da4/Viktor-Andersson" TargetMode="External"/><Relationship Id="rId584" Type="http://schemas.openxmlformats.org/officeDocument/2006/relationships/hyperlink" Target="https://fbref.com/en/squads/b0333581/2024/AIK-Stockholm-Stats" TargetMode="External"/><Relationship Id="rId1179" Type="http://schemas.openxmlformats.org/officeDocument/2006/relationships/hyperlink" Target="https://fbref.com/en/players/09a377a3/matchlogs/2024/summary/August-Ljungberg-Match-Logs" TargetMode="External"/><Relationship Id="rId2026" Type="http://schemas.openxmlformats.org/officeDocument/2006/relationships/hyperlink" Target="https://fbref.com/en/players/e295402e/Malick-Yalcouye" TargetMode="External"/><Relationship Id="rId1169" Type="http://schemas.openxmlformats.org/officeDocument/2006/relationships/hyperlink" Target="https://fbref.com/en/country/SWE/Sweden-Football" TargetMode="External"/><Relationship Id="rId2016" Type="http://schemas.openxmlformats.org/officeDocument/2006/relationships/hyperlink" Target="https://fbref.com/en/squads/b0333581/2024/AIK-Stockholm-Stats" TargetMode="External"/><Relationship Id="rId2017" Type="http://schemas.openxmlformats.org/officeDocument/2006/relationships/hyperlink" Target="https://fbref.com/en/players/0e41d307/matchlogs/2024/summary/Stanley-Wilson-Match-Logs" TargetMode="External"/><Relationship Id="rId2018" Type="http://schemas.openxmlformats.org/officeDocument/2006/relationships/hyperlink" Target="https://fbref.com/en/players/95c840ac/Freddy-Winsth" TargetMode="External"/><Relationship Id="rId2019" Type="http://schemas.openxmlformats.org/officeDocument/2006/relationships/hyperlink" Target="https://fbref.com/en/country/SWE/Sweden-Football" TargetMode="External"/><Relationship Id="rId579" Type="http://schemas.openxmlformats.org/officeDocument/2006/relationships/hyperlink" Target="https://fbref.com/en/country/ESP/Spain-Football" TargetMode="External"/><Relationship Id="rId578" Type="http://schemas.openxmlformats.org/officeDocument/2006/relationships/hyperlink" Target="https://fbref.com/en/players/1f6c538c/Lamine-Fanne" TargetMode="External"/><Relationship Id="rId577" Type="http://schemas.openxmlformats.org/officeDocument/2006/relationships/hyperlink" Target="https://fbref.com/en/players/61f2f56a/matchlogs/2024/summary/Andri-Fannar-Baldursson-Match-Logs" TargetMode="External"/><Relationship Id="rId1160" Type="http://schemas.openxmlformats.org/officeDocument/2006/relationships/hyperlink" Target="https://fbref.com/en/players/2c5dae12/Vilmer-Lindberg" TargetMode="External"/><Relationship Id="rId572" Type="http://schemas.openxmlformats.org/officeDocument/2006/relationships/hyperlink" Target="https://fbref.com/en/squads/9423c05a/2024/Djurgarden-Stats" TargetMode="External"/><Relationship Id="rId1161" Type="http://schemas.openxmlformats.org/officeDocument/2006/relationships/hyperlink" Target="https://fbref.com/en/country/SWE/Sweden-Football" TargetMode="External"/><Relationship Id="rId571" Type="http://schemas.openxmlformats.org/officeDocument/2006/relationships/hyperlink" Target="https://fbref.com/en/country/SWE/Sweden-Football" TargetMode="External"/><Relationship Id="rId1162" Type="http://schemas.openxmlformats.org/officeDocument/2006/relationships/hyperlink" Target="https://fbref.com/en/squads/b1a7a7b9/2024/Mjallby-Stats" TargetMode="External"/><Relationship Id="rId570" Type="http://schemas.openxmlformats.org/officeDocument/2006/relationships/hyperlink" Target="https://fbref.com/en/players/7004c558/Oskar-Fallenius" TargetMode="External"/><Relationship Id="rId1163" Type="http://schemas.openxmlformats.org/officeDocument/2006/relationships/hyperlink" Target="https://fbref.com/en/players/2c5dae12/matchlogs/2024/summary/Vilmer-Lindberg-Match-Logs" TargetMode="External"/><Relationship Id="rId2010" Type="http://schemas.openxmlformats.org/officeDocument/2006/relationships/hyperlink" Target="https://fbref.com/en/players/1f050b89/Rasmus-Wikstrom" TargetMode="External"/><Relationship Id="rId1164" Type="http://schemas.openxmlformats.org/officeDocument/2006/relationships/hyperlink" Target="https://fbref.com/en/players/4d6a842d/Andreas-Linde" TargetMode="External"/><Relationship Id="rId2011" Type="http://schemas.openxmlformats.org/officeDocument/2006/relationships/hyperlink" Target="https://fbref.com/en/country/SWE/Sweden-Football" TargetMode="External"/><Relationship Id="rId576" Type="http://schemas.openxmlformats.org/officeDocument/2006/relationships/hyperlink" Target="https://fbref.com/en/squads/50e85bfc/2024/Elfsborg-Stats" TargetMode="External"/><Relationship Id="rId1165" Type="http://schemas.openxmlformats.org/officeDocument/2006/relationships/hyperlink" Target="https://fbref.com/en/country/SWE/Sweden-Football" TargetMode="External"/><Relationship Id="rId2012" Type="http://schemas.openxmlformats.org/officeDocument/2006/relationships/hyperlink" Target="https://fbref.com/en/squads/b1a7a7b9/2024/Mjallby-Stats" TargetMode="External"/><Relationship Id="rId575" Type="http://schemas.openxmlformats.org/officeDocument/2006/relationships/hyperlink" Target="https://fbref.com/en/country/ISL/Iceland-Football" TargetMode="External"/><Relationship Id="rId1166" Type="http://schemas.openxmlformats.org/officeDocument/2006/relationships/hyperlink" Target="https://fbref.com/en/squads/8774e267/2024/BK-Hacken-Stats" TargetMode="External"/><Relationship Id="rId2013" Type="http://schemas.openxmlformats.org/officeDocument/2006/relationships/hyperlink" Target="https://fbref.com/en/players/1f050b89/matchlogs/2024/summary/Rasmus-Wikstrom-Match-Logs" TargetMode="External"/><Relationship Id="rId574" Type="http://schemas.openxmlformats.org/officeDocument/2006/relationships/hyperlink" Target="https://fbref.com/en/players/61f2f56a/Andri-Fannar-Baldursson" TargetMode="External"/><Relationship Id="rId1167" Type="http://schemas.openxmlformats.org/officeDocument/2006/relationships/hyperlink" Target="https://fbref.com/en/players/4d6a842d/matchlogs/2024/summary/Andreas-Linde-Match-Logs" TargetMode="External"/><Relationship Id="rId2014" Type="http://schemas.openxmlformats.org/officeDocument/2006/relationships/hyperlink" Target="https://fbref.com/en/players/0e41d307/Stanley-Wilson" TargetMode="External"/><Relationship Id="rId573" Type="http://schemas.openxmlformats.org/officeDocument/2006/relationships/hyperlink" Target="https://fbref.com/en/players/7004c558/matchlogs/2024/summary/Oskar-Fallenius-Match-Logs" TargetMode="External"/><Relationship Id="rId1168" Type="http://schemas.openxmlformats.org/officeDocument/2006/relationships/hyperlink" Target="https://fbref.com/en/players/e0103307/Alex-Lindelov" TargetMode="External"/><Relationship Id="rId2015" Type="http://schemas.openxmlformats.org/officeDocument/2006/relationships/hyperlink" Target="https://fbref.com/en/country/KEN/Kenya-Football" TargetMode="External"/><Relationship Id="rId2049" Type="http://schemas.openxmlformats.org/officeDocument/2006/relationships/hyperlink" Target="https://fbref.com/en/players/b0ee5895/matchlogs/2024/summary/Ali-Zaher-Match-Logs" TargetMode="External"/><Relationship Id="rId129" Type="http://schemas.openxmlformats.org/officeDocument/2006/relationships/hyperlink" Target="https://fbref.com/en/country/SWE/Sweden-Football" TargetMode="External"/><Relationship Id="rId128" Type="http://schemas.openxmlformats.org/officeDocument/2006/relationships/hyperlink" Target="https://fbref.com/en/players/ef516406/Frode-Aronsson" TargetMode="External"/><Relationship Id="rId127" Type="http://schemas.openxmlformats.org/officeDocument/2006/relationships/hyperlink" Target="https://fbref.com/en/players/b6f76b6b/matchlogs/2024/summary/Eggert-Aron-Gudmundsson-Match-Logs" TargetMode="External"/><Relationship Id="rId126" Type="http://schemas.openxmlformats.org/officeDocument/2006/relationships/hyperlink" Target="https://fbref.com/en/squads/50e85bfc/2024/Elfsborg-Stats" TargetMode="External"/><Relationship Id="rId1190" Type="http://schemas.openxmlformats.org/officeDocument/2006/relationships/hyperlink" Target="https://fbref.com/en/squads/bb9e11b2/2024/Brommapojkarna-Stats" TargetMode="External"/><Relationship Id="rId1191" Type="http://schemas.openxmlformats.org/officeDocument/2006/relationships/hyperlink" Target="https://fbref.com/en/players/d8715759/matchlogs/2024/summary/Alfons-Lohake-Match-Logs" TargetMode="External"/><Relationship Id="rId1192" Type="http://schemas.openxmlformats.org/officeDocument/2006/relationships/hyperlink" Target="https://fbref.com/en/players/cd0c4265/Albin-Lohikangas" TargetMode="External"/><Relationship Id="rId1193" Type="http://schemas.openxmlformats.org/officeDocument/2006/relationships/hyperlink" Target="https://fbref.com/en/country/SWE/Sweden-Football" TargetMode="External"/><Relationship Id="rId2040" Type="http://schemas.openxmlformats.org/officeDocument/2006/relationships/hyperlink" Target="https://fbref.com/en/squads/9f13771c/2024/Kalmar-Stats" TargetMode="External"/><Relationship Id="rId121" Type="http://schemas.openxmlformats.org/officeDocument/2006/relationships/hyperlink" Target="https://fbref.com/en/country/SWE/Sweden-Football" TargetMode="External"/><Relationship Id="rId1194" Type="http://schemas.openxmlformats.org/officeDocument/2006/relationships/hyperlink" Target="https://fbref.com/en/squads/d048ed60/2024/Varnamo-Stats" TargetMode="External"/><Relationship Id="rId2041" Type="http://schemas.openxmlformats.org/officeDocument/2006/relationships/hyperlink" Target="https://fbref.com/en/players/ed87c761/matchlogs/2024/summary/Saku-Ylatupa-Match-Logs" TargetMode="External"/><Relationship Id="rId120" Type="http://schemas.openxmlformats.org/officeDocument/2006/relationships/hyperlink" Target="https://fbref.com/en/players/3e55ba14/Umit-Aras" TargetMode="External"/><Relationship Id="rId1195" Type="http://schemas.openxmlformats.org/officeDocument/2006/relationships/hyperlink" Target="https://fbref.com/en/players/cd0c4265/matchlogs/2024/summary/Albin-Lohikangas-Match-Logs" TargetMode="External"/><Relationship Id="rId2042" Type="http://schemas.openxmlformats.org/officeDocument/2006/relationships/hyperlink" Target="https://fbref.com/en/players/2e820983/Ali-Youssef" TargetMode="External"/><Relationship Id="rId1196" Type="http://schemas.openxmlformats.org/officeDocument/2006/relationships/hyperlink" Target="https://fbref.com/en/players/d2889240/Zakaria-Loukili" TargetMode="External"/><Relationship Id="rId2043" Type="http://schemas.openxmlformats.org/officeDocument/2006/relationships/hyperlink" Target="https://fbref.com/en/country/TUN/Tunisia-Football" TargetMode="External"/><Relationship Id="rId1197" Type="http://schemas.openxmlformats.org/officeDocument/2006/relationships/hyperlink" Target="https://fbref.com/en/country/SWE/Sweden-Football" TargetMode="External"/><Relationship Id="rId2044" Type="http://schemas.openxmlformats.org/officeDocument/2006/relationships/hyperlink" Target="https://fbref.com/en/squads/8774e267/2024/BK-Hacken-Stats" TargetMode="External"/><Relationship Id="rId125" Type="http://schemas.openxmlformats.org/officeDocument/2006/relationships/hyperlink" Target="https://fbref.com/en/country/ISL/Iceland-Football" TargetMode="External"/><Relationship Id="rId1198" Type="http://schemas.openxmlformats.org/officeDocument/2006/relationships/hyperlink" Target="https://fbref.com/en/squads/f3d8c8b9/2024/Malmo-Stats" TargetMode="External"/><Relationship Id="rId2045" Type="http://schemas.openxmlformats.org/officeDocument/2006/relationships/hyperlink" Target="https://fbref.com/en/players/2e820983/matchlogs/2024/summary/Ali-Youssef-Match-Logs" TargetMode="External"/><Relationship Id="rId124" Type="http://schemas.openxmlformats.org/officeDocument/2006/relationships/hyperlink" Target="https://fbref.com/en/players/b6f76b6b/Eggert-Aron-Gudmundsson" TargetMode="External"/><Relationship Id="rId1199" Type="http://schemas.openxmlformats.org/officeDocument/2006/relationships/hyperlink" Target="https://fbref.com/en/players/d2889240/matchlogs/2024/summary/Zakaria-Loukili-Match-Logs" TargetMode="External"/><Relationship Id="rId2046" Type="http://schemas.openxmlformats.org/officeDocument/2006/relationships/hyperlink" Target="https://fbref.com/en/players/b0ee5895/Ali-Zaher" TargetMode="External"/><Relationship Id="rId123" Type="http://schemas.openxmlformats.org/officeDocument/2006/relationships/hyperlink" Target="https://fbref.com/en/players/3e55ba14/matchlogs/2024/summary/Umit-Aras-Match-Logs" TargetMode="External"/><Relationship Id="rId2047" Type="http://schemas.openxmlformats.org/officeDocument/2006/relationships/hyperlink" Target="https://fbref.com/en/country/SWE/Sweden-Football" TargetMode="External"/><Relationship Id="rId122" Type="http://schemas.openxmlformats.org/officeDocument/2006/relationships/hyperlink" Target="https://fbref.com/en/squads/a8481ab9/2024/Vasteras-Stats" TargetMode="External"/><Relationship Id="rId2048" Type="http://schemas.openxmlformats.org/officeDocument/2006/relationships/hyperlink" Target="https://fbref.com/en/squads/9f13771c/2024/Kalmar-Stats" TargetMode="External"/><Relationship Id="rId2038" Type="http://schemas.openxmlformats.org/officeDocument/2006/relationships/hyperlink" Target="https://fbref.com/en/players/ed87c761/Saku-Ylatupa" TargetMode="External"/><Relationship Id="rId2039" Type="http://schemas.openxmlformats.org/officeDocument/2006/relationships/hyperlink" Target="https://fbref.com/en/country/FIN/Finland-Football" TargetMode="External"/><Relationship Id="rId118" Type="http://schemas.openxmlformats.org/officeDocument/2006/relationships/hyperlink" Target="https://fbref.com/en/squads/bb9e11b2/2024/Brommapojkarna-Stats" TargetMode="External"/><Relationship Id="rId117" Type="http://schemas.openxmlformats.org/officeDocument/2006/relationships/hyperlink" Target="https://fbref.com/en/country/SWE/Sweden-Football" TargetMode="External"/><Relationship Id="rId116" Type="http://schemas.openxmlformats.org/officeDocument/2006/relationships/hyperlink" Target="https://fbref.com/en/players/f97d514e/Charlie-Antonelius" TargetMode="External"/><Relationship Id="rId115" Type="http://schemas.openxmlformats.org/officeDocument/2006/relationships/hyperlink" Target="https://fbref.com/en/players/66205d28/matchlogs/2024/summary/Isak-Andri-Sigurgeirsson-Match-Logs" TargetMode="External"/><Relationship Id="rId599" Type="http://schemas.openxmlformats.org/officeDocument/2006/relationships/hyperlink" Target="https://fbref.com/en/country/ISL/Iceland-Football" TargetMode="External"/><Relationship Id="rId1180" Type="http://schemas.openxmlformats.org/officeDocument/2006/relationships/hyperlink" Target="https://fbref.com/en/players/4ff1d88c/Marc-Llinares" TargetMode="External"/><Relationship Id="rId1181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f97d514e/matchlogs/2024/summary/Charlie-Antonelius-Match-Logs" TargetMode="External"/><Relationship Id="rId1182" Type="http://schemas.openxmlformats.org/officeDocument/2006/relationships/hyperlink" Target="https://fbref.com/en/squads/92bfd7f0/2024/Hammarby-Stats" TargetMode="External"/><Relationship Id="rId110" Type="http://schemas.openxmlformats.org/officeDocument/2006/relationships/hyperlink" Target="https://fbref.com/en/squads/9f13771c/2024/Kalmar-Stats" TargetMode="External"/><Relationship Id="rId594" Type="http://schemas.openxmlformats.org/officeDocument/2006/relationships/hyperlink" Target="https://fbref.com/en/players/204df3a8/Robin-Frej" TargetMode="External"/><Relationship Id="rId1183" Type="http://schemas.openxmlformats.org/officeDocument/2006/relationships/hyperlink" Target="https://fbref.com/en/players/4ff1d88c/matchlogs/2024/summary/Marc-Llinares-Match-Logs" TargetMode="External"/><Relationship Id="rId2030" Type="http://schemas.openxmlformats.org/officeDocument/2006/relationships/hyperlink" Target="https://fbref.com/en/players/ad9a7506/Rockson-Yeboah" TargetMode="External"/><Relationship Id="rId593" Type="http://schemas.openxmlformats.org/officeDocument/2006/relationships/hyperlink" Target="https://fbref.com/en/players/df894060/matchlogs/2024/summary/Mads-Fenger-Match-Logs" TargetMode="External"/><Relationship Id="rId1184" Type="http://schemas.openxmlformats.org/officeDocument/2006/relationships/hyperlink" Target="https://fbref.com/en/players/37f341f0/Marius-Lode" TargetMode="External"/><Relationship Id="rId2031" Type="http://schemas.openxmlformats.org/officeDocument/2006/relationships/hyperlink" Target="https://fbref.com/en/country/GHA/Ghana-Football" TargetMode="External"/><Relationship Id="rId592" Type="http://schemas.openxmlformats.org/officeDocument/2006/relationships/hyperlink" Target="https://fbref.com/en/squads/92bfd7f0/2024/Hammarby-Stats" TargetMode="External"/><Relationship Id="rId1185" Type="http://schemas.openxmlformats.org/officeDocument/2006/relationships/hyperlink" Target="https://fbref.com/en/country/NOR/Norway-Football" TargetMode="External"/><Relationship Id="rId2032" Type="http://schemas.openxmlformats.org/officeDocument/2006/relationships/hyperlink" Target="https://fbref.com/en/squads/ef1ab26a/2024/Goteborg-Stats" TargetMode="External"/><Relationship Id="rId591" Type="http://schemas.openxmlformats.org/officeDocument/2006/relationships/hyperlink" Target="https://fbref.com/en/country/DEN/Denmark-Football" TargetMode="External"/><Relationship Id="rId1186" Type="http://schemas.openxmlformats.org/officeDocument/2006/relationships/hyperlink" Target="https://fbref.com/en/squads/8774e267/2024/BK-Hacken-Stats" TargetMode="External"/><Relationship Id="rId2033" Type="http://schemas.openxmlformats.org/officeDocument/2006/relationships/hyperlink" Target="https://fbref.com/en/players/ad9a7506/matchlogs/2024/summary/Rockson-Yeboah-Match-Logs" TargetMode="External"/><Relationship Id="rId114" Type="http://schemas.openxmlformats.org/officeDocument/2006/relationships/hyperlink" Target="https://fbref.com/en/squads/1d0836d6/2024/Norrkoping-Stats" TargetMode="External"/><Relationship Id="rId598" Type="http://schemas.openxmlformats.org/officeDocument/2006/relationships/hyperlink" Target="https://fbref.com/en/players/789b7e89/Hlynur-Freyr-Karlsson" TargetMode="External"/><Relationship Id="rId1187" Type="http://schemas.openxmlformats.org/officeDocument/2006/relationships/hyperlink" Target="https://fbref.com/en/players/37f341f0/matchlogs/2024/summary/Marius-Lode-Match-Logs" TargetMode="External"/><Relationship Id="rId2034" Type="http://schemas.openxmlformats.org/officeDocument/2006/relationships/hyperlink" Target="https://fbref.com/en/players/c9829c9b/Terry-Yegbe" TargetMode="External"/><Relationship Id="rId113" Type="http://schemas.openxmlformats.org/officeDocument/2006/relationships/hyperlink" Target="https://fbref.com/en/country/ISL/Iceland-Football" TargetMode="External"/><Relationship Id="rId597" Type="http://schemas.openxmlformats.org/officeDocument/2006/relationships/hyperlink" Target="https://fbref.com/en/players/204df3a8/matchlogs/2024/summary/Robin-Frej-Match-Logs" TargetMode="External"/><Relationship Id="rId1188" Type="http://schemas.openxmlformats.org/officeDocument/2006/relationships/hyperlink" Target="https://fbref.com/en/players/d8715759/Alfons-Lohake" TargetMode="External"/><Relationship Id="rId2035" Type="http://schemas.openxmlformats.org/officeDocument/2006/relationships/hyperlink" Target="https://fbref.com/en/country/GHA/Ghana-Football" TargetMode="External"/><Relationship Id="rId112" Type="http://schemas.openxmlformats.org/officeDocument/2006/relationships/hyperlink" Target="https://fbref.com/en/players/66205d28/Isak-Andri-Sigurgeirsson" TargetMode="External"/><Relationship Id="rId596" Type="http://schemas.openxmlformats.org/officeDocument/2006/relationships/hyperlink" Target="https://fbref.com/en/squads/7c2d1adb/2024/GAIS-Stats" TargetMode="External"/><Relationship Id="rId1189" Type="http://schemas.openxmlformats.org/officeDocument/2006/relationships/hyperlink" Target="https://fbref.com/en/country/SWE/Sweden-Football" TargetMode="External"/><Relationship Id="rId2036" Type="http://schemas.openxmlformats.org/officeDocument/2006/relationships/hyperlink" Target="https://fbref.com/en/squads/50e85bfc/2024/Elfsborg-Stats" TargetMode="External"/><Relationship Id="rId111" Type="http://schemas.openxmlformats.org/officeDocument/2006/relationships/hyperlink" Target="https://fbref.com/en/players/67594583/matchlogs/2024/summary/Wilmer-Andersson-Match-Logs" TargetMode="External"/><Relationship Id="rId595" Type="http://schemas.openxmlformats.org/officeDocument/2006/relationships/hyperlink" Target="https://fbref.com/en/country/SWE/Sweden-Football" TargetMode="External"/><Relationship Id="rId2037" Type="http://schemas.openxmlformats.org/officeDocument/2006/relationships/hyperlink" Target="https://fbref.com/en/players/c9829c9b/matchlogs/2024/summary/Terry-Yegbe-Match-Logs" TargetMode="External"/><Relationship Id="rId1136" Type="http://schemas.openxmlformats.org/officeDocument/2006/relationships/hyperlink" Target="https://fbref.com/en/players/0c09c984/Oscar-Lewicki" TargetMode="External"/><Relationship Id="rId1137" Type="http://schemas.openxmlformats.org/officeDocument/2006/relationships/hyperlink" Target="https://fbref.com/en/country/SWE/Sweden-Football" TargetMode="External"/><Relationship Id="rId1138" Type="http://schemas.openxmlformats.org/officeDocument/2006/relationships/hyperlink" Target="https://fbref.com/en/squads/f3d8c8b9/2024/Malmo-Stats" TargetMode="External"/><Relationship Id="rId1139" Type="http://schemas.openxmlformats.org/officeDocument/2006/relationships/hyperlink" Target="https://fbref.com/en/players/0c09c984/matchlogs/2024/summary/Oscar-Lewicki-Match-Logs" TargetMode="External"/><Relationship Id="rId547" Type="http://schemas.openxmlformats.org/officeDocument/2006/relationships/hyperlink" Target="https://fbref.com/en/country/SWE/Sweden-Football" TargetMode="External"/><Relationship Id="rId546" Type="http://schemas.openxmlformats.org/officeDocument/2006/relationships/hyperlink" Target="https://fbref.com/en/players/5571f8b5/Magnus-Eriksson" TargetMode="External"/><Relationship Id="rId545" Type="http://schemas.openxmlformats.org/officeDocument/2006/relationships/hyperlink" Target="https://fbref.com/en/players/0c508057/matchlogs/2024/summary/Anton-Eriksson-Match-Logs" TargetMode="External"/><Relationship Id="rId544" Type="http://schemas.openxmlformats.org/officeDocument/2006/relationships/hyperlink" Target="https://fbref.com/en/squads/1d0836d6/2024/Norrkoping-Stats" TargetMode="External"/><Relationship Id="rId549" Type="http://schemas.openxmlformats.org/officeDocument/2006/relationships/hyperlink" Target="https://fbref.com/en/players/5571f8b5/matchlogs/2024/summary/Magnus-Eriksson-Match-Logs" TargetMode="External"/><Relationship Id="rId548" Type="http://schemas.openxmlformats.org/officeDocument/2006/relationships/hyperlink" Target="https://fbref.com/en/squads/9423c05a/2024/Djurgarden-Stats" TargetMode="External"/><Relationship Id="rId1130" Type="http://schemas.openxmlformats.org/officeDocument/2006/relationships/hyperlink" Target="https://fbref.com/en/squads/d048ed60/2024/Varnamo-Stats" TargetMode="External"/><Relationship Id="rId1131" Type="http://schemas.openxmlformats.org/officeDocument/2006/relationships/hyperlink" Target="https://fbref.com/en/players/e30117aa/matchlogs/2024/summary/Luke-Le-Roux-Match-Logs" TargetMode="External"/><Relationship Id="rId543" Type="http://schemas.openxmlformats.org/officeDocument/2006/relationships/hyperlink" Target="https://fbref.com/en/country/SWE/Sweden-Football" TargetMode="External"/><Relationship Id="rId1132" Type="http://schemas.openxmlformats.org/officeDocument/2006/relationships/hyperlink" Target="https://fbref.com/en/players/0b4ecf82/Romeo-Leandersson" TargetMode="External"/><Relationship Id="rId542" Type="http://schemas.openxmlformats.org/officeDocument/2006/relationships/hyperlink" Target="https://fbref.com/en/players/0c508057/Anton-Eriksson" TargetMode="External"/><Relationship Id="rId1133" Type="http://schemas.openxmlformats.org/officeDocument/2006/relationships/hyperlink" Target="https://fbref.com/en/country/SWE/Sweden-Football" TargetMode="External"/><Relationship Id="rId541" Type="http://schemas.openxmlformats.org/officeDocument/2006/relationships/hyperlink" Target="https://fbref.com/en/players/5106b69d/matchlogs/2024/summary/Jusef-Erabi-Match-Logs" TargetMode="External"/><Relationship Id="rId1134" Type="http://schemas.openxmlformats.org/officeDocument/2006/relationships/hyperlink" Target="https://fbref.com/en/squads/b1a7a7b9/2024/Mjallby-Stats" TargetMode="External"/><Relationship Id="rId540" Type="http://schemas.openxmlformats.org/officeDocument/2006/relationships/hyperlink" Target="https://fbref.com/en/squads/92bfd7f0/2024/Hammarby-Stats" TargetMode="External"/><Relationship Id="rId1135" Type="http://schemas.openxmlformats.org/officeDocument/2006/relationships/hyperlink" Target="https://fbref.com/en/players/0b4ecf82/matchlogs/2024/summary/Romeo-Leandersson-Match-Logs" TargetMode="External"/><Relationship Id="rId1125" Type="http://schemas.openxmlformats.org/officeDocument/2006/relationships/hyperlink" Target="https://fbref.com/en/country/TUN/Tunisia-Football" TargetMode="External"/><Relationship Id="rId1126" Type="http://schemas.openxmlformats.org/officeDocument/2006/relationships/hyperlink" Target="https://fbref.com/en/squads/8774e267/2024/BK-Hacken-Stats" TargetMode="External"/><Relationship Id="rId1127" Type="http://schemas.openxmlformats.org/officeDocument/2006/relationships/hyperlink" Target="https://fbref.com/en/players/e9e41fd0/matchlogs/2024/summary/Amor-Layouni-Match-Logs" TargetMode="External"/><Relationship Id="rId1128" Type="http://schemas.openxmlformats.org/officeDocument/2006/relationships/hyperlink" Target="https://fbref.com/en/players/e30117aa/Luke-Le-Roux" TargetMode="External"/><Relationship Id="rId1129" Type="http://schemas.openxmlformats.org/officeDocument/2006/relationships/hyperlink" Target="https://fbref.com/en/country/RSA/South-Africa-Football" TargetMode="External"/><Relationship Id="rId536" Type="http://schemas.openxmlformats.org/officeDocument/2006/relationships/hyperlink" Target="https://fbref.com/en/squads/8774e267/2024/BK-Hacken-Stats" TargetMode="External"/><Relationship Id="rId535" Type="http://schemas.openxmlformats.org/officeDocument/2006/relationships/hyperlink" Target="https://fbref.com/en/country/SWE/Sweden-Football" TargetMode="External"/><Relationship Id="rId534" Type="http://schemas.openxmlformats.org/officeDocument/2006/relationships/hyperlink" Target="https://fbref.com/en/players/59340e08/Johannes-Engvall" TargetMode="External"/><Relationship Id="rId533" Type="http://schemas.openxmlformats.org/officeDocument/2006/relationships/hyperlink" Target="https://fbref.com/en/players/680227aa/matchlogs/2024/summary/Gustav-Engvall-Match-Logs" TargetMode="External"/><Relationship Id="rId539" Type="http://schemas.openxmlformats.org/officeDocument/2006/relationships/hyperlink" Target="https://fbref.com/en/country/SWE/Sweden-Football" TargetMode="External"/><Relationship Id="rId538" Type="http://schemas.openxmlformats.org/officeDocument/2006/relationships/hyperlink" Target="https://fbref.com/en/players/5106b69d/Jusef-Erabi" TargetMode="External"/><Relationship Id="rId537" Type="http://schemas.openxmlformats.org/officeDocument/2006/relationships/hyperlink" Target="https://fbref.com/en/players/59340e08/matchlogs/2024/summary/Johannes-Engvall-Match-Logs" TargetMode="External"/><Relationship Id="rId1120" Type="http://schemas.openxmlformats.org/officeDocument/2006/relationships/hyperlink" Target="https://fbref.com/en/players/9771da8c/Victor-Larsson" TargetMode="External"/><Relationship Id="rId532" Type="http://schemas.openxmlformats.org/officeDocument/2006/relationships/hyperlink" Target="https://fbref.com/en/squads/d048ed60/2024/Varnamo-Stats" TargetMode="External"/><Relationship Id="rId1121" Type="http://schemas.openxmlformats.org/officeDocument/2006/relationships/hyperlink" Target="https://fbref.com/en/country/SWE/Sweden-Football" TargetMode="External"/><Relationship Id="rId531" Type="http://schemas.openxmlformats.org/officeDocument/2006/relationships/hyperlink" Target="https://fbref.com/en/country/SWE/Sweden-Football" TargetMode="External"/><Relationship Id="rId1122" Type="http://schemas.openxmlformats.org/officeDocument/2006/relationships/hyperlink" Target="https://fbref.com/en/squads/d048ed60/2024/Varnamo-Stats" TargetMode="External"/><Relationship Id="rId530" Type="http://schemas.openxmlformats.org/officeDocument/2006/relationships/hyperlink" Target="https://fbref.com/en/players/680227aa/Gustav-Engvall" TargetMode="External"/><Relationship Id="rId1123" Type="http://schemas.openxmlformats.org/officeDocument/2006/relationships/hyperlink" Target="https://fbref.com/en/players/9771da8c/matchlogs/2024/summary/Victor-Larsson-Match-Logs" TargetMode="External"/><Relationship Id="rId1124" Type="http://schemas.openxmlformats.org/officeDocument/2006/relationships/hyperlink" Target="https://fbref.com/en/players/e9e41fd0/Amor-Layouni" TargetMode="External"/><Relationship Id="rId1158" Type="http://schemas.openxmlformats.org/officeDocument/2006/relationships/hyperlink" Target="https://fbref.com/en/squads/e9d60d0c/2024/Sirius-Stats" TargetMode="External"/><Relationship Id="rId2005" Type="http://schemas.openxmlformats.org/officeDocument/2006/relationships/hyperlink" Target="https://fbref.com/en/players/063ae595/matchlogs/2024/summary/Gustav-Wikheim-Match-Logs" TargetMode="External"/><Relationship Id="rId1159" Type="http://schemas.openxmlformats.org/officeDocument/2006/relationships/hyperlink" Target="https://fbref.com/en/players/3173e53f/matchlogs/2024/summary/Marcus-Lindberg-Match-Logs" TargetMode="External"/><Relationship Id="rId2006" Type="http://schemas.openxmlformats.org/officeDocument/2006/relationships/hyperlink" Target="https://fbref.com/en/players/677889a9/Adam-Wikman" TargetMode="External"/><Relationship Id="rId2007" Type="http://schemas.openxmlformats.org/officeDocument/2006/relationships/hyperlink" Target="https://fbref.com/en/country/SWE/Sweden-Football" TargetMode="External"/><Relationship Id="rId2008" Type="http://schemas.openxmlformats.org/officeDocument/2006/relationships/hyperlink" Target="https://fbref.com/en/squads/e9d60d0c/2024/Sirius-Stats" TargetMode="External"/><Relationship Id="rId2009" Type="http://schemas.openxmlformats.org/officeDocument/2006/relationships/hyperlink" Target="https://fbref.com/en/players/677889a9/matchlogs/2024/summary/Adam-Wikman-Match-Logs" TargetMode="External"/><Relationship Id="rId569" Type="http://schemas.openxmlformats.org/officeDocument/2006/relationships/hyperlink" Target="https://fbref.com/en/players/f4fea5b4/matchlogs/2024/summary/Anton-Fagerstrom-Match-Logs" TargetMode="External"/><Relationship Id="rId568" Type="http://schemas.openxmlformats.org/officeDocument/2006/relationships/hyperlink" Target="https://fbref.com/en/squads/a8481ab9/2024/Vasteras-Stats" TargetMode="External"/><Relationship Id="rId567" Type="http://schemas.openxmlformats.org/officeDocument/2006/relationships/hyperlink" Target="https://fbref.com/en/country/SWE/Sweden-Football" TargetMode="External"/><Relationship Id="rId566" Type="http://schemas.openxmlformats.org/officeDocument/2006/relationships/hyperlink" Target="https://fbref.com/en/players/f4fea5b4/Anton-Fagerstrom" TargetMode="External"/><Relationship Id="rId561" Type="http://schemas.openxmlformats.org/officeDocument/2006/relationships/hyperlink" Target="https://fbref.com/en/players/ab54f943/matchlogs/2024/summary/August-Erlingmark-Match-Logs" TargetMode="External"/><Relationship Id="rId1150" Type="http://schemas.openxmlformats.org/officeDocument/2006/relationships/hyperlink" Target="https://fbref.com/en/squads/7c2d1adb/2024/GAIS-Stats" TargetMode="External"/><Relationship Id="rId560" Type="http://schemas.openxmlformats.org/officeDocument/2006/relationships/hyperlink" Target="https://fbref.com/en/squads/ef1ab26a/2024/Goteborg-Stats" TargetMode="External"/><Relationship Id="rId1151" Type="http://schemas.openxmlformats.org/officeDocument/2006/relationships/hyperlink" Target="https://fbref.com/en/players/89eb3e9c/matchlogs/2024/summary/Jonas-Lindberg-Match-Logs" TargetMode="External"/><Relationship Id="rId1152" Type="http://schemas.openxmlformats.org/officeDocument/2006/relationships/hyperlink" Target="https://fbref.com/en/players/12111bc7/Julius-Lindberg" TargetMode="External"/><Relationship Id="rId1153" Type="http://schemas.openxmlformats.org/officeDocument/2006/relationships/hyperlink" Target="https://fbref.com/en/country/SWE/Sweden-Football" TargetMode="External"/><Relationship Id="rId2000" Type="http://schemas.openxmlformats.org/officeDocument/2006/relationships/hyperlink" Target="https://fbref.com/en/squads/17366e53/2024/Halmstad-Stats" TargetMode="External"/><Relationship Id="rId565" Type="http://schemas.openxmlformats.org/officeDocument/2006/relationships/hyperlink" Target="https://fbref.com/en/players/e3a6f507/matchlogs/2024/summary/Gisli-Eyjolfsson-Match-Logs" TargetMode="External"/><Relationship Id="rId1154" Type="http://schemas.openxmlformats.org/officeDocument/2006/relationships/hyperlink" Target="https://fbref.com/en/squads/8774e267/2024/BK-Hacken-Stats" TargetMode="External"/><Relationship Id="rId2001" Type="http://schemas.openxmlformats.org/officeDocument/2006/relationships/hyperlink" Target="https://fbref.com/en/players/e23db68b/matchlogs/2024/summary/Rasmus-Wiedesheim-Match-Logs" TargetMode="External"/><Relationship Id="rId564" Type="http://schemas.openxmlformats.org/officeDocument/2006/relationships/hyperlink" Target="https://fbref.com/en/squads/17366e53/2024/Halmstad-Stats" TargetMode="External"/><Relationship Id="rId1155" Type="http://schemas.openxmlformats.org/officeDocument/2006/relationships/hyperlink" Target="https://fbref.com/en/players/12111bc7/matchlogs/2024/summary/Julius-Lindberg-Match-Logs" TargetMode="External"/><Relationship Id="rId2002" Type="http://schemas.openxmlformats.org/officeDocument/2006/relationships/hyperlink" Target="https://fbref.com/en/players/063ae595/Gustav-Wikheim" TargetMode="External"/><Relationship Id="rId563" Type="http://schemas.openxmlformats.org/officeDocument/2006/relationships/hyperlink" Target="https://fbref.com/en/country/ISL/Iceland-Football" TargetMode="External"/><Relationship Id="rId1156" Type="http://schemas.openxmlformats.org/officeDocument/2006/relationships/hyperlink" Target="https://fbref.com/en/players/3173e53f/Marcus-Lindberg" TargetMode="External"/><Relationship Id="rId2003" Type="http://schemas.openxmlformats.org/officeDocument/2006/relationships/hyperlink" Target="https://fbref.com/en/country/NOR/Norway-Football" TargetMode="External"/><Relationship Id="rId562" Type="http://schemas.openxmlformats.org/officeDocument/2006/relationships/hyperlink" Target="https://fbref.com/en/players/e3a6f507/Gisli-Eyjolfsson" TargetMode="External"/><Relationship Id="rId1157" Type="http://schemas.openxmlformats.org/officeDocument/2006/relationships/hyperlink" Target="https://fbref.com/en/country/DEN/Denmark-Football" TargetMode="External"/><Relationship Id="rId2004" Type="http://schemas.openxmlformats.org/officeDocument/2006/relationships/hyperlink" Target="https://fbref.com/en/squads/9423c05a/2024/Djurgarden-Stats" TargetMode="External"/><Relationship Id="rId1147" Type="http://schemas.openxmlformats.org/officeDocument/2006/relationships/hyperlink" Target="https://fbref.com/en/players/521c90b8/matchlogs/2024/summary/Marcus-Linday-Match-Logs" TargetMode="External"/><Relationship Id="rId1148" Type="http://schemas.openxmlformats.org/officeDocument/2006/relationships/hyperlink" Target="https://fbref.com/en/players/89eb3e9c/Jonas-Lindberg" TargetMode="External"/><Relationship Id="rId1149" Type="http://schemas.openxmlformats.org/officeDocument/2006/relationships/hyperlink" Target="https://fbref.com/en/country/SWE/Sweden-Football" TargetMode="External"/><Relationship Id="rId558" Type="http://schemas.openxmlformats.org/officeDocument/2006/relationships/hyperlink" Target="https://fbref.com/en/players/ab54f943/August-Erlingmark" TargetMode="External"/><Relationship Id="rId557" Type="http://schemas.openxmlformats.org/officeDocument/2006/relationships/hyperlink" Target="https://fbref.com/en/players/aa6f8baa/matchlogs/2024/summary/Tim-Erlandsson-Match-Logs" TargetMode="External"/><Relationship Id="rId556" Type="http://schemas.openxmlformats.org/officeDocument/2006/relationships/hyperlink" Target="https://fbref.com/en/squads/17366e53/2024/Halmstad-Stats" TargetMode="External"/><Relationship Id="rId555" Type="http://schemas.openxmlformats.org/officeDocument/2006/relationships/hyperlink" Target="https://fbref.com/en/country/SWE/Sweden-Football" TargetMode="External"/><Relationship Id="rId559" Type="http://schemas.openxmlformats.org/officeDocument/2006/relationships/hyperlink" Target="https://fbref.com/en/country/SWE/Sweden-Football" TargetMode="External"/><Relationship Id="rId550" Type="http://schemas.openxmlformats.org/officeDocument/2006/relationships/hyperlink" Target="https://fbref.com/en/players/b567c8ff/Victor-Eriksson" TargetMode="External"/><Relationship Id="rId1140" Type="http://schemas.openxmlformats.org/officeDocument/2006/relationships/hyperlink" Target="https://fbref.com/en/players/eee8bff2/Axel-Lindahl" TargetMode="External"/><Relationship Id="rId1141" Type="http://schemas.openxmlformats.org/officeDocument/2006/relationships/hyperlink" Target="https://fbref.com/en/country/SWE/Sweden-Football" TargetMode="External"/><Relationship Id="rId1142" Type="http://schemas.openxmlformats.org/officeDocument/2006/relationships/hyperlink" Target="https://fbref.com/en/squads/8774e267/2024/BK-Hacken-Stats" TargetMode="External"/><Relationship Id="rId554" Type="http://schemas.openxmlformats.org/officeDocument/2006/relationships/hyperlink" Target="https://fbref.com/en/players/aa6f8baa/Tim-Erlandsson" TargetMode="External"/><Relationship Id="rId1143" Type="http://schemas.openxmlformats.org/officeDocument/2006/relationships/hyperlink" Target="https://fbref.com/en/players/eee8bff2/matchlogs/2024/summary/Axel-Lindahl-Match-Logs" TargetMode="External"/><Relationship Id="rId553" Type="http://schemas.openxmlformats.org/officeDocument/2006/relationships/hyperlink" Target="https://fbref.com/en/players/b567c8ff/matchlogs/2024/summary/Victor-Eriksson-Match-Logs" TargetMode="External"/><Relationship Id="rId1144" Type="http://schemas.openxmlformats.org/officeDocument/2006/relationships/hyperlink" Target="https://fbref.com/en/players/521c90b8/Marcus-Linday" TargetMode="External"/><Relationship Id="rId552" Type="http://schemas.openxmlformats.org/officeDocument/2006/relationships/hyperlink" Target="https://fbref.com/en/squads/92bfd7f0/2024/Hammarby-Stats" TargetMode="External"/><Relationship Id="rId1145" Type="http://schemas.openxmlformats.org/officeDocument/2006/relationships/hyperlink" Target="https://fbref.com/en/country/SWE/Sweden-Football" TargetMode="External"/><Relationship Id="rId551" Type="http://schemas.openxmlformats.org/officeDocument/2006/relationships/hyperlink" Target="https://fbref.com/en/country/SWE/Sweden-Football" TargetMode="External"/><Relationship Id="rId1146" Type="http://schemas.openxmlformats.org/officeDocument/2006/relationships/hyperlink" Target="https://fbref.com/en/squads/a8481ab9/2024/Vasteras-Stats" TargetMode="External"/><Relationship Id="rId2060" Type="http://schemas.openxmlformats.org/officeDocument/2006/relationships/hyperlink" Target="https://fbref.com/en/squads/d048ed60/2024/Varnamo-Stats" TargetMode="External"/><Relationship Id="rId2061" Type="http://schemas.openxmlformats.org/officeDocument/2006/relationships/hyperlink" Target="https://fbref.com/en/players/bbbf30ad/matchlogs/2024/summary/Ajdin-Zeljkovic-Match-Logs" TargetMode="External"/><Relationship Id="rId2062" Type="http://schemas.openxmlformats.org/officeDocument/2006/relationships/hyperlink" Target="https://fbref.com/en/players/62dd4b30/Elias-Zemmale" TargetMode="External"/><Relationship Id="rId2063" Type="http://schemas.openxmlformats.org/officeDocument/2006/relationships/hyperlink" Target="https://fbref.com/en/country/SWE/Sweden-Football" TargetMode="External"/><Relationship Id="rId2064" Type="http://schemas.openxmlformats.org/officeDocument/2006/relationships/hyperlink" Target="https://fbref.com/en/squads/7c2d1adb/2024/GAIS-Stats" TargetMode="External"/><Relationship Id="rId2065" Type="http://schemas.openxmlformats.org/officeDocument/2006/relationships/hyperlink" Target="https://fbref.com/en/players/62dd4b30/matchlogs/2024/summary/Elias-Zemmale-Match-Logs" TargetMode="External"/><Relationship Id="rId2066" Type="http://schemas.openxmlformats.org/officeDocument/2006/relationships/hyperlink" Target="https://fbref.com/en/players/095e4199/Arber-Zeneli" TargetMode="External"/><Relationship Id="rId2067" Type="http://schemas.openxmlformats.org/officeDocument/2006/relationships/hyperlink" Target="https://fbref.com/en/country/KVX/Kosovo-Football" TargetMode="External"/><Relationship Id="rId2068" Type="http://schemas.openxmlformats.org/officeDocument/2006/relationships/hyperlink" Target="https://fbref.com/en/squads/50e85bfc/2024/Elfsborg-Stats" TargetMode="External"/><Relationship Id="rId2069" Type="http://schemas.openxmlformats.org/officeDocument/2006/relationships/hyperlink" Target="https://fbref.com/en/players/095e4199/matchlogs/2024/summary/Arber-Zeneli-Match-Logs" TargetMode="External"/><Relationship Id="rId2050" Type="http://schemas.openxmlformats.org/officeDocument/2006/relationships/hyperlink" Target="https://fbref.com/en/players/10a69a43/Nils-Zatterstrom" TargetMode="External"/><Relationship Id="rId2051" Type="http://schemas.openxmlformats.org/officeDocument/2006/relationships/hyperlink" Target="https://fbref.com/en/country/SWE/Sweden-Football" TargetMode="External"/><Relationship Id="rId495" Type="http://schemas.openxmlformats.org/officeDocument/2006/relationships/hyperlink" Target="https://fbref.com/en/players/9f12e0f8/Oliver-Dovin" TargetMode="External"/><Relationship Id="rId2052" Type="http://schemas.openxmlformats.org/officeDocument/2006/relationships/hyperlink" Target="https://fbref.com/en/squads/f3d8c8b9/2024/Malmo-Stats" TargetMode="External"/><Relationship Id="rId494" Type="http://schemas.openxmlformats.org/officeDocument/2006/relationships/hyperlink" Target="https://fbref.com/en/players/20910907/matchlogs/2024/summary/Alex-Douglas-Match-Logs" TargetMode="External"/><Relationship Id="rId2053" Type="http://schemas.openxmlformats.org/officeDocument/2006/relationships/hyperlink" Target="https://fbref.com/en/players/10a69a43/matchlogs/2024/summary/Nils-Zatterstrom-Match-Logs" TargetMode="External"/><Relationship Id="rId493" Type="http://schemas.openxmlformats.org/officeDocument/2006/relationships/hyperlink" Target="https://fbref.com/en/squads/a8481ab9/2024/Vasteras-Stats" TargetMode="External"/><Relationship Id="rId2054" Type="http://schemas.openxmlformats.org/officeDocument/2006/relationships/hyperlink" Target="https://fbref.com/en/players/69bbb06a/Nikola-Zecevic" TargetMode="External"/><Relationship Id="rId492" Type="http://schemas.openxmlformats.org/officeDocument/2006/relationships/hyperlink" Target="https://fbref.com/en/country/SWE/Sweden-Football" TargetMode="External"/><Relationship Id="rId2055" Type="http://schemas.openxmlformats.org/officeDocument/2006/relationships/hyperlink" Target="https://fbref.com/en/country/SRB/Serbia-Football" TargetMode="External"/><Relationship Id="rId499" Type="http://schemas.openxmlformats.org/officeDocument/2006/relationships/hyperlink" Target="https://fbref.com/en/players/91bee6ac/Leon-Dusi" TargetMode="External"/><Relationship Id="rId2056" Type="http://schemas.openxmlformats.org/officeDocument/2006/relationships/hyperlink" Target="https://fbref.com/en/squads/8774e267/2024/BK-Hacken-Stats" TargetMode="External"/><Relationship Id="rId498" Type="http://schemas.openxmlformats.org/officeDocument/2006/relationships/hyperlink" Target="https://fbref.com/en/players/9f12e0f8/matchlogs/2024/summary/Oliver-Dovin-Match-Logs" TargetMode="External"/><Relationship Id="rId2057" Type="http://schemas.openxmlformats.org/officeDocument/2006/relationships/hyperlink" Target="https://fbref.com/en/players/69bbb06a/matchlogs/2024/summary/Nikola-Zecevic-Match-Logs" TargetMode="External"/><Relationship Id="rId497" Type="http://schemas.openxmlformats.org/officeDocument/2006/relationships/hyperlink" Target="https://fbref.com/en/squads/92bfd7f0/2024/Hammarby-Stats" TargetMode="External"/><Relationship Id="rId2058" Type="http://schemas.openxmlformats.org/officeDocument/2006/relationships/hyperlink" Target="https://fbref.com/en/players/bbbf30ad/Ajdin-Zeljkovic" TargetMode="External"/><Relationship Id="rId496" Type="http://schemas.openxmlformats.org/officeDocument/2006/relationships/hyperlink" Target="https://fbref.com/en/country/SWE/Sweden-Football" TargetMode="External"/><Relationship Id="rId2059" Type="http://schemas.openxmlformats.org/officeDocument/2006/relationships/hyperlink" Target="https://fbref.com/en/country/SWE/Sweden-Football" TargetMode="External"/><Relationship Id="rId2080" Type="http://schemas.openxmlformats.org/officeDocument/2006/relationships/hyperlink" Target="https://fbref.com/en/squads/ef1ab26a/2024/Goteborg-Stats" TargetMode="External"/><Relationship Id="rId2081" Type="http://schemas.openxmlformats.org/officeDocument/2006/relationships/hyperlink" Target="https://fbref.com/en/players/fcd3f666/matchlogs/2024/summary/Kolbeinn-Thordarson-Match-Logs" TargetMode="External"/><Relationship Id="rId2082" Type="http://schemas.openxmlformats.org/officeDocument/2006/relationships/hyperlink" Target="https://fbref.com/en/players/1f749053/Viktor-Djukanovic" TargetMode="External"/><Relationship Id="rId2083" Type="http://schemas.openxmlformats.org/officeDocument/2006/relationships/hyperlink" Target="https://fbref.com/en/country/MNE/Montenegro-Football" TargetMode="External"/><Relationship Id="rId2084" Type="http://schemas.openxmlformats.org/officeDocument/2006/relationships/hyperlink" Target="https://fbref.com/en/squads/92bfd7f0/2024/Hammarby-Stats" TargetMode="External"/><Relationship Id="rId2085" Type="http://schemas.openxmlformats.org/officeDocument/2006/relationships/hyperlink" Target="https://fbref.com/en/players/1f749053/matchlogs/2024/summary/Viktor-Djukanovic-Match-Logs" TargetMode="External"/><Relationship Id="rId2086" Type="http://schemas.openxmlformats.org/officeDocument/2006/relationships/drawing" Target="../drawings/drawing2.xml"/><Relationship Id="rId2070" Type="http://schemas.openxmlformats.org/officeDocument/2006/relationships/hyperlink" Target="https://fbref.com/en/players/6be253bf/Besfort-Zeneli" TargetMode="External"/><Relationship Id="rId2071" Type="http://schemas.openxmlformats.org/officeDocument/2006/relationships/hyperlink" Target="https://fbref.com/en/country/SWE/Sweden-Football" TargetMode="External"/><Relationship Id="rId2072" Type="http://schemas.openxmlformats.org/officeDocument/2006/relationships/hyperlink" Target="https://fbref.com/en/squads/50e85bfc/2024/Elfsborg-Stats" TargetMode="External"/><Relationship Id="rId2073" Type="http://schemas.openxmlformats.org/officeDocument/2006/relationships/hyperlink" Target="https://fbref.com/en/players/6be253bf/matchlogs/2024/summary/Besfort-Zeneli-Match-Logs" TargetMode="External"/><Relationship Id="rId2074" Type="http://schemas.openxmlformats.org/officeDocument/2006/relationships/hyperlink" Target="https://fbref.com/en/players/248be14f/Leonard-Zuta" TargetMode="External"/><Relationship Id="rId2075" Type="http://schemas.openxmlformats.org/officeDocument/2006/relationships/hyperlink" Target="https://fbref.com/en/country/MKD/North-Macedonia-Football" TargetMode="External"/><Relationship Id="rId2076" Type="http://schemas.openxmlformats.org/officeDocument/2006/relationships/hyperlink" Target="https://fbref.com/en/squads/bb9e11b2/2024/Brommapojkarna-Stats" TargetMode="External"/><Relationship Id="rId2077" Type="http://schemas.openxmlformats.org/officeDocument/2006/relationships/hyperlink" Target="https://fbref.com/en/players/248be14f/matchlogs/2024/summary/Leonard-Zuta-Match-Logs" TargetMode="External"/><Relationship Id="rId2078" Type="http://schemas.openxmlformats.org/officeDocument/2006/relationships/hyperlink" Target="https://fbref.com/en/players/fcd3f666/Kolbeinn-Thordarson" TargetMode="External"/><Relationship Id="rId2079" Type="http://schemas.openxmlformats.org/officeDocument/2006/relationships/hyperlink" Target="https://fbref.com/en/country/ISL/Iceland-Football" TargetMode="External"/><Relationship Id="rId1610" Type="http://schemas.openxmlformats.org/officeDocument/2006/relationships/hyperlink" Target="https://fbref.com/en/players/a6d339fa/matchlogs/2024/summary/Colin-Rosler-Match-Logs" TargetMode="External"/><Relationship Id="rId1611" Type="http://schemas.openxmlformats.org/officeDocument/2006/relationships/hyperlink" Target="https://fbref.com/en/players/a6d339fa/Colin-Rosler" TargetMode="External"/><Relationship Id="rId1612" Type="http://schemas.openxmlformats.org/officeDocument/2006/relationships/hyperlink" Target="https://fbref.com/en/country/NOR/Norway-Football" TargetMode="External"/><Relationship Id="rId1613" Type="http://schemas.openxmlformats.org/officeDocument/2006/relationships/hyperlink" Target="https://fbref.com/en/squads/f3d8c8b9/2024/Malmo-Stats" TargetMode="External"/><Relationship Id="rId1614" Type="http://schemas.openxmlformats.org/officeDocument/2006/relationships/hyperlink" Target="https://fbref.com/en/players/a6d339fa/matchlogs/2024/summary/Colin-Rosler-Match-Logs" TargetMode="External"/><Relationship Id="rId1615" Type="http://schemas.openxmlformats.org/officeDocument/2006/relationships/hyperlink" Target="https://fbref.com/en/players/4307bdfc/Mohammed-Rufaai" TargetMode="External"/><Relationship Id="rId1616" Type="http://schemas.openxmlformats.org/officeDocument/2006/relationships/hyperlink" Target="https://fbref.com/en/country/GHA/Ghana-Football" TargetMode="External"/><Relationship Id="rId907" Type="http://schemas.openxmlformats.org/officeDocument/2006/relationships/hyperlink" Target="https://fbref.com/en/country/SWE/Sweden-Football" TargetMode="External"/><Relationship Id="rId1617" Type="http://schemas.openxmlformats.org/officeDocument/2006/relationships/hyperlink" Target="https://fbref.com/en/squads/50e85bfc/2024/Elfsborg-Stats" TargetMode="External"/><Relationship Id="rId906" Type="http://schemas.openxmlformats.org/officeDocument/2006/relationships/hyperlink" Target="https://fbref.com/en/players/8dbf56c8/Malcolm-Jeng" TargetMode="External"/><Relationship Id="rId1618" Type="http://schemas.openxmlformats.org/officeDocument/2006/relationships/hyperlink" Target="https://fbref.com/en/players/4307bdfc/matchlogs/2024/summary/Mohammed-Rufaai-Match-Logs" TargetMode="External"/><Relationship Id="rId905" Type="http://schemas.openxmlformats.org/officeDocument/2006/relationships/hyperlink" Target="https://fbref.com/en/players/af72b819/matchlogs/2024/summary/Camil-Jebara-Match-Logs" TargetMode="External"/><Relationship Id="rId1619" Type="http://schemas.openxmlformats.org/officeDocument/2006/relationships/hyperlink" Target="https://fbref.com/en/players/5f3a46fb/Mikkel-Rygaard-Jensen" TargetMode="External"/><Relationship Id="rId904" Type="http://schemas.openxmlformats.org/officeDocument/2006/relationships/hyperlink" Target="https://fbref.com/en/squads/50e85bfc/2024/Elfsborg-Stats" TargetMode="External"/><Relationship Id="rId909" Type="http://schemas.openxmlformats.org/officeDocument/2006/relationships/hyperlink" Target="https://fbref.com/en/players/8dbf56c8/matchlogs/2024/summary/Malcolm-Jeng-Match-Logs" TargetMode="External"/><Relationship Id="rId908" Type="http://schemas.openxmlformats.org/officeDocument/2006/relationships/hyperlink" Target="https://fbref.com/en/squads/e9d60d0c/2024/Sirius-Stats" TargetMode="External"/><Relationship Id="rId903" Type="http://schemas.openxmlformats.org/officeDocument/2006/relationships/hyperlink" Target="https://fbref.com/en/country/SWE/Sweden-Football" TargetMode="External"/><Relationship Id="rId902" Type="http://schemas.openxmlformats.org/officeDocument/2006/relationships/hyperlink" Target="https://fbref.com/en/players/af72b819/Camil-Jebara" TargetMode="External"/><Relationship Id="rId901" Type="http://schemas.openxmlformats.org/officeDocument/2006/relationships/hyperlink" Target="https://fbref.com/en/players/af72b819/matchlogs/2024/summary/Camil-Jebara-Match-Logs" TargetMode="External"/><Relationship Id="rId900" Type="http://schemas.openxmlformats.org/officeDocument/2006/relationships/hyperlink" Target="https://fbref.com/en/squads/a8481ab9/2024/Vasteras-Stats" TargetMode="External"/><Relationship Id="rId1600" Type="http://schemas.openxmlformats.org/officeDocument/2006/relationships/hyperlink" Target="https://fbref.com/en/country/SWE/Sweden-Football" TargetMode="External"/><Relationship Id="rId1601" Type="http://schemas.openxmlformats.org/officeDocument/2006/relationships/hyperlink" Target="https://fbref.com/en/squads/d048ed60/2024/Varnamo-Stats" TargetMode="External"/><Relationship Id="rId1602" Type="http://schemas.openxmlformats.org/officeDocument/2006/relationships/hyperlink" Target="https://fbref.com/en/players/1871b45b/matchlogs/2024/summary/Alvar-Rosander-Match-Logs" TargetMode="External"/><Relationship Id="rId1603" Type="http://schemas.openxmlformats.org/officeDocument/2006/relationships/hyperlink" Target="https://fbref.com/en/players/1c6f0559/Otto-Rosengren" TargetMode="External"/><Relationship Id="rId1604" Type="http://schemas.openxmlformats.org/officeDocument/2006/relationships/hyperlink" Target="https://fbref.com/en/country/SWE/Sweden-Football" TargetMode="External"/><Relationship Id="rId1605" Type="http://schemas.openxmlformats.org/officeDocument/2006/relationships/hyperlink" Target="https://fbref.com/en/squads/f3d8c8b9/2024/Malmo-Stats" TargetMode="External"/><Relationship Id="rId1606" Type="http://schemas.openxmlformats.org/officeDocument/2006/relationships/hyperlink" Target="https://fbref.com/en/players/1c6f0559/matchlogs/2024/summary/Otto-Rosengren-Match-Logs" TargetMode="External"/><Relationship Id="rId1607" Type="http://schemas.openxmlformats.org/officeDocument/2006/relationships/hyperlink" Target="https://fbref.com/en/players/a6d339fa/Colin-Rosler" TargetMode="External"/><Relationship Id="rId1608" Type="http://schemas.openxmlformats.org/officeDocument/2006/relationships/hyperlink" Target="https://fbref.com/en/country/NOR/Norway-Football" TargetMode="External"/><Relationship Id="rId1609" Type="http://schemas.openxmlformats.org/officeDocument/2006/relationships/hyperlink" Target="https://fbref.com/en/squads/b1a7a7b9/2024/Mjallby-Stats" TargetMode="External"/><Relationship Id="rId1631" Type="http://schemas.openxmlformats.org/officeDocument/2006/relationships/hyperlink" Target="https://fbref.com/en/players/c456358e/Abdelrahman-Saidi" TargetMode="External"/><Relationship Id="rId1632" Type="http://schemas.openxmlformats.org/officeDocument/2006/relationships/hyperlink" Target="https://fbref.com/en/country/SWE/Sweden-Football" TargetMode="External"/><Relationship Id="rId1633" Type="http://schemas.openxmlformats.org/officeDocument/2006/relationships/hyperlink" Target="https://fbref.com/en/squads/92bfd7f0/2024/Hammarby-Stats" TargetMode="External"/><Relationship Id="rId1634" Type="http://schemas.openxmlformats.org/officeDocument/2006/relationships/hyperlink" Target="https://fbref.com/en/players/c456358e/matchlogs/2024/summary/Abdelrahman-Saidi-Match-Logs" TargetMode="External"/><Relationship Id="rId1635" Type="http://schemas.openxmlformats.org/officeDocument/2006/relationships/hyperlink" Target="https://fbref.com/en/players/c456358e/Abdelrahman-Saidi" TargetMode="External"/><Relationship Id="rId1636" Type="http://schemas.openxmlformats.org/officeDocument/2006/relationships/hyperlink" Target="https://fbref.com/en/country/SWE/Sweden-Football" TargetMode="External"/><Relationship Id="rId1637" Type="http://schemas.openxmlformats.org/officeDocument/2006/relationships/hyperlink" Target="https://fbref.com/en/squads/a8481ab9/2024/Vasteras-Stats" TargetMode="External"/><Relationship Id="rId1638" Type="http://schemas.openxmlformats.org/officeDocument/2006/relationships/hyperlink" Target="https://fbref.com/en/players/c456358e/matchlogs/2024/summary/Abdelrahman-Saidi-Match-Logs" TargetMode="External"/><Relationship Id="rId929" Type="http://schemas.openxmlformats.org/officeDocument/2006/relationships/hyperlink" Target="https://fbref.com/en/players/49a0c4f9/matchlogs/2024/summary/Andreas-Johansson-Match-Logs" TargetMode="External"/><Relationship Id="rId1639" Type="http://schemas.openxmlformats.org/officeDocument/2006/relationships/hyperlink" Target="https://fbref.com/en/players/cfc794fb/Abundance-Salaou" TargetMode="External"/><Relationship Id="rId928" Type="http://schemas.openxmlformats.org/officeDocument/2006/relationships/hyperlink" Target="https://fbref.com/en/squads/17366e53/2024/Halmstad-Stats" TargetMode="External"/><Relationship Id="rId927" Type="http://schemas.openxmlformats.org/officeDocument/2006/relationships/hyperlink" Target="https://fbref.com/en/country/SWE/Sweden-Football" TargetMode="External"/><Relationship Id="rId926" Type="http://schemas.openxmlformats.org/officeDocument/2006/relationships/hyperlink" Target="https://fbref.com/en/players/49a0c4f9/Andreas-Johansson" TargetMode="External"/><Relationship Id="rId921" Type="http://schemas.openxmlformats.org/officeDocument/2006/relationships/hyperlink" Target="https://fbref.com/en/players/94180993/matchlogs/2024/summary/Alexander-Johansson-Match-Logs" TargetMode="External"/><Relationship Id="rId920" Type="http://schemas.openxmlformats.org/officeDocument/2006/relationships/hyperlink" Target="https://fbref.com/en/squads/b1a7a7b9/2024/Mjallby-Stats" TargetMode="External"/><Relationship Id="rId925" Type="http://schemas.openxmlformats.org/officeDocument/2006/relationships/hyperlink" Target="https://fbref.com/en/players/835023a5/matchlogs/2024/summary/Alexander-Johansson-Match-Logs" TargetMode="External"/><Relationship Id="rId924" Type="http://schemas.openxmlformats.org/officeDocument/2006/relationships/hyperlink" Target="https://fbref.com/en/squads/bb9e11b2/2024/Brommapojkarna-Stats" TargetMode="External"/><Relationship Id="rId923" Type="http://schemas.openxmlformats.org/officeDocument/2006/relationships/hyperlink" Target="https://fbref.com/en/country/SWE/Sweden-Football" TargetMode="External"/><Relationship Id="rId922" Type="http://schemas.openxmlformats.org/officeDocument/2006/relationships/hyperlink" Target="https://fbref.com/en/players/835023a5/Alexander-Johansson" TargetMode="External"/><Relationship Id="rId1630" Type="http://schemas.openxmlformats.org/officeDocument/2006/relationships/hyperlink" Target="https://fbref.com/en/players/6fde84aa/matchlogs/2024/summary/Besard-Sabovic-Match-Logs" TargetMode="External"/><Relationship Id="rId1620" Type="http://schemas.openxmlformats.org/officeDocument/2006/relationships/hyperlink" Target="https://fbref.com/en/country/DEN/Denmark-Football" TargetMode="External"/><Relationship Id="rId1621" Type="http://schemas.openxmlformats.org/officeDocument/2006/relationships/hyperlink" Target="https://fbref.com/en/squads/8774e267/2024/BK-Hacken-Stats" TargetMode="External"/><Relationship Id="rId1622" Type="http://schemas.openxmlformats.org/officeDocument/2006/relationships/hyperlink" Target="https://fbref.com/en/players/5f3a46fb/matchlogs/2024/summary/Mikkel-Rygaard-Jensen-Match-Logs" TargetMode="External"/><Relationship Id="rId1623" Type="http://schemas.openxmlformats.org/officeDocument/2006/relationships/hyperlink" Target="https://fbref.com/en/players/0d938ef6/Nicklas-Rojkjaer" TargetMode="External"/><Relationship Id="rId1624" Type="http://schemas.openxmlformats.org/officeDocument/2006/relationships/hyperlink" Target="https://fbref.com/en/country/DEN/Denmark-Football" TargetMode="External"/><Relationship Id="rId1625" Type="http://schemas.openxmlformats.org/officeDocument/2006/relationships/hyperlink" Target="https://fbref.com/en/squads/b1a7a7b9/2024/Mjallby-Stats" TargetMode="External"/><Relationship Id="rId1626" Type="http://schemas.openxmlformats.org/officeDocument/2006/relationships/hyperlink" Target="https://fbref.com/en/players/0d938ef6/matchlogs/2024/summary/Nicklas-Rojkjaer-Match-Logs" TargetMode="External"/><Relationship Id="rId1627" Type="http://schemas.openxmlformats.org/officeDocument/2006/relationships/hyperlink" Target="https://fbref.com/en/players/6fde84aa/Besard-Sabovic" TargetMode="External"/><Relationship Id="rId918" Type="http://schemas.openxmlformats.org/officeDocument/2006/relationships/hyperlink" Target="https://fbref.com/en/players/94180993/Alexander-Johansson" TargetMode="External"/><Relationship Id="rId1628" Type="http://schemas.openxmlformats.org/officeDocument/2006/relationships/hyperlink" Target="https://fbref.com/en/country/SWE/Sweden-Football" TargetMode="External"/><Relationship Id="rId917" Type="http://schemas.openxmlformats.org/officeDocument/2006/relationships/hyperlink" Target="https://fbref.com/en/players/40140ea3/matchlogs/2024/summary/Kevin-Jensen-Match-Logs" TargetMode="External"/><Relationship Id="rId1629" Type="http://schemas.openxmlformats.org/officeDocument/2006/relationships/hyperlink" Target="https://fbref.com/en/squads/9423c05a/2024/Djurgarden-Stats" TargetMode="External"/><Relationship Id="rId916" Type="http://schemas.openxmlformats.org/officeDocument/2006/relationships/hyperlink" Target="https://fbref.com/en/squads/9f13771c/2024/Kalmar-Stats" TargetMode="External"/><Relationship Id="rId915" Type="http://schemas.openxmlformats.org/officeDocument/2006/relationships/hyperlink" Target="https://fbref.com/en/country/SWE/Sweden-Football" TargetMode="External"/><Relationship Id="rId919" Type="http://schemas.openxmlformats.org/officeDocument/2006/relationships/hyperlink" Target="https://fbref.com/en/country/SWE/Sweden-Football" TargetMode="External"/><Relationship Id="rId910" Type="http://schemas.openxmlformats.org/officeDocument/2006/relationships/hyperlink" Target="https://fbref.com/en/players/a1947492/Alexander-Jensen" TargetMode="External"/><Relationship Id="rId914" Type="http://schemas.openxmlformats.org/officeDocument/2006/relationships/hyperlink" Target="https://fbref.com/en/players/40140ea3/Kevin-Jensen" TargetMode="External"/><Relationship Id="rId913" Type="http://schemas.openxmlformats.org/officeDocument/2006/relationships/hyperlink" Target="https://fbref.com/en/players/a1947492/matchlogs/2024/summary/Alexander-Jensen-Match-Logs" TargetMode="External"/><Relationship Id="rId912" Type="http://schemas.openxmlformats.org/officeDocument/2006/relationships/hyperlink" Target="https://fbref.com/en/squads/bb9e11b2/2024/Brommapojkarna-Stats" TargetMode="External"/><Relationship Id="rId911" Type="http://schemas.openxmlformats.org/officeDocument/2006/relationships/hyperlink" Target="https://fbref.com/en/country/DEN/Denmark-Football" TargetMode="External"/><Relationship Id="rId1213" Type="http://schemas.openxmlformats.org/officeDocument/2006/relationships/hyperlink" Target="https://fbref.com/en/country/SWE/Sweden-Football" TargetMode="External"/><Relationship Id="rId1697" Type="http://schemas.openxmlformats.org/officeDocument/2006/relationships/hyperlink" Target="https://fbref.com/en/players/4c8ad16c/matchlogs/2024/summary/Laorent-Shabani-Match-Logs" TargetMode="External"/><Relationship Id="rId1214" Type="http://schemas.openxmlformats.org/officeDocument/2006/relationships/hyperlink" Target="https://fbref.com/en/squads/8774e267/2024/BK-Hacken-Stats" TargetMode="External"/><Relationship Id="rId1698" Type="http://schemas.openxmlformats.org/officeDocument/2006/relationships/hyperlink" Target="https://fbref.com/en/players/2934dd4e/Collins-Sichenje" TargetMode="External"/><Relationship Id="rId1215" Type="http://schemas.openxmlformats.org/officeDocument/2006/relationships/hyperlink" Target="https://fbref.com/en/players/91769a24/matchlogs/2024/summary/Adam-Lundqvist-Match-Logs" TargetMode="External"/><Relationship Id="rId1699" Type="http://schemas.openxmlformats.org/officeDocument/2006/relationships/hyperlink" Target="https://fbref.com/en/country/KEN/Kenya-Football" TargetMode="External"/><Relationship Id="rId1216" Type="http://schemas.openxmlformats.org/officeDocument/2006/relationships/hyperlink" Target="https://fbref.com/en/players/094e6df2/Ramon-Lundqvist" TargetMode="External"/><Relationship Id="rId1217" Type="http://schemas.openxmlformats.org/officeDocument/2006/relationships/hyperlink" Target="https://fbref.com/en/country/SWE/Sweden-Football" TargetMode="External"/><Relationship Id="rId1218" Type="http://schemas.openxmlformats.org/officeDocument/2006/relationships/hyperlink" Target="https://fbref.com/en/squads/ef1ab26a/2024/Goteborg-Stats" TargetMode="External"/><Relationship Id="rId1219" Type="http://schemas.openxmlformats.org/officeDocument/2006/relationships/hyperlink" Target="https://fbref.com/en/players/094e6df2/matchlogs/2024/summary/Ramon-Lundqvist-Match-Logs" TargetMode="External"/><Relationship Id="rId866" Type="http://schemas.openxmlformats.org/officeDocument/2006/relationships/hyperlink" Target="https://fbref.com/en/players/152bb410/Adam-Jakobsen" TargetMode="External"/><Relationship Id="rId865" Type="http://schemas.openxmlformats.org/officeDocument/2006/relationships/hyperlink" Target="https://fbref.com/en/players/0746dbd1/matchlogs/2024/summary/Jens-Jakob-Thomasen-Match-Logs" TargetMode="External"/><Relationship Id="rId864" Type="http://schemas.openxmlformats.org/officeDocument/2006/relationships/hyperlink" Target="https://fbref.com/en/squads/50e85bfc/2024/Elfsborg-Stats" TargetMode="External"/><Relationship Id="rId863" Type="http://schemas.openxmlformats.org/officeDocument/2006/relationships/hyperlink" Target="https://fbref.com/en/country/DEN/Denmark-Football" TargetMode="External"/><Relationship Id="rId869" Type="http://schemas.openxmlformats.org/officeDocument/2006/relationships/hyperlink" Target="https://fbref.com/en/players/152bb410/matchlogs/2024/summary/Adam-Jakobsen-Match-Logs" TargetMode="External"/><Relationship Id="rId868" Type="http://schemas.openxmlformats.org/officeDocument/2006/relationships/hyperlink" Target="https://fbref.com/en/squads/bb9e11b2/2024/Brommapojkarna-Stats" TargetMode="External"/><Relationship Id="rId867" Type="http://schemas.openxmlformats.org/officeDocument/2006/relationships/hyperlink" Target="https://fbref.com/en/country/DEN/Denmark-Football" TargetMode="External"/><Relationship Id="rId1690" Type="http://schemas.openxmlformats.org/officeDocument/2006/relationships/hyperlink" Target="https://fbref.com/en/players/257b6d31/matchlogs/2024/summary/Noel-Sernelius-Match-Logs" TargetMode="External"/><Relationship Id="rId1691" Type="http://schemas.openxmlformats.org/officeDocument/2006/relationships/hyperlink" Target="https://fbref.com/en/players/467c0a0d/Kamilcan-Sever" TargetMode="External"/><Relationship Id="rId1692" Type="http://schemas.openxmlformats.org/officeDocument/2006/relationships/hyperlink" Target="https://fbref.com/en/squads/bb9e11b2/2024/Brommapojkarna-Stats" TargetMode="External"/><Relationship Id="rId862" Type="http://schemas.openxmlformats.org/officeDocument/2006/relationships/hyperlink" Target="https://fbref.com/en/players/0746dbd1/Jens-Jakob-Thomasen" TargetMode="External"/><Relationship Id="rId1693" Type="http://schemas.openxmlformats.org/officeDocument/2006/relationships/hyperlink" Target="https://fbref.com/en/players/467c0a0d/matchlogs/2024/summary/Kamilcan-Sever-Match-Logs" TargetMode="External"/><Relationship Id="rId861" Type="http://schemas.openxmlformats.org/officeDocument/2006/relationships/hyperlink" Target="https://fbref.com/en/players/e3730cd8/matchlogs/2024/summary/Seedy-Jagne-Match-Logs" TargetMode="External"/><Relationship Id="rId1210" Type="http://schemas.openxmlformats.org/officeDocument/2006/relationships/hyperlink" Target="https://fbref.com/en/squads/b1a7a7b9/2024/Mjallby-Stats" TargetMode="External"/><Relationship Id="rId1694" Type="http://schemas.openxmlformats.org/officeDocument/2006/relationships/hyperlink" Target="https://fbref.com/en/players/4c8ad16c/Laorent-Shabani" TargetMode="External"/><Relationship Id="rId860" Type="http://schemas.openxmlformats.org/officeDocument/2006/relationships/hyperlink" Target="https://fbref.com/en/squads/b1a7a7b9/2024/Mjallby-Stats" TargetMode="External"/><Relationship Id="rId1211" Type="http://schemas.openxmlformats.org/officeDocument/2006/relationships/hyperlink" Target="https://fbref.com/en/players/30df6b9b/matchlogs/2024/summary/Alexander-Lundin-Match-Logs" TargetMode="External"/><Relationship Id="rId1695" Type="http://schemas.openxmlformats.org/officeDocument/2006/relationships/hyperlink" Target="https://fbref.com/en/country/SWE/Sweden-Football" TargetMode="External"/><Relationship Id="rId1212" Type="http://schemas.openxmlformats.org/officeDocument/2006/relationships/hyperlink" Target="https://fbref.com/en/players/91769a24/Adam-Lundqvist" TargetMode="External"/><Relationship Id="rId1696" Type="http://schemas.openxmlformats.org/officeDocument/2006/relationships/hyperlink" Target="https://fbref.com/en/squads/1d0836d6/2024/Norrkoping-Stats" TargetMode="External"/><Relationship Id="rId1202" Type="http://schemas.openxmlformats.org/officeDocument/2006/relationships/hyperlink" Target="https://fbref.com/en/squads/8774e267/2024/BK-Hacken-Stats" TargetMode="External"/><Relationship Id="rId1686" Type="http://schemas.openxmlformats.org/officeDocument/2006/relationships/hyperlink" Target="https://fbref.com/en/players/68a31b26/matchlogs/2024/summary/Sebastian-Selin-Match-Logs" TargetMode="External"/><Relationship Id="rId1203" Type="http://schemas.openxmlformats.org/officeDocument/2006/relationships/hyperlink" Target="https://fbref.com/en/players/3945764e/matchlogs/2024/summary/Valgeir-Lunddal-Fridriksson-Match-Logs" TargetMode="External"/><Relationship Id="rId1687" Type="http://schemas.openxmlformats.org/officeDocument/2006/relationships/hyperlink" Target="https://fbref.com/en/players/257b6d31/Noel-Sernelius" TargetMode="External"/><Relationship Id="rId1204" Type="http://schemas.openxmlformats.org/officeDocument/2006/relationships/hyperlink" Target="https://fbref.com/en/players/61c2f027/Gustav-Lundgren" TargetMode="External"/><Relationship Id="rId1688" Type="http://schemas.openxmlformats.org/officeDocument/2006/relationships/hyperlink" Target="https://fbref.com/en/country/SWE/Sweden-Football" TargetMode="External"/><Relationship Id="rId1205" Type="http://schemas.openxmlformats.org/officeDocument/2006/relationships/hyperlink" Target="https://fbref.com/en/country/SWE/Sweden-Football" TargetMode="External"/><Relationship Id="rId1689" Type="http://schemas.openxmlformats.org/officeDocument/2006/relationships/hyperlink" Target="https://fbref.com/en/squads/1d0836d6/2024/Norrkoping-Stats" TargetMode="External"/><Relationship Id="rId1206" Type="http://schemas.openxmlformats.org/officeDocument/2006/relationships/hyperlink" Target="https://fbref.com/en/squads/7c2d1adb/2024/GAIS-Stats" TargetMode="External"/><Relationship Id="rId1207" Type="http://schemas.openxmlformats.org/officeDocument/2006/relationships/hyperlink" Target="https://fbref.com/en/players/61c2f027/matchlogs/2024/summary/Gustav-Lundgren-Match-Logs" TargetMode="External"/><Relationship Id="rId1208" Type="http://schemas.openxmlformats.org/officeDocument/2006/relationships/hyperlink" Target="https://fbref.com/en/players/30df6b9b/Alexander-Lundin" TargetMode="External"/><Relationship Id="rId1209" Type="http://schemas.openxmlformats.org/officeDocument/2006/relationships/hyperlink" Target="https://fbref.com/en/country/SWE/Sweden-Football" TargetMode="External"/><Relationship Id="rId855" Type="http://schemas.openxmlformats.org/officeDocument/2006/relationships/hyperlink" Target="https://fbref.com/en/country/MNE/Montenegro-Football" TargetMode="External"/><Relationship Id="rId854" Type="http://schemas.openxmlformats.org/officeDocument/2006/relationships/hyperlink" Target="https://fbref.com/en/players/721608e5/Dino-Islamovic" TargetMode="External"/><Relationship Id="rId853" Type="http://schemas.openxmlformats.org/officeDocument/2006/relationships/hyperlink" Target="https://fbref.com/en/players/2be28a0c/matchlogs/2024/summary/Thomas-Isherwood-Match-Logs" TargetMode="External"/><Relationship Id="rId852" Type="http://schemas.openxmlformats.org/officeDocument/2006/relationships/hyperlink" Target="https://fbref.com/en/squads/b0333581/2024/AIK-Stockholm-Stats" TargetMode="External"/><Relationship Id="rId859" Type="http://schemas.openxmlformats.org/officeDocument/2006/relationships/hyperlink" Target="https://fbref.com/en/country/SWE/Sweden-Football" TargetMode="External"/><Relationship Id="rId858" Type="http://schemas.openxmlformats.org/officeDocument/2006/relationships/hyperlink" Target="https://fbref.com/en/players/e3730cd8/Seedy-Jagne" TargetMode="External"/><Relationship Id="rId857" Type="http://schemas.openxmlformats.org/officeDocument/2006/relationships/hyperlink" Target="https://fbref.com/en/players/721608e5/matchlogs/2024/summary/Dino-Islamovic-Match-Logs" TargetMode="External"/><Relationship Id="rId856" Type="http://schemas.openxmlformats.org/officeDocument/2006/relationships/hyperlink" Target="https://fbref.com/en/squads/9f13771c/2024/Kalmar-Stats" TargetMode="External"/><Relationship Id="rId1680" Type="http://schemas.openxmlformats.org/officeDocument/2006/relationships/hyperlink" Target="https://fbref.com/en/country/FIN/Finland-Football" TargetMode="External"/><Relationship Id="rId1681" Type="http://schemas.openxmlformats.org/officeDocument/2006/relationships/hyperlink" Target="https://fbref.com/en/squads/9423c05a/2024/Djurgarden-Stats" TargetMode="External"/><Relationship Id="rId851" Type="http://schemas.openxmlformats.org/officeDocument/2006/relationships/hyperlink" Target="https://fbref.com/en/country/SWE/Sweden-Football" TargetMode="External"/><Relationship Id="rId1682" Type="http://schemas.openxmlformats.org/officeDocument/2006/relationships/hyperlink" Target="https://fbref.com/en/players/0e624c72/matchlogs/2024/summary/Rasmus-Schuller-Match-Logs" TargetMode="External"/><Relationship Id="rId850" Type="http://schemas.openxmlformats.org/officeDocument/2006/relationships/hyperlink" Target="https://fbref.com/en/players/2be28a0c/Thomas-Isherwood" TargetMode="External"/><Relationship Id="rId1683" Type="http://schemas.openxmlformats.org/officeDocument/2006/relationships/hyperlink" Target="https://fbref.com/en/players/68a31b26/Sebastian-Selin" TargetMode="External"/><Relationship Id="rId1200" Type="http://schemas.openxmlformats.org/officeDocument/2006/relationships/hyperlink" Target="https://fbref.com/en/players/3945764e/Valgeir-Lunddal-Fridriksson" TargetMode="External"/><Relationship Id="rId1684" Type="http://schemas.openxmlformats.org/officeDocument/2006/relationships/hyperlink" Target="https://fbref.com/en/country/SWE/Sweden-Football" TargetMode="External"/><Relationship Id="rId1201" Type="http://schemas.openxmlformats.org/officeDocument/2006/relationships/hyperlink" Target="https://fbref.com/en/country/ISL/Iceland-Football" TargetMode="External"/><Relationship Id="rId1685" Type="http://schemas.openxmlformats.org/officeDocument/2006/relationships/hyperlink" Target="https://fbref.com/en/squads/92bfd7f0/2024/Hammarby-Stats" TargetMode="External"/><Relationship Id="rId1235" Type="http://schemas.openxmlformats.org/officeDocument/2006/relationships/hyperlink" Target="https://fbref.com/en/players/5bd35cff/matchlogs/2024/summary/Abdussalam-Magashy-Match-Logs" TargetMode="External"/><Relationship Id="rId1236" Type="http://schemas.openxmlformats.org/officeDocument/2006/relationships/hyperlink" Target="https://fbref.com/en/players/7d334863/Herman-Magnusson" TargetMode="External"/><Relationship Id="rId1237" Type="http://schemas.openxmlformats.org/officeDocument/2006/relationships/hyperlink" Target="https://fbref.com/en/country/SWE/Sweden-Football" TargetMode="External"/><Relationship Id="rId1238" Type="http://schemas.openxmlformats.org/officeDocument/2006/relationships/hyperlink" Target="https://fbref.com/en/squads/a8481ab9/2024/Vasteras-Stats" TargetMode="External"/><Relationship Id="rId1239" Type="http://schemas.openxmlformats.org/officeDocument/2006/relationships/hyperlink" Target="https://fbref.com/en/players/7d334863/matchlogs/2024/summary/Herman-Magnusson-Match-Logs" TargetMode="External"/><Relationship Id="rId409" Type="http://schemas.openxmlformats.org/officeDocument/2006/relationships/hyperlink" Target="https://fbref.com/en/squads/e9d60d0c/2024/Sirius-Stats" TargetMode="External"/><Relationship Id="rId404" Type="http://schemas.openxmlformats.org/officeDocument/2006/relationships/hyperlink" Target="https://fbref.com/en/country/GAM/Gambia-Football" TargetMode="External"/><Relationship Id="rId888" Type="http://schemas.openxmlformats.org/officeDocument/2006/relationships/hyperlink" Target="https://fbref.com/en/squads/9f13771c/2024/Kalmar-Stats" TargetMode="External"/><Relationship Id="rId403" Type="http://schemas.openxmlformats.org/officeDocument/2006/relationships/hyperlink" Target="https://fbref.com/en/players/350ad032/Joseph-Ceesay" TargetMode="External"/><Relationship Id="rId887" Type="http://schemas.openxmlformats.org/officeDocument/2006/relationships/hyperlink" Target="https://fbref.com/en/country/FIN/Finland-Football" TargetMode="External"/><Relationship Id="rId402" Type="http://schemas.openxmlformats.org/officeDocument/2006/relationships/hyperlink" Target="https://fbref.com/en/players/606c9990/matchlogs/2024/summary/Jesper-Ceesay-Match-Logs" TargetMode="External"/><Relationship Id="rId886" Type="http://schemas.openxmlformats.org/officeDocument/2006/relationships/hyperlink" Target="https://fbref.com/en/players/28dffb73/Rony-Jansson" TargetMode="External"/><Relationship Id="rId401" Type="http://schemas.openxmlformats.org/officeDocument/2006/relationships/hyperlink" Target="https://fbref.com/en/squads/1d0836d6/2024/Norrkoping-Stats" TargetMode="External"/><Relationship Id="rId885" Type="http://schemas.openxmlformats.org/officeDocument/2006/relationships/hyperlink" Target="https://fbref.com/en/players/172e52d8/matchlogs/2024/summary/Pontus-Jansson-Match-Logs" TargetMode="External"/><Relationship Id="rId408" Type="http://schemas.openxmlformats.org/officeDocument/2006/relationships/hyperlink" Target="https://fbref.com/en/country/SWE/Sweden-Football" TargetMode="External"/><Relationship Id="rId407" Type="http://schemas.openxmlformats.org/officeDocument/2006/relationships/hyperlink" Target="https://fbref.com/en/players/7dec0efa/David-Celic" TargetMode="External"/><Relationship Id="rId406" Type="http://schemas.openxmlformats.org/officeDocument/2006/relationships/hyperlink" Target="https://fbref.com/en/players/350ad032/matchlogs/2024/summary/Joseph-Ceesay-Match-Logs" TargetMode="External"/><Relationship Id="rId405" Type="http://schemas.openxmlformats.org/officeDocument/2006/relationships/hyperlink" Target="https://fbref.com/en/squads/1d0836d6/2024/Norrkoping-Stats" TargetMode="External"/><Relationship Id="rId889" Type="http://schemas.openxmlformats.org/officeDocument/2006/relationships/hyperlink" Target="https://fbref.com/en/players/28dffb73/matchlogs/2024/summary/Rony-Jansson-Match-Logs" TargetMode="External"/><Relationship Id="rId880" Type="http://schemas.openxmlformats.org/officeDocument/2006/relationships/hyperlink" Target="https://fbref.com/en/squads/9423c05a/2024/Djurgarden-Stats" TargetMode="External"/><Relationship Id="rId1230" Type="http://schemas.openxmlformats.org/officeDocument/2006/relationships/hyperlink" Target="https://fbref.com/en/squads/17366e53/2024/Halmstad-Stats" TargetMode="External"/><Relationship Id="rId400" Type="http://schemas.openxmlformats.org/officeDocument/2006/relationships/hyperlink" Target="https://fbref.com/en/country/GAM/Gambia-Football" TargetMode="External"/><Relationship Id="rId884" Type="http://schemas.openxmlformats.org/officeDocument/2006/relationships/hyperlink" Target="https://fbref.com/en/squads/f3d8c8b9/2024/Malmo-Stats" TargetMode="External"/><Relationship Id="rId1231" Type="http://schemas.openxmlformats.org/officeDocument/2006/relationships/hyperlink" Target="https://fbref.com/en/players/2fd1571d/matchlogs/2024/summary/Niilo-Maenpaa-Match-Logs" TargetMode="External"/><Relationship Id="rId883" Type="http://schemas.openxmlformats.org/officeDocument/2006/relationships/hyperlink" Target="https://fbref.com/en/country/SWE/Sweden-Football" TargetMode="External"/><Relationship Id="rId1232" Type="http://schemas.openxmlformats.org/officeDocument/2006/relationships/hyperlink" Target="https://fbref.com/en/players/5bd35cff/Abdussalam-Magashy" TargetMode="External"/><Relationship Id="rId882" Type="http://schemas.openxmlformats.org/officeDocument/2006/relationships/hyperlink" Target="https://fbref.com/en/players/172e52d8/Pontus-Jansson" TargetMode="External"/><Relationship Id="rId1233" Type="http://schemas.openxmlformats.org/officeDocument/2006/relationships/hyperlink" Target="https://fbref.com/en/country/SWE/Sweden-Football" TargetMode="External"/><Relationship Id="rId881" Type="http://schemas.openxmlformats.org/officeDocument/2006/relationships/hyperlink" Target="https://fbref.com/en/players/a33c4ee2/matchlogs/2024/summary/Oscar-Jansson-Match-Logs" TargetMode="External"/><Relationship Id="rId1234" Type="http://schemas.openxmlformats.org/officeDocument/2006/relationships/hyperlink" Target="https://fbref.com/en/squads/9f13771c/2024/Kalmar-Stats" TargetMode="External"/><Relationship Id="rId1224" Type="http://schemas.openxmlformats.org/officeDocument/2006/relationships/hyperlink" Target="https://fbref.com/en/players/048293db/Montader-Madjed" TargetMode="External"/><Relationship Id="rId1225" Type="http://schemas.openxmlformats.org/officeDocument/2006/relationships/hyperlink" Target="https://fbref.com/en/country/IRQ/Iraq-Football" TargetMode="External"/><Relationship Id="rId1226" Type="http://schemas.openxmlformats.org/officeDocument/2006/relationships/hyperlink" Target="https://fbref.com/en/squads/92bfd7f0/2024/Hammarby-Stats" TargetMode="External"/><Relationship Id="rId1227" Type="http://schemas.openxmlformats.org/officeDocument/2006/relationships/hyperlink" Target="https://fbref.com/en/players/048293db/matchlogs/2024/summary/Montader-Madjed-Match-Logs" TargetMode="External"/><Relationship Id="rId1228" Type="http://schemas.openxmlformats.org/officeDocument/2006/relationships/hyperlink" Target="https://fbref.com/en/players/2fd1571d/Niilo-Maenpaa" TargetMode="External"/><Relationship Id="rId1229" Type="http://schemas.openxmlformats.org/officeDocument/2006/relationships/hyperlink" Target="https://fbref.com/en/country/FIN/Finland-Football" TargetMode="External"/><Relationship Id="rId877" Type="http://schemas.openxmlformats.org/officeDocument/2006/relationships/hyperlink" Target="https://fbref.com/en/players/a33c4ee2/matchlogs/2024/summary/Oscar-Jansson-Match-Logs" TargetMode="External"/><Relationship Id="rId876" Type="http://schemas.openxmlformats.org/officeDocument/2006/relationships/hyperlink" Target="https://fbref.com/en/squads/1d0836d6/2024/Norrkoping-Stats" TargetMode="External"/><Relationship Id="rId875" Type="http://schemas.openxmlformats.org/officeDocument/2006/relationships/hyperlink" Target="https://fbref.com/en/country/SWE/Sweden-Football" TargetMode="External"/><Relationship Id="rId874" Type="http://schemas.openxmlformats.org/officeDocument/2006/relationships/hyperlink" Target="https://fbref.com/en/players/a33c4ee2/Oscar-Jansson" TargetMode="External"/><Relationship Id="rId879" Type="http://schemas.openxmlformats.org/officeDocument/2006/relationships/hyperlink" Target="https://fbref.com/en/country/SWE/Sweden-Football" TargetMode="External"/><Relationship Id="rId878" Type="http://schemas.openxmlformats.org/officeDocument/2006/relationships/hyperlink" Target="https://fbref.com/en/players/a33c4ee2/Oscar-Jansson" TargetMode="External"/><Relationship Id="rId873" Type="http://schemas.openxmlformats.org/officeDocument/2006/relationships/hyperlink" Target="https://fbref.com/en/players/26d26396/matchlogs/2024/summary/Budimir-Janosevic-Match-Logs" TargetMode="External"/><Relationship Id="rId1220" Type="http://schemas.openxmlformats.org/officeDocument/2006/relationships/hyperlink" Target="https://fbref.com/en/players/94a51661/Ismet-Lushaku" TargetMode="External"/><Relationship Id="rId872" Type="http://schemas.openxmlformats.org/officeDocument/2006/relationships/hyperlink" Target="https://fbref.com/en/squads/b0333581/2024/AIK-Stockholm-Stats" TargetMode="External"/><Relationship Id="rId1221" Type="http://schemas.openxmlformats.org/officeDocument/2006/relationships/hyperlink" Target="https://fbref.com/en/country/KVX/Kosovo-Football" TargetMode="External"/><Relationship Id="rId871" Type="http://schemas.openxmlformats.org/officeDocument/2006/relationships/hyperlink" Target="https://fbref.com/en/country/SRB/Serbia-Football" TargetMode="External"/><Relationship Id="rId1222" Type="http://schemas.openxmlformats.org/officeDocument/2006/relationships/hyperlink" Target="https://fbref.com/en/squads/1d0836d6/2024/Norrkoping-Stats" TargetMode="External"/><Relationship Id="rId870" Type="http://schemas.openxmlformats.org/officeDocument/2006/relationships/hyperlink" Target="https://fbref.com/en/players/26d26396/Budimir-Janosevic" TargetMode="External"/><Relationship Id="rId1223" Type="http://schemas.openxmlformats.org/officeDocument/2006/relationships/hyperlink" Target="https://fbref.com/en/players/94a51661/matchlogs/2024/summary/Ismet-Lushaku-Match-Logs" TargetMode="External"/><Relationship Id="rId1653" Type="http://schemas.openxmlformats.org/officeDocument/2006/relationships/hyperlink" Target="https://fbref.com/en/squads/1d0836d6/2024/Norrkoping-Stats" TargetMode="External"/><Relationship Id="rId1654" Type="http://schemas.openxmlformats.org/officeDocument/2006/relationships/hyperlink" Target="https://fbref.com/en/players/3be274de/matchlogs/2024/summary/Dino-Salihovic-Match-Logs" TargetMode="External"/><Relationship Id="rId1655" Type="http://schemas.openxmlformats.org/officeDocument/2006/relationships/hyperlink" Target="https://fbref.com/en/players/74cdb56a/Mohammad-Al-Salkhadi" TargetMode="External"/><Relationship Id="rId1656" Type="http://schemas.openxmlformats.org/officeDocument/2006/relationships/hyperlink" Target="https://fbref.com/en/country/SYR/Syria-Football" TargetMode="External"/><Relationship Id="rId1657" Type="http://schemas.openxmlformats.org/officeDocument/2006/relationships/hyperlink" Target="https://fbref.com/en/squads/d048ed60/2024/Varnamo-Stats" TargetMode="External"/><Relationship Id="rId1658" Type="http://schemas.openxmlformats.org/officeDocument/2006/relationships/hyperlink" Target="https://fbref.com/en/players/74cdb56a/matchlogs/2024/summary/Mohammad-Al-Salkhadi-Match-Logs" TargetMode="External"/><Relationship Id="rId1659" Type="http://schemas.openxmlformats.org/officeDocument/2006/relationships/hyperlink" Target="https://fbref.com/en/players/9e092a09/Emil-Salomonsson" TargetMode="External"/><Relationship Id="rId829" Type="http://schemas.openxmlformats.org/officeDocument/2006/relationships/hyperlink" Target="https://fbref.com/en/players/c80ff5d1/matchlogs/2024/summary/Zeidane-Inoussa-Match-Logs" TargetMode="External"/><Relationship Id="rId828" Type="http://schemas.openxmlformats.org/officeDocument/2006/relationships/hyperlink" Target="https://fbref.com/en/squads/8774e267/2024/BK-Hacken-Stats" TargetMode="External"/><Relationship Id="rId827" Type="http://schemas.openxmlformats.org/officeDocument/2006/relationships/hyperlink" Target="https://fbref.com/en/country/SWE/Sweden-Football" TargetMode="External"/><Relationship Id="rId822" Type="http://schemas.openxmlformats.org/officeDocument/2006/relationships/hyperlink" Target="https://fbref.com/en/players/7d036b4a/Arnor-Ingvi-Traustason" TargetMode="External"/><Relationship Id="rId821" Type="http://schemas.openxmlformats.org/officeDocument/2006/relationships/hyperlink" Target="https://fbref.com/en/players/ea69be20/matchlogs/2024/summary/Birnir-Ingason-Match-Logs" TargetMode="External"/><Relationship Id="rId820" Type="http://schemas.openxmlformats.org/officeDocument/2006/relationships/hyperlink" Target="https://fbref.com/en/squads/17366e53/2024/Halmstad-Stats" TargetMode="External"/><Relationship Id="rId826" Type="http://schemas.openxmlformats.org/officeDocument/2006/relationships/hyperlink" Target="https://fbref.com/en/players/c80ff5d1/Zeidane-Inoussa" TargetMode="External"/><Relationship Id="rId825" Type="http://schemas.openxmlformats.org/officeDocument/2006/relationships/hyperlink" Target="https://fbref.com/en/players/7d036b4a/matchlogs/2024/summary/Arnor-Ingvi-Traustason-Match-Logs" TargetMode="External"/><Relationship Id="rId824" Type="http://schemas.openxmlformats.org/officeDocument/2006/relationships/hyperlink" Target="https://fbref.com/en/squads/1d0836d6/2024/Norrkoping-Stats" TargetMode="External"/><Relationship Id="rId823" Type="http://schemas.openxmlformats.org/officeDocument/2006/relationships/hyperlink" Target="https://fbref.com/en/country/ISL/Iceland-Football" TargetMode="External"/><Relationship Id="rId1650" Type="http://schemas.openxmlformats.org/officeDocument/2006/relationships/hyperlink" Target="https://fbref.com/en/players/3da8c3f9/matchlogs/2024/summary/Anton-Saletros-Match-Logs" TargetMode="External"/><Relationship Id="rId1651" Type="http://schemas.openxmlformats.org/officeDocument/2006/relationships/hyperlink" Target="https://fbref.com/en/players/3be274de/Dino-Salihovic" TargetMode="External"/><Relationship Id="rId1652" Type="http://schemas.openxmlformats.org/officeDocument/2006/relationships/hyperlink" Target="https://fbref.com/en/country/SWE/Sweden-Football" TargetMode="External"/><Relationship Id="rId1642" Type="http://schemas.openxmlformats.org/officeDocument/2006/relationships/hyperlink" Target="https://fbref.com/en/players/cfc794fb/matchlogs/2024/summary/Abundance-Salaou-Match-Logs" TargetMode="External"/><Relationship Id="rId1643" Type="http://schemas.openxmlformats.org/officeDocument/2006/relationships/hyperlink" Target="https://fbref.com/en/players/4cf80d1d/Yousef-Salech" TargetMode="External"/><Relationship Id="rId1644" Type="http://schemas.openxmlformats.org/officeDocument/2006/relationships/hyperlink" Target="https://fbref.com/en/country/DEN/Denmark-Football" TargetMode="External"/><Relationship Id="rId1645" Type="http://schemas.openxmlformats.org/officeDocument/2006/relationships/hyperlink" Target="https://fbref.com/en/squads/e9d60d0c/2024/Sirius-Stats" TargetMode="External"/><Relationship Id="rId1646" Type="http://schemas.openxmlformats.org/officeDocument/2006/relationships/hyperlink" Target="https://fbref.com/en/players/4cf80d1d/matchlogs/2024/summary/Yousef-Salech-Match-Logs" TargetMode="External"/><Relationship Id="rId1647" Type="http://schemas.openxmlformats.org/officeDocument/2006/relationships/hyperlink" Target="https://fbref.com/en/players/3da8c3f9/Anton-Saletros" TargetMode="External"/><Relationship Id="rId1648" Type="http://schemas.openxmlformats.org/officeDocument/2006/relationships/hyperlink" Target="https://fbref.com/en/country/SWE/Sweden-Football" TargetMode="External"/><Relationship Id="rId1649" Type="http://schemas.openxmlformats.org/officeDocument/2006/relationships/hyperlink" Target="https://fbref.com/en/squads/b0333581/2024/AIK-Stockholm-Stats" TargetMode="External"/><Relationship Id="rId819" Type="http://schemas.openxmlformats.org/officeDocument/2006/relationships/hyperlink" Target="https://fbref.com/en/country/ISL/Iceland-Football" TargetMode="External"/><Relationship Id="rId818" Type="http://schemas.openxmlformats.org/officeDocument/2006/relationships/hyperlink" Target="https://fbref.com/en/players/ea69be20/Birnir-Ingason" TargetMode="External"/><Relationship Id="rId817" Type="http://schemas.openxmlformats.org/officeDocument/2006/relationships/hyperlink" Target="https://fbref.com/en/players/b8508ea3/matchlogs/2024/summary/Harun-Ibrahim-Match-Logs" TargetMode="External"/><Relationship Id="rId816" Type="http://schemas.openxmlformats.org/officeDocument/2006/relationships/hyperlink" Target="https://fbref.com/en/squads/7c2d1adb/2024/GAIS-Stats" TargetMode="External"/><Relationship Id="rId811" Type="http://schemas.openxmlformats.org/officeDocument/2006/relationships/hyperlink" Target="https://fbref.com/en/country/TUR/Turkey-Football" TargetMode="External"/><Relationship Id="rId810" Type="http://schemas.openxmlformats.org/officeDocument/2006/relationships/hyperlink" Target="https://fbref.com/en/players/754f87d6/Deniz-Hummet" TargetMode="External"/><Relationship Id="rId815" Type="http://schemas.openxmlformats.org/officeDocument/2006/relationships/hyperlink" Target="https://fbref.com/en/country/SWE/Sweden-Football" TargetMode="External"/><Relationship Id="rId814" Type="http://schemas.openxmlformats.org/officeDocument/2006/relationships/hyperlink" Target="https://fbref.com/en/players/b8508ea3/Harun-Ibrahim" TargetMode="External"/><Relationship Id="rId813" Type="http://schemas.openxmlformats.org/officeDocument/2006/relationships/hyperlink" Target="https://fbref.com/en/players/754f87d6/matchlogs/2024/summary/Deniz-Hummet-Match-Logs" TargetMode="External"/><Relationship Id="rId812" Type="http://schemas.openxmlformats.org/officeDocument/2006/relationships/hyperlink" Target="https://fbref.com/en/squads/9423c05a/2024/Djurgarden-Stats" TargetMode="External"/><Relationship Id="rId1640" Type="http://schemas.openxmlformats.org/officeDocument/2006/relationships/hyperlink" Target="https://fbref.com/en/country/CIV/Cote-dIvoire-Football" TargetMode="External"/><Relationship Id="rId1641" Type="http://schemas.openxmlformats.org/officeDocument/2006/relationships/hyperlink" Target="https://fbref.com/en/squads/ef1ab26a/2024/Goteborg-Stats" TargetMode="External"/><Relationship Id="rId1675" Type="http://schemas.openxmlformats.org/officeDocument/2006/relationships/hyperlink" Target="https://fbref.com/en/players/a2f92bfc/Youssoupha-Sanyang" TargetMode="External"/><Relationship Id="rId1676" Type="http://schemas.openxmlformats.org/officeDocument/2006/relationships/hyperlink" Target="https://fbref.com/en/country/SEN/Senegal-Football" TargetMode="External"/><Relationship Id="rId1677" Type="http://schemas.openxmlformats.org/officeDocument/2006/relationships/hyperlink" Target="https://fbref.com/en/squads/a8481ab9/2024/Vasteras-Stats" TargetMode="External"/><Relationship Id="rId1678" Type="http://schemas.openxmlformats.org/officeDocument/2006/relationships/hyperlink" Target="https://fbref.com/en/players/a2f92bfc/matchlogs/2024/summary/Youssoupha-Sanyang-Match-Logs" TargetMode="External"/><Relationship Id="rId1679" Type="http://schemas.openxmlformats.org/officeDocument/2006/relationships/hyperlink" Target="https://fbref.com/en/players/0e624c72/Rasmus-Schuller" TargetMode="External"/><Relationship Id="rId849" Type="http://schemas.openxmlformats.org/officeDocument/2006/relationships/hyperlink" Target="https://fbref.com/en/players/4d2d7ea5/matchlogs/2024/summary/Abdulrazaq-Ishaq-Match-Logs" TargetMode="External"/><Relationship Id="rId844" Type="http://schemas.openxmlformats.org/officeDocument/2006/relationships/hyperlink" Target="https://fbref.com/en/squads/9f13771c/2024/Kalmar-Stats" TargetMode="External"/><Relationship Id="rId843" Type="http://schemas.openxmlformats.org/officeDocument/2006/relationships/hyperlink" Target="https://fbref.com/en/country/SWE/Sweden-Football" TargetMode="External"/><Relationship Id="rId842" Type="http://schemas.openxmlformats.org/officeDocument/2006/relationships/hyperlink" Target="https://fbref.com/en/players/39655292/Leon-Isa" TargetMode="External"/><Relationship Id="rId841" Type="http://schemas.openxmlformats.org/officeDocument/2006/relationships/hyperlink" Target="https://fbref.com/en/players/371c77c6/matchlogs/2024/summary/Daleho-Irandust-Match-Logs" TargetMode="External"/><Relationship Id="rId848" Type="http://schemas.openxmlformats.org/officeDocument/2006/relationships/hyperlink" Target="https://fbref.com/en/squads/8774e267/2024/BK-Hacken-Stats" TargetMode="External"/><Relationship Id="rId847" Type="http://schemas.openxmlformats.org/officeDocument/2006/relationships/hyperlink" Target="https://fbref.com/en/country/NGA/Nigeria-Football" TargetMode="External"/><Relationship Id="rId846" Type="http://schemas.openxmlformats.org/officeDocument/2006/relationships/hyperlink" Target="https://fbref.com/en/players/4d2d7ea5/Abdulrazaq-Ishaq" TargetMode="External"/><Relationship Id="rId845" Type="http://schemas.openxmlformats.org/officeDocument/2006/relationships/hyperlink" Target="https://fbref.com/en/players/39655292/matchlogs/2024/summary/Leon-Isa-Match-Logs" TargetMode="External"/><Relationship Id="rId1670" Type="http://schemas.openxmlformats.org/officeDocument/2006/relationships/hyperlink" Target="https://fbref.com/en/players/9cd1f5d0/matchlogs/2024/summary/Ture-Sandberg-Match-Logs" TargetMode="External"/><Relationship Id="rId840" Type="http://schemas.openxmlformats.org/officeDocument/2006/relationships/hyperlink" Target="https://fbref.com/en/squads/bb9e11b2/2024/Brommapojkarna-Stats" TargetMode="External"/><Relationship Id="rId1671" Type="http://schemas.openxmlformats.org/officeDocument/2006/relationships/hyperlink" Target="https://fbref.com/en/players/d21a8046/Thomas-Santos" TargetMode="External"/><Relationship Id="rId1672" Type="http://schemas.openxmlformats.org/officeDocument/2006/relationships/hyperlink" Target="https://fbref.com/en/country/DEN/Denmark-Football" TargetMode="External"/><Relationship Id="rId1673" Type="http://schemas.openxmlformats.org/officeDocument/2006/relationships/hyperlink" Target="https://fbref.com/en/squads/ef1ab26a/2024/Goteborg-Stats" TargetMode="External"/><Relationship Id="rId1674" Type="http://schemas.openxmlformats.org/officeDocument/2006/relationships/hyperlink" Target="https://fbref.com/en/players/d21a8046/matchlogs/2024/summary/Thomas-Santos-Match-Logs" TargetMode="External"/><Relationship Id="rId1664" Type="http://schemas.openxmlformats.org/officeDocument/2006/relationships/hyperlink" Target="https://fbref.com/en/country/SWE/Sweden-Football" TargetMode="External"/><Relationship Id="rId1665" Type="http://schemas.openxmlformats.org/officeDocument/2006/relationships/hyperlink" Target="https://fbref.com/en/squads/8774e267/2024/BK-Hacken-Stats" TargetMode="External"/><Relationship Id="rId1666" Type="http://schemas.openxmlformats.org/officeDocument/2006/relationships/hyperlink" Target="https://fbref.com/en/players/05b00fef/matchlogs/2024/summary/Simon-Sandberg-Match-Logs" TargetMode="External"/><Relationship Id="rId1667" Type="http://schemas.openxmlformats.org/officeDocument/2006/relationships/hyperlink" Target="https://fbref.com/en/players/9cd1f5d0/Ture-Sandberg" TargetMode="External"/><Relationship Id="rId1668" Type="http://schemas.openxmlformats.org/officeDocument/2006/relationships/hyperlink" Target="https://fbref.com/en/country/SWE/Sweden-Football" TargetMode="External"/><Relationship Id="rId1669" Type="http://schemas.openxmlformats.org/officeDocument/2006/relationships/hyperlink" Target="https://fbref.com/en/squads/1d0836d6/2024/Norrkoping-Stats" TargetMode="External"/><Relationship Id="rId839" Type="http://schemas.openxmlformats.org/officeDocument/2006/relationships/hyperlink" Target="https://fbref.com/en/country/SYR/Syria-Football" TargetMode="External"/><Relationship Id="rId838" Type="http://schemas.openxmlformats.org/officeDocument/2006/relationships/hyperlink" Target="https://fbref.com/en/players/371c77c6/Daleho-Irandust" TargetMode="External"/><Relationship Id="rId833" Type="http://schemas.openxmlformats.org/officeDocument/2006/relationships/hyperlink" Target="https://fbref.com/en/players/50a048f3/matchlogs/2024/summary/Ivan-Inzoudine-Match-Logs" TargetMode="External"/><Relationship Id="rId832" Type="http://schemas.openxmlformats.org/officeDocument/2006/relationships/hyperlink" Target="https://fbref.com/en/squads/9f13771c/2024/Kalmar-Stats" TargetMode="External"/><Relationship Id="rId831" Type="http://schemas.openxmlformats.org/officeDocument/2006/relationships/hyperlink" Target="https://fbref.com/en/country/FRA/France-Football" TargetMode="External"/><Relationship Id="rId830" Type="http://schemas.openxmlformats.org/officeDocument/2006/relationships/hyperlink" Target="https://fbref.com/en/players/50a048f3/Ivan-Inzoudine" TargetMode="External"/><Relationship Id="rId837" Type="http://schemas.openxmlformats.org/officeDocument/2006/relationships/hyperlink" Target="https://fbref.com/en/players/67141182/matchlogs/2024/summary/Abdullah-Iqbal-Match-Logs" TargetMode="External"/><Relationship Id="rId836" Type="http://schemas.openxmlformats.org/officeDocument/2006/relationships/hyperlink" Target="https://fbref.com/en/squads/b1a7a7b9/2024/Mjallby-Stats" TargetMode="External"/><Relationship Id="rId835" Type="http://schemas.openxmlformats.org/officeDocument/2006/relationships/hyperlink" Target="https://fbref.com/en/country/PAK/Pakistan-Football" TargetMode="External"/><Relationship Id="rId834" Type="http://schemas.openxmlformats.org/officeDocument/2006/relationships/hyperlink" Target="https://fbref.com/en/players/67141182/Abdullah-Iqbal" TargetMode="External"/><Relationship Id="rId1660" Type="http://schemas.openxmlformats.org/officeDocument/2006/relationships/hyperlink" Target="https://fbref.com/en/country/SWE/Sweden-Football" TargetMode="External"/><Relationship Id="rId1661" Type="http://schemas.openxmlformats.org/officeDocument/2006/relationships/hyperlink" Target="https://fbref.com/en/squads/ef1ab26a/2024/Goteborg-Stats" TargetMode="External"/><Relationship Id="rId1662" Type="http://schemas.openxmlformats.org/officeDocument/2006/relationships/hyperlink" Target="https://fbref.com/en/players/9e092a09/matchlogs/2024/summary/Emil-Salomonsson-Match-Logs" TargetMode="External"/><Relationship Id="rId1663" Type="http://schemas.openxmlformats.org/officeDocument/2006/relationships/hyperlink" Target="https://fbref.com/en/players/05b00fef/Simon-Sandberg" TargetMode="External"/><Relationship Id="rId469" Type="http://schemas.openxmlformats.org/officeDocument/2006/relationships/hyperlink" Target="https://fbref.com/en/squads/f3d8c8b9/2024/Malmo-Stats" TargetMode="External"/><Relationship Id="rId468" Type="http://schemas.openxmlformats.org/officeDocument/2006/relationships/hyperlink" Target="https://fbref.com/en/country/SWE/Sweden-Football" TargetMode="External"/><Relationship Id="rId467" Type="http://schemas.openxmlformats.org/officeDocument/2006/relationships/hyperlink" Target="https://fbref.com/en/players/a04e2dd2/Johan-Dahlin" TargetMode="External"/><Relationship Id="rId1290" Type="http://schemas.openxmlformats.org/officeDocument/2006/relationships/hyperlink" Target="https://fbref.com/en/squads/1d0836d6/2024/Norrkoping-Stats" TargetMode="External"/><Relationship Id="rId1291" Type="http://schemas.openxmlformats.org/officeDocument/2006/relationships/hyperlink" Target="https://fbref.com/en/players/34829444/matchlogs/2024/summary/David-Mitov-Nilsson-Match-Logs" TargetMode="External"/><Relationship Id="rId1292" Type="http://schemas.openxmlformats.org/officeDocument/2006/relationships/hyperlink" Target="https://fbref.com/en/players/34829444/David-Mitov-Nilsson" TargetMode="External"/><Relationship Id="rId462" Type="http://schemas.openxmlformats.org/officeDocument/2006/relationships/hyperlink" Target="https://fbref.com/en/players/62cf5c04/matchlogs/2024/summary/Pontus-Dahbo-Match-Logs" TargetMode="External"/><Relationship Id="rId1293" Type="http://schemas.openxmlformats.org/officeDocument/2006/relationships/hyperlink" Target="https://fbref.com/en/country/MKD/North-Macedonia-Football" TargetMode="External"/><Relationship Id="rId461" Type="http://schemas.openxmlformats.org/officeDocument/2006/relationships/hyperlink" Target="https://fbref.com/en/squads/8774e267/2024/BK-Hacken-Stats" TargetMode="External"/><Relationship Id="rId1294" Type="http://schemas.openxmlformats.org/officeDocument/2006/relationships/hyperlink" Target="https://fbref.com/en/squads/e9d60d0c/2024/Sirius-Stats" TargetMode="External"/><Relationship Id="rId460" Type="http://schemas.openxmlformats.org/officeDocument/2006/relationships/hyperlink" Target="https://fbref.com/en/country/SWE/Sweden-Football" TargetMode="External"/><Relationship Id="rId1295" Type="http://schemas.openxmlformats.org/officeDocument/2006/relationships/hyperlink" Target="https://fbref.com/en/players/34829444/matchlogs/2024/summary/David-Mitov-Nilsson-Match-Logs" TargetMode="External"/><Relationship Id="rId1296" Type="http://schemas.openxmlformats.org/officeDocument/2006/relationships/hyperlink" Target="https://fbref.com/en/players/4044e8d8/David-Moberg-Karlsson" TargetMode="External"/><Relationship Id="rId466" Type="http://schemas.openxmlformats.org/officeDocument/2006/relationships/hyperlink" Target="https://fbref.com/en/players/bbe7d20b/matchlogs/2024/summary/Samuel-Dahl-Match-Logs" TargetMode="External"/><Relationship Id="rId1297" Type="http://schemas.openxmlformats.org/officeDocument/2006/relationships/hyperlink" Target="https://fbref.com/en/country/SWE/Sweden-Football" TargetMode="External"/><Relationship Id="rId465" Type="http://schemas.openxmlformats.org/officeDocument/2006/relationships/hyperlink" Target="https://fbref.com/en/squads/9423c05a/2024/Djurgarden-Stats" TargetMode="External"/><Relationship Id="rId1298" Type="http://schemas.openxmlformats.org/officeDocument/2006/relationships/hyperlink" Target="https://fbref.com/en/squads/1d0836d6/2024/Norrkoping-Stats" TargetMode="External"/><Relationship Id="rId464" Type="http://schemas.openxmlformats.org/officeDocument/2006/relationships/hyperlink" Target="https://fbref.com/en/country/SWE/Sweden-Football" TargetMode="External"/><Relationship Id="rId1299" Type="http://schemas.openxmlformats.org/officeDocument/2006/relationships/hyperlink" Target="https://fbref.com/en/players/4044e8d8/matchlogs/2024/summary/David-Moberg-Karlsson-Match-Logs" TargetMode="External"/><Relationship Id="rId463" Type="http://schemas.openxmlformats.org/officeDocument/2006/relationships/hyperlink" Target="https://fbref.com/en/players/bbe7d20b/Samuel-Dahl" TargetMode="External"/><Relationship Id="rId459" Type="http://schemas.openxmlformats.org/officeDocument/2006/relationships/hyperlink" Target="https://fbref.com/en/players/62cf5c04/Pontus-Dahbo" TargetMode="External"/><Relationship Id="rId458" Type="http://schemas.openxmlformats.org/officeDocument/2006/relationships/hyperlink" Target="https://fbref.com/en/players/415290df/matchlogs/2024/summary/Aly-Coulibaly-Match-Logs" TargetMode="External"/><Relationship Id="rId457" Type="http://schemas.openxmlformats.org/officeDocument/2006/relationships/hyperlink" Target="https://fbref.com/en/squads/a8481ab9/2024/Vasteras-Stats" TargetMode="External"/><Relationship Id="rId456" Type="http://schemas.openxmlformats.org/officeDocument/2006/relationships/hyperlink" Target="https://fbref.com/en/country/FRA/France-Football" TargetMode="External"/><Relationship Id="rId1280" Type="http://schemas.openxmlformats.org/officeDocument/2006/relationships/hyperlink" Target="https://fbref.com/en/players/2f065e3a/Alexander-Milosevic" TargetMode="External"/><Relationship Id="rId1281" Type="http://schemas.openxmlformats.org/officeDocument/2006/relationships/hyperlink" Target="https://fbref.com/en/country/SWE/Sweden-Football" TargetMode="External"/><Relationship Id="rId451" Type="http://schemas.openxmlformats.org/officeDocument/2006/relationships/hyperlink" Target="https://fbref.com/en/players/577744b8/Derek-Cornelius" TargetMode="External"/><Relationship Id="rId1282" Type="http://schemas.openxmlformats.org/officeDocument/2006/relationships/hyperlink" Target="https://fbref.com/en/squads/b0333581/2024/AIK-Stockholm-Stats" TargetMode="External"/><Relationship Id="rId450" Type="http://schemas.openxmlformats.org/officeDocument/2006/relationships/hyperlink" Target="https://fbref.com/en/players/0b6360b0/matchlogs/2024/summary/Jack-Cooper-Love-Match-Logs" TargetMode="External"/><Relationship Id="rId1283" Type="http://schemas.openxmlformats.org/officeDocument/2006/relationships/hyperlink" Target="https://fbref.com/en/players/2f065e3a/matchlogs/2024/summary/Alexander-Milosevic-Match-Logs" TargetMode="External"/><Relationship Id="rId1284" Type="http://schemas.openxmlformats.org/officeDocument/2006/relationships/hyperlink" Target="https://fbref.com/en/players/b3b7a592/William-Milovanovic" TargetMode="External"/><Relationship Id="rId1285" Type="http://schemas.openxmlformats.org/officeDocument/2006/relationships/hyperlink" Target="https://fbref.com/en/country/SWE/Sweden-Football" TargetMode="External"/><Relationship Id="rId455" Type="http://schemas.openxmlformats.org/officeDocument/2006/relationships/hyperlink" Target="https://fbref.com/en/players/415290df/Aly-Coulibaly" TargetMode="External"/><Relationship Id="rId1286" Type="http://schemas.openxmlformats.org/officeDocument/2006/relationships/hyperlink" Target="https://fbref.com/en/squads/7c2d1adb/2024/GAIS-Stats" TargetMode="External"/><Relationship Id="rId454" Type="http://schemas.openxmlformats.org/officeDocument/2006/relationships/hyperlink" Target="https://fbref.com/en/players/577744b8/matchlogs/2024/summary/Derek-Cornelius-Match-Logs" TargetMode="External"/><Relationship Id="rId1287" Type="http://schemas.openxmlformats.org/officeDocument/2006/relationships/hyperlink" Target="https://fbref.com/en/players/b3b7a592/matchlogs/2024/summary/William-Milovanovic-Match-Logs" TargetMode="External"/><Relationship Id="rId453" Type="http://schemas.openxmlformats.org/officeDocument/2006/relationships/hyperlink" Target="https://fbref.com/en/squads/f3d8c8b9/2024/Malmo-Stats" TargetMode="External"/><Relationship Id="rId1288" Type="http://schemas.openxmlformats.org/officeDocument/2006/relationships/hyperlink" Target="https://fbref.com/en/players/34829444/David-Mitov-Nilsson" TargetMode="External"/><Relationship Id="rId452" Type="http://schemas.openxmlformats.org/officeDocument/2006/relationships/hyperlink" Target="https://fbref.com/en/country/CAN/Canada-Football" TargetMode="External"/><Relationship Id="rId1289" Type="http://schemas.openxmlformats.org/officeDocument/2006/relationships/hyperlink" Target="https://fbref.com/en/country/MKD/North-Macedonia-Football" TargetMode="External"/><Relationship Id="rId491" Type="http://schemas.openxmlformats.org/officeDocument/2006/relationships/hyperlink" Target="https://fbref.com/en/players/20910907/Alex-Douglas" TargetMode="External"/><Relationship Id="rId490" Type="http://schemas.openxmlformats.org/officeDocument/2006/relationships/hyperlink" Target="https://fbref.com/en/players/a9107589/matchlogs/2024/summary/Ismael-Diawara-Match-Logs" TargetMode="External"/><Relationship Id="rId489" Type="http://schemas.openxmlformats.org/officeDocument/2006/relationships/hyperlink" Target="https://fbref.com/en/squads/b0333581/2024/AIK-Stockholm-Stats" TargetMode="External"/><Relationship Id="rId484" Type="http://schemas.openxmlformats.org/officeDocument/2006/relationships/hyperlink" Target="https://fbref.com/en/country/CIV/Cote-dIvoire-Football" TargetMode="External"/><Relationship Id="rId483" Type="http://schemas.openxmlformats.org/officeDocument/2006/relationships/hyperlink" Target="https://fbref.com/en/players/41463424/Ibrahim-Diabate" TargetMode="External"/><Relationship Id="rId482" Type="http://schemas.openxmlformats.org/officeDocument/2006/relationships/hyperlink" Target="https://fbref.com/en/players/678feac5/matchlogs/2024/summary/Arvin-Davoudi-Kia-Match-Logs" TargetMode="External"/><Relationship Id="rId481" Type="http://schemas.openxmlformats.org/officeDocument/2006/relationships/hyperlink" Target="https://fbref.com/en/squads/9f13771c/2024/Kalmar-Stats" TargetMode="External"/><Relationship Id="rId488" Type="http://schemas.openxmlformats.org/officeDocument/2006/relationships/hyperlink" Target="https://fbref.com/en/country/MLI/Mali-Football" TargetMode="External"/><Relationship Id="rId487" Type="http://schemas.openxmlformats.org/officeDocument/2006/relationships/hyperlink" Target="https://fbref.com/en/players/a9107589/Ismael-Diawara" TargetMode="External"/><Relationship Id="rId486" Type="http://schemas.openxmlformats.org/officeDocument/2006/relationships/hyperlink" Target="https://fbref.com/en/players/41463424/matchlogs/2024/summary/Ibrahim-Diabate-Match-Logs" TargetMode="External"/><Relationship Id="rId485" Type="http://schemas.openxmlformats.org/officeDocument/2006/relationships/hyperlink" Target="https://fbref.com/en/squads/a8481ab9/2024/Vasteras-Stats" TargetMode="External"/><Relationship Id="rId480" Type="http://schemas.openxmlformats.org/officeDocument/2006/relationships/hyperlink" Target="https://fbref.com/en/country/SWE/Sweden-Football" TargetMode="External"/><Relationship Id="rId479" Type="http://schemas.openxmlformats.org/officeDocument/2006/relationships/hyperlink" Target="https://fbref.com/en/players/678feac5/Arvin-Davoudi-Kia" TargetMode="External"/><Relationship Id="rId478" Type="http://schemas.openxmlformats.org/officeDocument/2006/relationships/hyperlink" Target="https://fbref.com/en/players/aae48df1/matchlogs/2024/summary/Marcus-Danielsson-Match-Logs" TargetMode="External"/><Relationship Id="rId473" Type="http://schemas.openxmlformats.org/officeDocument/2006/relationships/hyperlink" Target="https://fbref.com/en/squads/17366e53/2024/Halmstad-Stats" TargetMode="External"/><Relationship Id="rId472" Type="http://schemas.openxmlformats.org/officeDocument/2006/relationships/hyperlink" Target="https://fbref.com/en/country/SWE/Sweden-Football" TargetMode="External"/><Relationship Id="rId471" Type="http://schemas.openxmlformats.org/officeDocument/2006/relationships/hyperlink" Target="https://fbref.com/en/players/9f95d007/Villiam-Dahlstrom" TargetMode="External"/><Relationship Id="rId470" Type="http://schemas.openxmlformats.org/officeDocument/2006/relationships/hyperlink" Target="https://fbref.com/en/players/a04e2dd2/matchlogs/2024/summary/Johan-Dahlin-Match-Logs" TargetMode="External"/><Relationship Id="rId477" Type="http://schemas.openxmlformats.org/officeDocument/2006/relationships/hyperlink" Target="https://fbref.com/en/squads/9423c05a/2024/Djurgarden-Stats" TargetMode="External"/><Relationship Id="rId476" Type="http://schemas.openxmlformats.org/officeDocument/2006/relationships/hyperlink" Target="https://fbref.com/en/country/SWE/Sweden-Football" TargetMode="External"/><Relationship Id="rId475" Type="http://schemas.openxmlformats.org/officeDocument/2006/relationships/hyperlink" Target="https://fbref.com/en/players/aae48df1/Marcus-Danielsson" TargetMode="External"/><Relationship Id="rId474" Type="http://schemas.openxmlformats.org/officeDocument/2006/relationships/hyperlink" Target="https://fbref.com/en/players/9f95d007/matchlogs/2024/summary/Villiam-Dahlstrom-Match-Logs" TargetMode="External"/><Relationship Id="rId1257" Type="http://schemas.openxmlformats.org/officeDocument/2006/relationships/hyperlink" Target="https://fbref.com/en/country/GAM/Gambia-Football" TargetMode="External"/><Relationship Id="rId1258" Type="http://schemas.openxmlformats.org/officeDocument/2006/relationships/hyperlink" Target="https://fbref.com/en/squads/b1a7a7b9/2024/Mjallby-Stats" TargetMode="External"/><Relationship Id="rId1259" Type="http://schemas.openxmlformats.org/officeDocument/2006/relationships/hyperlink" Target="https://fbref.com/en/players/0d8ca6b3/matchlogs/2024/summary/Abdoulie-Manneh-Match-Logs" TargetMode="External"/><Relationship Id="rId426" Type="http://schemas.openxmlformats.org/officeDocument/2006/relationships/hyperlink" Target="https://fbref.com/en/players/fffdbab7/matchlogs/2024/summary/Chisomnazu-Chika-Chidi-Match-Logs" TargetMode="External"/><Relationship Id="rId425" Type="http://schemas.openxmlformats.org/officeDocument/2006/relationships/hyperlink" Target="https://fbref.com/en/squads/7c2d1adb/2024/GAIS-Stats" TargetMode="External"/><Relationship Id="rId424" Type="http://schemas.openxmlformats.org/officeDocument/2006/relationships/hyperlink" Target="https://fbref.com/en/country/SWE/Sweden-Football" TargetMode="External"/><Relationship Id="rId423" Type="http://schemas.openxmlformats.org/officeDocument/2006/relationships/hyperlink" Target="https://fbref.com/en/players/fffdbab7/Chisomnazu-Chika-Chidi" TargetMode="External"/><Relationship Id="rId429" Type="http://schemas.openxmlformats.org/officeDocument/2006/relationships/hyperlink" Target="https://fbref.com/en/squads/8774e267/2024/BK-Hacken-Stats" TargetMode="External"/><Relationship Id="rId428" Type="http://schemas.openxmlformats.org/officeDocument/2006/relationships/hyperlink" Target="https://fbref.com/en/country/ZAM/Zambia-Football" TargetMode="External"/><Relationship Id="rId427" Type="http://schemas.openxmlformats.org/officeDocument/2006/relationships/hyperlink" Target="https://fbref.com/en/players/b7b27de0/Edward-Chilufya" TargetMode="External"/><Relationship Id="rId1250" Type="http://schemas.openxmlformats.org/officeDocument/2006/relationships/hyperlink" Target="https://fbref.com/en/squads/b1a7a7b9/2024/Mjallby-Stats" TargetMode="External"/><Relationship Id="rId1251" Type="http://schemas.openxmlformats.org/officeDocument/2006/relationships/hyperlink" Target="https://fbref.com/en/players/68737f06/matchlogs/2024/summary/Tim-Malmstrom-Match-Logs" TargetMode="External"/><Relationship Id="rId1252" Type="http://schemas.openxmlformats.org/officeDocument/2006/relationships/hyperlink" Target="https://fbref.com/en/players/d1e1a9b6/Saba-Mamatsashvili" TargetMode="External"/><Relationship Id="rId422" Type="http://schemas.openxmlformats.org/officeDocument/2006/relationships/hyperlink" Target="https://fbref.com/en/players/d33e3242/matchlogs/2024/summary/Ismaila-Cheick-Coulibaly-Match-Logs" TargetMode="External"/><Relationship Id="rId1253" Type="http://schemas.openxmlformats.org/officeDocument/2006/relationships/hyperlink" Target="https://fbref.com/en/country/GEO/Georgia-Football" TargetMode="External"/><Relationship Id="rId421" Type="http://schemas.openxmlformats.org/officeDocument/2006/relationships/hyperlink" Target="https://fbref.com/en/squads/b0333581/2024/AIK-Stockholm-Stats" TargetMode="External"/><Relationship Id="rId1254" Type="http://schemas.openxmlformats.org/officeDocument/2006/relationships/hyperlink" Target="https://fbref.com/en/squads/e9d60d0c/2024/Sirius-Stats" TargetMode="External"/><Relationship Id="rId420" Type="http://schemas.openxmlformats.org/officeDocument/2006/relationships/hyperlink" Target="https://fbref.com/en/country/MLI/Mali-Football" TargetMode="External"/><Relationship Id="rId1255" Type="http://schemas.openxmlformats.org/officeDocument/2006/relationships/hyperlink" Target="https://fbref.com/en/players/d1e1a9b6/matchlogs/2024/summary/Saba-Mamatsashvili-Match-Logs" TargetMode="External"/><Relationship Id="rId1256" Type="http://schemas.openxmlformats.org/officeDocument/2006/relationships/hyperlink" Target="https://fbref.com/en/players/0d8ca6b3/Abdoulie-Manneh" TargetMode="External"/><Relationship Id="rId1246" Type="http://schemas.openxmlformats.org/officeDocument/2006/relationships/hyperlink" Target="https://fbref.com/en/squads/f3d8c8b9/2024/Malmo-Stats" TargetMode="External"/><Relationship Id="rId1247" Type="http://schemas.openxmlformats.org/officeDocument/2006/relationships/hyperlink" Target="https://fbref.com/en/players/4ee36b23/matchlogs/2024/summary/Elison-Makolli-Match-Logs" TargetMode="External"/><Relationship Id="rId1248" Type="http://schemas.openxmlformats.org/officeDocument/2006/relationships/hyperlink" Target="https://fbref.com/en/players/68737f06/Tim-Malmstrom" TargetMode="External"/><Relationship Id="rId1249" Type="http://schemas.openxmlformats.org/officeDocument/2006/relationships/hyperlink" Target="https://fbref.com/en/country/SWE/Sweden-Football" TargetMode="External"/><Relationship Id="rId415" Type="http://schemas.openxmlformats.org/officeDocument/2006/relationships/hyperlink" Target="https://fbref.com/en/players/3043d33f/Bersant-Celina" TargetMode="External"/><Relationship Id="rId899" Type="http://schemas.openxmlformats.org/officeDocument/2006/relationships/hyperlink" Target="https://fbref.com/en/country/SWE/Sweden-Football" TargetMode="External"/><Relationship Id="rId414" Type="http://schemas.openxmlformats.org/officeDocument/2006/relationships/hyperlink" Target="https://fbref.com/en/players/5ab8d533/matchlogs/2024/summary/Mervan-Celik-Match-Logs" TargetMode="External"/><Relationship Id="rId898" Type="http://schemas.openxmlformats.org/officeDocument/2006/relationships/hyperlink" Target="https://fbref.com/en/players/af72b819/Camil-Jebara" TargetMode="External"/><Relationship Id="rId413" Type="http://schemas.openxmlformats.org/officeDocument/2006/relationships/hyperlink" Target="https://fbref.com/en/squads/7c2d1adb/2024/GAIS-Stats" TargetMode="External"/><Relationship Id="rId897" Type="http://schemas.openxmlformats.org/officeDocument/2006/relationships/hyperlink" Target="https://fbref.com/en/players/ab015921/matchlogs/2024/summary/Linus-Jareteg-Match-Logs" TargetMode="External"/><Relationship Id="rId412" Type="http://schemas.openxmlformats.org/officeDocument/2006/relationships/hyperlink" Target="https://fbref.com/en/country/SWE/Sweden-Football" TargetMode="External"/><Relationship Id="rId896" Type="http://schemas.openxmlformats.org/officeDocument/2006/relationships/hyperlink" Target="https://fbref.com/en/squads/b0333581/2024/AIK-Stockholm-Stats" TargetMode="External"/><Relationship Id="rId419" Type="http://schemas.openxmlformats.org/officeDocument/2006/relationships/hyperlink" Target="https://fbref.com/en/players/d33e3242/Ismaila-Cheick-Coulibaly" TargetMode="External"/><Relationship Id="rId418" Type="http://schemas.openxmlformats.org/officeDocument/2006/relationships/hyperlink" Target="https://fbref.com/en/players/3043d33f/matchlogs/2024/summary/Bersant-Celina-Match-Logs" TargetMode="External"/><Relationship Id="rId417" Type="http://schemas.openxmlformats.org/officeDocument/2006/relationships/hyperlink" Target="https://fbref.com/en/squads/b0333581/2024/AIK-Stockholm-Stats" TargetMode="External"/><Relationship Id="rId416" Type="http://schemas.openxmlformats.org/officeDocument/2006/relationships/hyperlink" Target="https://fbref.com/en/country/KVX/Kosovo-Football" TargetMode="External"/><Relationship Id="rId891" Type="http://schemas.openxmlformats.org/officeDocument/2006/relationships/hyperlink" Target="https://fbref.com/en/country/SWE/Sweden-Football" TargetMode="External"/><Relationship Id="rId890" Type="http://schemas.openxmlformats.org/officeDocument/2006/relationships/hyperlink" Target="https://fbref.com/en/players/9db24d24/Sigge-Jansson" TargetMode="External"/><Relationship Id="rId1240" Type="http://schemas.openxmlformats.org/officeDocument/2006/relationships/hyperlink" Target="https://fbref.com/en/players/7bdc5696/Jens-Magnusson" TargetMode="External"/><Relationship Id="rId1241" Type="http://schemas.openxmlformats.org/officeDocument/2006/relationships/hyperlink" Target="https://fbref.com/en/country/SWE/Sweden-Football" TargetMode="External"/><Relationship Id="rId411" Type="http://schemas.openxmlformats.org/officeDocument/2006/relationships/hyperlink" Target="https://fbref.com/en/players/5ab8d533/Mervan-Celik" TargetMode="External"/><Relationship Id="rId895" Type="http://schemas.openxmlformats.org/officeDocument/2006/relationships/hyperlink" Target="https://fbref.com/en/country/SWE/Sweden-Football" TargetMode="External"/><Relationship Id="rId1242" Type="http://schemas.openxmlformats.org/officeDocument/2006/relationships/hyperlink" Target="https://fbref.com/en/squads/a8481ab9/2024/Vasteras-Stats" TargetMode="External"/><Relationship Id="rId410" Type="http://schemas.openxmlformats.org/officeDocument/2006/relationships/hyperlink" Target="https://fbref.com/en/players/7dec0efa/matchlogs/2024/summary/David-Celic-Match-Logs" TargetMode="External"/><Relationship Id="rId894" Type="http://schemas.openxmlformats.org/officeDocument/2006/relationships/hyperlink" Target="https://fbref.com/en/players/ab015921/Linus-Jareteg" TargetMode="External"/><Relationship Id="rId1243" Type="http://schemas.openxmlformats.org/officeDocument/2006/relationships/hyperlink" Target="https://fbref.com/en/players/7bdc5696/matchlogs/2024/summary/Jens-Magnusson-Match-Logs" TargetMode="External"/><Relationship Id="rId893" Type="http://schemas.openxmlformats.org/officeDocument/2006/relationships/hyperlink" Target="https://fbref.com/en/players/9db24d24/matchlogs/2024/summary/Sigge-Jansson-Match-Logs" TargetMode="External"/><Relationship Id="rId1244" Type="http://schemas.openxmlformats.org/officeDocument/2006/relationships/hyperlink" Target="https://fbref.com/en/players/4ee36b23/Elison-Makolli" TargetMode="External"/><Relationship Id="rId892" Type="http://schemas.openxmlformats.org/officeDocument/2006/relationships/hyperlink" Target="https://fbref.com/en/squads/8774e267/2024/BK-Hacken-Stats" TargetMode="External"/><Relationship Id="rId1245" Type="http://schemas.openxmlformats.org/officeDocument/2006/relationships/hyperlink" Target="https://fbref.com/en/country/SWE/Sweden-Football" TargetMode="External"/><Relationship Id="rId1279" Type="http://schemas.openxmlformats.org/officeDocument/2006/relationships/hyperlink" Target="https://fbref.com/en/players/efd84678/matchlogs/2024/summary/Noel-Milleskog-Match-Logs" TargetMode="External"/><Relationship Id="rId448" Type="http://schemas.openxmlformats.org/officeDocument/2006/relationships/hyperlink" Target="https://fbref.com/en/country/SWE/Sweden-Football" TargetMode="External"/><Relationship Id="rId447" Type="http://schemas.openxmlformats.org/officeDocument/2006/relationships/hyperlink" Target="https://fbref.com/en/players/0b6360b0/Jack-Cooper-Love" TargetMode="External"/><Relationship Id="rId446" Type="http://schemas.openxmlformats.org/officeDocument/2006/relationships/hyperlink" Target="https://fbref.com/en/players/9b6a4927/matchlogs/2024/summary/Dennis-Collander-Match-Logs" TargetMode="External"/><Relationship Id="rId445" Type="http://schemas.openxmlformats.org/officeDocument/2006/relationships/hyperlink" Target="https://fbref.com/en/squads/92bfd7f0/2024/Hammarby-Stats" TargetMode="External"/><Relationship Id="rId449" Type="http://schemas.openxmlformats.org/officeDocument/2006/relationships/hyperlink" Target="https://fbref.com/en/squads/7c2d1adb/2024/GAIS-Stats" TargetMode="External"/><Relationship Id="rId1270" Type="http://schemas.openxmlformats.org/officeDocument/2006/relationships/hyperlink" Target="https://fbref.com/en/squads/bb9e11b2/2024/Brommapojkarna-Stats" TargetMode="External"/><Relationship Id="rId440" Type="http://schemas.openxmlformats.org/officeDocument/2006/relationships/hyperlink" Target="https://fbref.com/en/country/DEN/Denmark-Football" TargetMode="External"/><Relationship Id="rId1271" Type="http://schemas.openxmlformats.org/officeDocument/2006/relationships/hyperlink" Target="https://fbref.com/en/players/9d1aeaa6/matchlogs/2024/summary/Serge-Junior-Martinsson-Ngouali-Match-Logs" TargetMode="External"/><Relationship Id="rId1272" Type="http://schemas.openxmlformats.org/officeDocument/2006/relationships/hyperlink" Target="https://fbref.com/en/players/a8b5d05a/David-Mikhail" TargetMode="External"/><Relationship Id="rId1273" Type="http://schemas.openxmlformats.org/officeDocument/2006/relationships/hyperlink" Target="https://fbref.com/en/country/SWE/Sweden-Football" TargetMode="External"/><Relationship Id="rId1274" Type="http://schemas.openxmlformats.org/officeDocument/2006/relationships/hyperlink" Target="https://fbref.com/en/squads/d048ed60/2024/Varnamo-Stats" TargetMode="External"/><Relationship Id="rId444" Type="http://schemas.openxmlformats.org/officeDocument/2006/relationships/hyperlink" Target="https://fbref.com/en/country/SWE/Sweden-Football" TargetMode="External"/><Relationship Id="rId1275" Type="http://schemas.openxmlformats.org/officeDocument/2006/relationships/hyperlink" Target="https://fbref.com/en/players/a8b5d05a/matchlogs/2024/summary/David-Mikhail-Match-Logs" TargetMode="External"/><Relationship Id="rId443" Type="http://schemas.openxmlformats.org/officeDocument/2006/relationships/hyperlink" Target="https://fbref.com/en/players/9b6a4927/Dennis-Collander" TargetMode="External"/><Relationship Id="rId1276" Type="http://schemas.openxmlformats.org/officeDocument/2006/relationships/hyperlink" Target="https://fbref.com/en/players/efd84678/Noel-Milleskog" TargetMode="External"/><Relationship Id="rId442" Type="http://schemas.openxmlformats.org/officeDocument/2006/relationships/hyperlink" Target="https://fbref.com/en/players/a926faf3/matchlogs/2024/summary/Sebastian-Clemmensen-Match-Logs" TargetMode="External"/><Relationship Id="rId1277" Type="http://schemas.openxmlformats.org/officeDocument/2006/relationships/hyperlink" Target="https://fbref.com/en/country/SWE/Sweden-Football" TargetMode="External"/><Relationship Id="rId441" Type="http://schemas.openxmlformats.org/officeDocument/2006/relationships/hyperlink" Target="https://fbref.com/en/squads/92bfd7f0/2024/Hammarby-Stats" TargetMode="External"/><Relationship Id="rId1278" Type="http://schemas.openxmlformats.org/officeDocument/2006/relationships/hyperlink" Target="https://fbref.com/en/squads/e9d60d0c/2024/Sirius-Stats" TargetMode="External"/><Relationship Id="rId1268" Type="http://schemas.openxmlformats.org/officeDocument/2006/relationships/hyperlink" Target="https://fbref.com/en/players/9d1aeaa6/Serge-Junior-Martinsson-Ngouali" TargetMode="External"/><Relationship Id="rId1269" Type="http://schemas.openxmlformats.org/officeDocument/2006/relationships/hyperlink" Target="https://fbref.com/en/country/GAB/Gabon-Football" TargetMode="External"/><Relationship Id="rId437" Type="http://schemas.openxmlformats.org/officeDocument/2006/relationships/hyperlink" Target="https://fbref.com/en/squads/f3d8c8b9/2024/Malmo-Stats" TargetMode="External"/><Relationship Id="rId436" Type="http://schemas.openxmlformats.org/officeDocument/2006/relationships/hyperlink" Target="https://fbref.com/en/country/DEN/Denmark-Football" TargetMode="External"/><Relationship Id="rId435" Type="http://schemas.openxmlformats.org/officeDocument/2006/relationships/hyperlink" Target="https://fbref.com/en/players/770ebf00/Anders-Christiansen" TargetMode="External"/><Relationship Id="rId434" Type="http://schemas.openxmlformats.org/officeDocument/2006/relationships/hyperlink" Target="https://fbref.com/en/players/a112ab29/matchlogs/2024/summary/Frederik-Christensen-Match-Logs" TargetMode="External"/><Relationship Id="rId439" Type="http://schemas.openxmlformats.org/officeDocument/2006/relationships/hyperlink" Target="https://fbref.com/en/players/a926faf3/Sebastian-Clemmensen" TargetMode="External"/><Relationship Id="rId438" Type="http://schemas.openxmlformats.org/officeDocument/2006/relationships/hyperlink" Target="https://fbref.com/en/players/770ebf00/matchlogs/2024/summary/Anders-Christiansen-Match-Logs" TargetMode="External"/><Relationship Id="rId1260" Type="http://schemas.openxmlformats.org/officeDocument/2006/relationships/hyperlink" Target="https://fbref.com/en/players/01802cf6/Mikael-Marques" TargetMode="External"/><Relationship Id="rId1261" Type="http://schemas.openxmlformats.org/officeDocument/2006/relationships/hyperlink" Target="https://fbref.com/en/country/SWE/Sweden-Football" TargetMode="External"/><Relationship Id="rId1262" Type="http://schemas.openxmlformats.org/officeDocument/2006/relationships/hyperlink" Target="https://fbref.com/en/squads/a8481ab9/2024/Vasteras-Stats" TargetMode="External"/><Relationship Id="rId1263" Type="http://schemas.openxmlformats.org/officeDocument/2006/relationships/hyperlink" Target="https://fbref.com/en/players/01802cf6/matchlogs/2024/summary/Mikael-Marques-Match-Logs" TargetMode="External"/><Relationship Id="rId433" Type="http://schemas.openxmlformats.org/officeDocument/2006/relationships/hyperlink" Target="https://fbref.com/en/squads/bb9e11b2/2024/Brommapojkarna-Stats" TargetMode="External"/><Relationship Id="rId1264" Type="http://schemas.openxmlformats.org/officeDocument/2006/relationships/hyperlink" Target="https://fbref.com/en/players/e69be56a/Michael-Martin" TargetMode="External"/><Relationship Id="rId432" Type="http://schemas.openxmlformats.org/officeDocument/2006/relationships/hyperlink" Target="https://fbref.com/en/country/DEN/Denmark-Football" TargetMode="External"/><Relationship Id="rId1265" Type="http://schemas.openxmlformats.org/officeDocument/2006/relationships/hyperlink" Target="https://fbref.com/en/country/GER/Germany-Football" TargetMode="External"/><Relationship Id="rId431" Type="http://schemas.openxmlformats.org/officeDocument/2006/relationships/hyperlink" Target="https://fbref.com/en/players/a112ab29/Frederik-Christensen" TargetMode="External"/><Relationship Id="rId1266" Type="http://schemas.openxmlformats.org/officeDocument/2006/relationships/hyperlink" Target="https://fbref.com/en/squads/e9d60d0c/2024/Sirius-Stats" TargetMode="External"/><Relationship Id="rId430" Type="http://schemas.openxmlformats.org/officeDocument/2006/relationships/hyperlink" Target="https://fbref.com/en/players/b7b27de0/matchlogs/2024/summary/Edward-Chilufya-Match-Logs" TargetMode="External"/><Relationship Id="rId1267" Type="http://schemas.openxmlformats.org/officeDocument/2006/relationships/hyperlink" Target="https://fbref.com/en/players/e69be56a/matchlogs/2024/summary/Michael-Martin-Match-Lo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5" t="str">
        <f>+/-</f>
        <v>#ERROR!</v>
      </c>
      <c r="W1" s="5" t="str">
        <f>+/-90</f>
        <v>#ERROR!</v>
      </c>
      <c r="X1" s="3" t="s">
        <v>21</v>
      </c>
      <c r="Y1" s="4" t="s">
        <v>22</v>
      </c>
    </row>
    <row r="2">
      <c r="A2" s="6">
        <v>1.0</v>
      </c>
      <c r="B2" s="7" t="s">
        <v>23</v>
      </c>
      <c r="C2" s="8" t="s">
        <v>24</v>
      </c>
      <c r="D2" s="9" t="s">
        <v>25</v>
      </c>
      <c r="E2" s="7" t="s">
        <v>26</v>
      </c>
      <c r="F2" s="9">
        <v>25.0</v>
      </c>
      <c r="G2" s="9">
        <v>1998.0</v>
      </c>
      <c r="H2" s="10">
        <v>28.0</v>
      </c>
      <c r="I2" s="11">
        <v>1.478</v>
      </c>
      <c r="J2" s="11">
        <v>53.0</v>
      </c>
      <c r="K2" s="11" t="s">
        <v>27</v>
      </c>
      <c r="L2" s="11" t="s">
        <v>28</v>
      </c>
      <c r="M2" s="10">
        <v>13.0</v>
      </c>
      <c r="N2" s="11">
        <v>80.0</v>
      </c>
      <c r="O2" s="11">
        <v>5.0</v>
      </c>
      <c r="P2" s="10">
        <v>15.0</v>
      </c>
      <c r="Q2" s="11">
        <v>29.0</v>
      </c>
      <c r="R2" s="12">
        <v>0.0</v>
      </c>
      <c r="S2" s="13">
        <v>0.09583333333333334</v>
      </c>
      <c r="T2" s="11">
        <v>34.0</v>
      </c>
      <c r="U2" s="11">
        <v>13.0</v>
      </c>
      <c r="V2" s="14">
        <f>+21</f>
        <v>21</v>
      </c>
      <c r="W2" s="14" t="str">
        <f>+1.28</f>
        <v>#ERROR!</v>
      </c>
      <c r="X2" s="15">
        <v>-0.01875</v>
      </c>
      <c r="Y2" s="16" t="s">
        <v>29</v>
      </c>
    </row>
    <row r="3">
      <c r="A3" s="6">
        <v>2.0</v>
      </c>
      <c r="B3" s="7" t="s">
        <v>30</v>
      </c>
      <c r="C3" s="8" t="s">
        <v>31</v>
      </c>
      <c r="D3" s="9" t="s">
        <v>32</v>
      </c>
      <c r="E3" s="7" t="s">
        <v>33</v>
      </c>
      <c r="F3" s="9">
        <v>24.0</v>
      </c>
      <c r="G3" s="9">
        <v>1999.0</v>
      </c>
      <c r="H3" s="10">
        <v>13.0</v>
      </c>
      <c r="I3" s="11">
        <v>635.0</v>
      </c>
      <c r="J3" s="11">
        <v>49.0</v>
      </c>
      <c r="K3" s="11" t="s">
        <v>34</v>
      </c>
      <c r="L3" s="11" t="s">
        <v>35</v>
      </c>
      <c r="M3" s="10">
        <v>7.0</v>
      </c>
      <c r="N3" s="11">
        <v>72.0</v>
      </c>
      <c r="O3" s="11">
        <v>1.0</v>
      </c>
      <c r="P3" s="10">
        <v>6.0</v>
      </c>
      <c r="Q3" s="11">
        <v>22.0</v>
      </c>
      <c r="R3" s="11">
        <v>3.0</v>
      </c>
      <c r="S3" s="13">
        <v>0.03194444444444444</v>
      </c>
      <c r="T3" s="11">
        <v>4.0</v>
      </c>
      <c r="U3" s="11">
        <v>9.0</v>
      </c>
      <c r="V3" s="17">
        <v>-5.0</v>
      </c>
      <c r="W3" s="15">
        <v>-0.049305555555555554</v>
      </c>
      <c r="X3" s="15">
        <v>-0.013194444444444444</v>
      </c>
      <c r="Y3" s="16" t="s">
        <v>36</v>
      </c>
    </row>
    <row r="4">
      <c r="A4" s="6">
        <v>3.0</v>
      </c>
      <c r="B4" s="7" t="s">
        <v>37</v>
      </c>
      <c r="C4" s="8" t="s">
        <v>38</v>
      </c>
      <c r="D4" s="9" t="s">
        <v>32</v>
      </c>
      <c r="E4" s="7" t="s">
        <v>39</v>
      </c>
      <c r="F4" s="9">
        <v>19.0</v>
      </c>
      <c r="G4" s="9">
        <v>2005.0</v>
      </c>
      <c r="H4" s="10">
        <v>24.0</v>
      </c>
      <c r="I4" s="11">
        <v>1.279</v>
      </c>
      <c r="J4" s="11">
        <v>53.0</v>
      </c>
      <c r="K4" s="11" t="s">
        <v>40</v>
      </c>
      <c r="L4" s="11" t="s">
        <v>41</v>
      </c>
      <c r="M4" s="10">
        <v>13.0</v>
      </c>
      <c r="N4" s="11">
        <v>71.0</v>
      </c>
      <c r="O4" s="11">
        <v>4.0</v>
      </c>
      <c r="P4" s="10">
        <v>11.0</v>
      </c>
      <c r="Q4" s="11">
        <v>32.0</v>
      </c>
      <c r="R4" s="11">
        <v>1.0</v>
      </c>
      <c r="S4" s="13">
        <v>0.08194444444444444</v>
      </c>
      <c r="T4" s="11">
        <v>26.0</v>
      </c>
      <c r="U4" s="11">
        <v>24.0</v>
      </c>
      <c r="V4" s="14">
        <f>+2</f>
        <v>2</v>
      </c>
      <c r="W4" s="14" t="str">
        <f>+0.14</f>
        <v>#ERROR!</v>
      </c>
      <c r="X4" s="15">
        <v>-0.016666666666666666</v>
      </c>
      <c r="Y4" s="16" t="s">
        <v>42</v>
      </c>
    </row>
    <row r="5">
      <c r="A5" s="6">
        <v>4.0</v>
      </c>
      <c r="B5" s="7" t="s">
        <v>43</v>
      </c>
      <c r="C5" s="8" t="s">
        <v>44</v>
      </c>
      <c r="D5" s="9" t="s">
        <v>45</v>
      </c>
      <c r="E5" s="7" t="s">
        <v>46</v>
      </c>
      <c r="F5" s="9">
        <v>27.0</v>
      </c>
      <c r="G5" s="9">
        <v>1996.0</v>
      </c>
      <c r="H5" s="10">
        <v>2.0</v>
      </c>
      <c r="I5" s="11">
        <v>15.0</v>
      </c>
      <c r="J5" s="11">
        <v>8.0</v>
      </c>
      <c r="K5" s="11" t="s">
        <v>47</v>
      </c>
      <c r="L5" s="11" t="s">
        <v>48</v>
      </c>
      <c r="M5" s="18">
        <v>0.0</v>
      </c>
      <c r="N5" s="19"/>
      <c r="O5" s="12">
        <v>0.0</v>
      </c>
      <c r="P5" s="10">
        <v>2.0</v>
      </c>
      <c r="Q5" s="11">
        <v>8.0</v>
      </c>
      <c r="R5" s="11">
        <v>3.0</v>
      </c>
      <c r="S5" s="20">
        <v>0.0</v>
      </c>
      <c r="T5" s="11">
        <v>1.0</v>
      </c>
      <c r="U5" s="11">
        <v>1.0</v>
      </c>
      <c r="V5" s="12">
        <v>0.0</v>
      </c>
      <c r="W5" s="21">
        <v>0.0</v>
      </c>
      <c r="X5" s="14" t="str">
        <f>+0.34</f>
        <v>#ERROR!</v>
      </c>
      <c r="Y5" s="16" t="s">
        <v>49</v>
      </c>
    </row>
    <row r="6">
      <c r="A6" s="6">
        <v>5.0</v>
      </c>
      <c r="B6" s="7" t="s">
        <v>50</v>
      </c>
      <c r="C6" s="8" t="s">
        <v>51</v>
      </c>
      <c r="D6" s="9" t="s">
        <v>52</v>
      </c>
      <c r="E6" s="7" t="s">
        <v>53</v>
      </c>
      <c r="F6" s="9">
        <v>25.0</v>
      </c>
      <c r="G6" s="9">
        <v>1998.0</v>
      </c>
      <c r="H6" s="10">
        <v>23.0</v>
      </c>
      <c r="I6" s="11">
        <v>1.49</v>
      </c>
      <c r="J6" s="11">
        <v>65.0</v>
      </c>
      <c r="K6" s="11" t="s">
        <v>54</v>
      </c>
      <c r="L6" s="11" t="s">
        <v>55</v>
      </c>
      <c r="M6" s="10">
        <v>20.0</v>
      </c>
      <c r="N6" s="11">
        <v>72.0</v>
      </c>
      <c r="O6" s="11">
        <v>1.0</v>
      </c>
      <c r="P6" s="10">
        <v>3.0</v>
      </c>
      <c r="Q6" s="11">
        <v>19.0</v>
      </c>
      <c r="R6" s="11">
        <v>3.0</v>
      </c>
      <c r="S6" s="13">
        <v>0.08125</v>
      </c>
      <c r="T6" s="11">
        <v>18.0</v>
      </c>
      <c r="U6" s="11">
        <v>17.0</v>
      </c>
      <c r="V6" s="14">
        <f>+1</f>
        <v>1</v>
      </c>
      <c r="W6" s="14" t="str">
        <f>+0.06</f>
        <v>#ERROR!</v>
      </c>
      <c r="X6" s="15">
        <v>-6.944444444444445E-4</v>
      </c>
      <c r="Y6" s="16" t="s">
        <v>56</v>
      </c>
    </row>
    <row r="7">
      <c r="A7" s="6">
        <v>6.0</v>
      </c>
      <c r="B7" s="7" t="s">
        <v>57</v>
      </c>
      <c r="C7" s="8" t="s">
        <v>58</v>
      </c>
      <c r="D7" s="9" t="s">
        <v>59</v>
      </c>
      <c r="E7" s="7" t="s">
        <v>60</v>
      </c>
      <c r="F7" s="9">
        <v>21.0</v>
      </c>
      <c r="G7" s="9">
        <v>2002.0</v>
      </c>
      <c r="H7" s="10">
        <v>22.0</v>
      </c>
      <c r="I7" s="11">
        <v>1.658</v>
      </c>
      <c r="J7" s="11">
        <v>75.0</v>
      </c>
      <c r="K7" s="11" t="s">
        <v>61</v>
      </c>
      <c r="L7" s="11" t="s">
        <v>62</v>
      </c>
      <c r="M7" s="10">
        <v>19.0</v>
      </c>
      <c r="N7" s="11">
        <v>83.0</v>
      </c>
      <c r="O7" s="11">
        <v>9.0</v>
      </c>
      <c r="P7" s="10">
        <v>3.0</v>
      </c>
      <c r="Q7" s="11">
        <v>26.0</v>
      </c>
      <c r="R7" s="12">
        <v>0.0</v>
      </c>
      <c r="S7" s="13">
        <v>0.04513888888888889</v>
      </c>
      <c r="T7" s="11">
        <v>19.0</v>
      </c>
      <c r="U7" s="11">
        <v>27.0</v>
      </c>
      <c r="V7" s="17">
        <v>-8.0</v>
      </c>
      <c r="W7" s="15">
        <v>-0.029861111111111113</v>
      </c>
      <c r="X7" s="15">
        <v>-0.018055555555555554</v>
      </c>
      <c r="Y7" s="16" t="s">
        <v>63</v>
      </c>
    </row>
    <row r="8">
      <c r="A8" s="6">
        <v>7.0</v>
      </c>
      <c r="B8" s="7" t="s">
        <v>64</v>
      </c>
      <c r="C8" s="8" t="s">
        <v>65</v>
      </c>
      <c r="D8" s="9" t="s">
        <v>66</v>
      </c>
      <c r="E8" s="7" t="s">
        <v>67</v>
      </c>
      <c r="F8" s="9">
        <v>24.0</v>
      </c>
      <c r="G8" s="9">
        <v>1999.0</v>
      </c>
      <c r="H8" s="10">
        <v>29.0</v>
      </c>
      <c r="I8" s="11">
        <v>2.232</v>
      </c>
      <c r="J8" s="11">
        <v>77.0</v>
      </c>
      <c r="K8" s="11" t="s">
        <v>68</v>
      </c>
      <c r="L8" s="11" t="s">
        <v>69</v>
      </c>
      <c r="M8" s="10">
        <v>25.0</v>
      </c>
      <c r="N8" s="11">
        <v>85.0</v>
      </c>
      <c r="O8" s="11">
        <v>17.0</v>
      </c>
      <c r="P8" s="10">
        <v>4.0</v>
      </c>
      <c r="Q8" s="11">
        <v>30.0</v>
      </c>
      <c r="R8" s="12">
        <v>0.0</v>
      </c>
      <c r="S8" s="13">
        <v>0.04652777777777778</v>
      </c>
      <c r="T8" s="11">
        <v>36.0</v>
      </c>
      <c r="U8" s="11">
        <v>43.0</v>
      </c>
      <c r="V8" s="17">
        <v>-7.0</v>
      </c>
      <c r="W8" s="15">
        <v>-0.019444444444444445</v>
      </c>
      <c r="X8" s="15">
        <v>-0.019444444444444445</v>
      </c>
      <c r="Y8" s="16" t="s">
        <v>70</v>
      </c>
    </row>
    <row r="9">
      <c r="A9" s="6">
        <v>8.0</v>
      </c>
      <c r="B9" s="7" t="s">
        <v>71</v>
      </c>
      <c r="C9" s="8" t="s">
        <v>72</v>
      </c>
      <c r="D9" s="9" t="s">
        <v>73</v>
      </c>
      <c r="E9" s="7" t="s">
        <v>74</v>
      </c>
      <c r="F9" s="9">
        <v>35.0</v>
      </c>
      <c r="G9" s="9">
        <v>1988.0</v>
      </c>
      <c r="H9" s="10">
        <v>12.0</v>
      </c>
      <c r="I9" s="11">
        <v>1.08</v>
      </c>
      <c r="J9" s="11">
        <v>90.0</v>
      </c>
      <c r="K9" s="11" t="s">
        <v>75</v>
      </c>
      <c r="L9" s="11" t="s">
        <v>76</v>
      </c>
      <c r="M9" s="10">
        <v>12.0</v>
      </c>
      <c r="N9" s="11">
        <v>90.0</v>
      </c>
      <c r="O9" s="11">
        <v>12.0</v>
      </c>
      <c r="P9" s="18">
        <v>0.0</v>
      </c>
      <c r="Q9" s="19"/>
      <c r="R9" s="11">
        <v>18.0</v>
      </c>
      <c r="S9" s="13">
        <v>0.059027777777777776</v>
      </c>
      <c r="T9" s="11">
        <v>19.0</v>
      </c>
      <c r="U9" s="11">
        <v>20.0</v>
      </c>
      <c r="V9" s="17">
        <v>-1.0</v>
      </c>
      <c r="W9" s="15">
        <v>-0.005555555555555556</v>
      </c>
      <c r="X9" s="15">
        <v>-0.021527777777777778</v>
      </c>
      <c r="Y9" s="16" t="s">
        <v>77</v>
      </c>
    </row>
    <row r="10">
      <c r="A10" s="6">
        <v>9.0</v>
      </c>
      <c r="B10" s="7" t="s">
        <v>78</v>
      </c>
      <c r="C10" s="8" t="s">
        <v>79</v>
      </c>
      <c r="D10" s="9" t="s">
        <v>59</v>
      </c>
      <c r="E10" s="7" t="s">
        <v>80</v>
      </c>
      <c r="F10" s="9">
        <v>19.0</v>
      </c>
      <c r="G10" s="9">
        <v>2004.0</v>
      </c>
      <c r="H10" s="10">
        <v>27.0</v>
      </c>
      <c r="I10" s="11">
        <v>1.697</v>
      </c>
      <c r="J10" s="11">
        <v>63.0</v>
      </c>
      <c r="K10" s="11" t="s">
        <v>81</v>
      </c>
      <c r="L10" s="11" t="s">
        <v>82</v>
      </c>
      <c r="M10" s="10">
        <v>22.0</v>
      </c>
      <c r="N10" s="11">
        <v>73.0</v>
      </c>
      <c r="O10" s="11">
        <v>7.0</v>
      </c>
      <c r="P10" s="10">
        <v>5.0</v>
      </c>
      <c r="Q10" s="11">
        <v>18.0</v>
      </c>
      <c r="R10" s="11">
        <v>1.0</v>
      </c>
      <c r="S10" s="13">
        <v>0.041666666666666664</v>
      </c>
      <c r="T10" s="11">
        <v>17.0</v>
      </c>
      <c r="U10" s="11">
        <v>25.0</v>
      </c>
      <c r="V10" s="17">
        <v>-8.0</v>
      </c>
      <c r="W10" s="15">
        <v>-0.029166666666666667</v>
      </c>
      <c r="X10" s="15">
        <v>-0.016666666666666666</v>
      </c>
      <c r="Y10" s="16" t="s">
        <v>83</v>
      </c>
    </row>
    <row r="11">
      <c r="A11" s="6">
        <v>10.0</v>
      </c>
      <c r="B11" s="7" t="s">
        <v>84</v>
      </c>
      <c r="C11" s="8" t="s">
        <v>85</v>
      </c>
      <c r="D11" s="9" t="s">
        <v>45</v>
      </c>
      <c r="E11" s="7" t="s">
        <v>86</v>
      </c>
      <c r="F11" s="9">
        <v>18.0</v>
      </c>
      <c r="G11" s="9">
        <v>2005.0</v>
      </c>
      <c r="H11" s="10">
        <v>13.0</v>
      </c>
      <c r="I11" s="11">
        <v>1.062</v>
      </c>
      <c r="J11" s="11">
        <v>82.0</v>
      </c>
      <c r="K11" s="11" t="s">
        <v>87</v>
      </c>
      <c r="L11" s="11" t="s">
        <v>88</v>
      </c>
      <c r="M11" s="10">
        <v>13.0</v>
      </c>
      <c r="N11" s="11">
        <v>82.0</v>
      </c>
      <c r="O11" s="11">
        <v>6.0</v>
      </c>
      <c r="P11" s="18">
        <v>0.0</v>
      </c>
      <c r="Q11" s="19"/>
      <c r="R11" s="11">
        <v>3.0</v>
      </c>
      <c r="S11" s="13">
        <v>0.05763888888888889</v>
      </c>
      <c r="T11" s="11">
        <v>19.0</v>
      </c>
      <c r="U11" s="11">
        <v>17.0</v>
      </c>
      <c r="V11" s="14">
        <f>+2</f>
        <v>2</v>
      </c>
      <c r="W11" s="14" t="str">
        <f>+0.17</f>
        <v>#ERROR!</v>
      </c>
      <c r="X11" s="14" t="str">
        <f>+0.11</f>
        <v>#ERROR!</v>
      </c>
      <c r="Y11" s="16" t="s">
        <v>89</v>
      </c>
    </row>
    <row r="12">
      <c r="A12" s="6">
        <v>11.0</v>
      </c>
      <c r="B12" s="7" t="s">
        <v>90</v>
      </c>
      <c r="C12" s="8" t="s">
        <v>91</v>
      </c>
      <c r="D12" s="9" t="s">
        <v>32</v>
      </c>
      <c r="E12" s="7" t="s">
        <v>92</v>
      </c>
      <c r="F12" s="9">
        <v>20.0</v>
      </c>
      <c r="G12" s="9">
        <v>2003.0</v>
      </c>
      <c r="H12" s="10">
        <v>11.0</v>
      </c>
      <c r="I12" s="11">
        <v>729.0</v>
      </c>
      <c r="J12" s="11">
        <v>66.0</v>
      </c>
      <c r="K12" s="11" t="s">
        <v>93</v>
      </c>
      <c r="L12" s="11" t="s">
        <v>94</v>
      </c>
      <c r="M12" s="10">
        <v>9.0</v>
      </c>
      <c r="N12" s="11">
        <v>73.0</v>
      </c>
      <c r="O12" s="11">
        <v>1.0</v>
      </c>
      <c r="P12" s="10">
        <v>2.0</v>
      </c>
      <c r="Q12" s="11">
        <v>36.0</v>
      </c>
      <c r="R12" s="12">
        <v>0.0</v>
      </c>
      <c r="S12" s="13">
        <v>0.04791666666666667</v>
      </c>
      <c r="T12" s="11">
        <v>8.0</v>
      </c>
      <c r="U12" s="11">
        <v>12.0</v>
      </c>
      <c r="V12" s="17">
        <v>-4.0</v>
      </c>
      <c r="W12" s="15">
        <v>-0.034027777777777775</v>
      </c>
      <c r="X12" s="14" t="str">
        <f>+0.15</f>
        <v>#ERROR!</v>
      </c>
      <c r="Y12" s="16" t="s">
        <v>95</v>
      </c>
    </row>
    <row r="13">
      <c r="A13" s="6">
        <v>12.0</v>
      </c>
      <c r="B13" s="7" t="s">
        <v>96</v>
      </c>
      <c r="C13" s="8" t="s">
        <v>97</v>
      </c>
      <c r="D13" s="9" t="s">
        <v>32</v>
      </c>
      <c r="E13" s="7" t="s">
        <v>98</v>
      </c>
      <c r="F13" s="9">
        <v>24.0</v>
      </c>
      <c r="G13" s="9">
        <v>1999.0</v>
      </c>
      <c r="H13" s="10">
        <v>29.0</v>
      </c>
      <c r="I13" s="11">
        <v>1.901</v>
      </c>
      <c r="J13" s="11">
        <v>66.0</v>
      </c>
      <c r="K13" s="11" t="s">
        <v>99</v>
      </c>
      <c r="L13" s="11" t="s">
        <v>100</v>
      </c>
      <c r="M13" s="10">
        <v>21.0</v>
      </c>
      <c r="N13" s="11">
        <v>80.0</v>
      </c>
      <c r="O13" s="11">
        <v>7.0</v>
      </c>
      <c r="P13" s="10">
        <v>8.0</v>
      </c>
      <c r="Q13" s="11">
        <v>28.0</v>
      </c>
      <c r="R13" s="12">
        <v>0.0</v>
      </c>
      <c r="S13" s="13">
        <v>0.0875</v>
      </c>
      <c r="T13" s="11">
        <v>25.0</v>
      </c>
      <c r="U13" s="11">
        <v>26.0</v>
      </c>
      <c r="V13" s="17">
        <v>-1.0</v>
      </c>
      <c r="W13" s="15">
        <v>-0.003472222222222222</v>
      </c>
      <c r="X13" s="15">
        <v>-0.027083333333333334</v>
      </c>
      <c r="Y13" s="16" t="s">
        <v>101</v>
      </c>
    </row>
    <row r="14">
      <c r="A14" s="6">
        <v>13.0</v>
      </c>
      <c r="B14" s="7" t="s">
        <v>102</v>
      </c>
      <c r="C14" s="8" t="s">
        <v>103</v>
      </c>
      <c r="D14" s="9" t="s">
        <v>45</v>
      </c>
      <c r="E14" s="7" t="s">
        <v>104</v>
      </c>
      <c r="F14" s="9">
        <v>24.0</v>
      </c>
      <c r="G14" s="9">
        <v>1999.0</v>
      </c>
      <c r="H14" s="10">
        <v>26.0</v>
      </c>
      <c r="I14" s="11">
        <v>1.31</v>
      </c>
      <c r="J14" s="11">
        <v>50.0</v>
      </c>
      <c r="K14" s="11" t="s">
        <v>105</v>
      </c>
      <c r="L14" s="11" t="s">
        <v>106</v>
      </c>
      <c r="M14" s="10">
        <v>17.0</v>
      </c>
      <c r="N14" s="11">
        <v>66.0</v>
      </c>
      <c r="O14" s="12">
        <v>0.0</v>
      </c>
      <c r="P14" s="10">
        <v>9.0</v>
      </c>
      <c r="Q14" s="11">
        <v>22.0</v>
      </c>
      <c r="R14" s="11">
        <v>3.0</v>
      </c>
      <c r="S14" s="13">
        <v>0.059027777777777776</v>
      </c>
      <c r="T14" s="11">
        <v>12.0</v>
      </c>
      <c r="U14" s="11">
        <v>24.0</v>
      </c>
      <c r="V14" s="17">
        <v>-12.0</v>
      </c>
      <c r="W14" s="15">
        <v>-0.05694444444444444</v>
      </c>
      <c r="X14" s="15">
        <v>-0.034722222222222224</v>
      </c>
      <c r="Y14" s="16" t="s">
        <v>107</v>
      </c>
    </row>
    <row r="15">
      <c r="A15" s="6">
        <v>14.0</v>
      </c>
      <c r="B15" s="7" t="s">
        <v>108</v>
      </c>
      <c r="C15" s="8" t="s">
        <v>109</v>
      </c>
      <c r="D15" s="9" t="s">
        <v>52</v>
      </c>
      <c r="E15" s="7" t="s">
        <v>110</v>
      </c>
      <c r="F15" s="9">
        <v>19.0</v>
      </c>
      <c r="G15" s="9">
        <v>2004.0</v>
      </c>
      <c r="H15" s="10">
        <v>13.0</v>
      </c>
      <c r="I15" s="11">
        <v>304.0</v>
      </c>
      <c r="J15" s="11">
        <v>23.0</v>
      </c>
      <c r="K15" s="11" t="s">
        <v>111</v>
      </c>
      <c r="L15" s="11" t="s">
        <v>112</v>
      </c>
      <c r="M15" s="10">
        <v>2.0</v>
      </c>
      <c r="N15" s="11">
        <v>60.0</v>
      </c>
      <c r="O15" s="12">
        <v>0.0</v>
      </c>
      <c r="P15" s="10">
        <v>11.0</v>
      </c>
      <c r="Q15" s="11">
        <v>17.0</v>
      </c>
      <c r="R15" s="11">
        <v>12.0</v>
      </c>
      <c r="S15" s="13">
        <v>0.04791666666666667</v>
      </c>
      <c r="T15" s="11">
        <v>3.0</v>
      </c>
      <c r="U15" s="11">
        <v>6.0</v>
      </c>
      <c r="V15" s="17">
        <v>-3.0</v>
      </c>
      <c r="W15" s="15">
        <v>-0.06180555555555556</v>
      </c>
      <c r="X15" s="15">
        <v>-0.022222222222222223</v>
      </c>
      <c r="Y15" s="16" t="s">
        <v>113</v>
      </c>
    </row>
    <row r="16">
      <c r="A16" s="6">
        <v>15.0</v>
      </c>
      <c r="B16" s="7" t="s">
        <v>114</v>
      </c>
      <c r="C16" s="8" t="s">
        <v>115</v>
      </c>
      <c r="D16" s="9" t="s">
        <v>52</v>
      </c>
      <c r="E16" s="7" t="s">
        <v>116</v>
      </c>
      <c r="F16" s="9">
        <v>22.0</v>
      </c>
      <c r="G16" s="9">
        <v>2002.0</v>
      </c>
      <c r="H16" s="10">
        <v>3.0</v>
      </c>
      <c r="I16" s="11">
        <v>106.0</v>
      </c>
      <c r="J16" s="11">
        <v>35.0</v>
      </c>
      <c r="K16" s="11" t="s">
        <v>117</v>
      </c>
      <c r="L16" s="11" t="s">
        <v>118</v>
      </c>
      <c r="M16" s="10">
        <v>2.0</v>
      </c>
      <c r="N16" s="11">
        <v>42.0</v>
      </c>
      <c r="O16" s="12">
        <v>0.0</v>
      </c>
      <c r="P16" s="10">
        <v>1.0</v>
      </c>
      <c r="Q16" s="11">
        <v>22.0</v>
      </c>
      <c r="R16" s="11">
        <v>1.0</v>
      </c>
      <c r="S16" s="13">
        <v>0.08819444444444445</v>
      </c>
      <c r="T16" s="11">
        <v>2.0</v>
      </c>
      <c r="U16" s="11">
        <v>2.0</v>
      </c>
      <c r="V16" s="12">
        <v>0.0</v>
      </c>
      <c r="W16" s="21">
        <v>0.0</v>
      </c>
      <c r="X16" s="15">
        <v>-0.011805555555555555</v>
      </c>
      <c r="Y16" s="16" t="s">
        <v>119</v>
      </c>
    </row>
    <row r="17">
      <c r="A17" s="6">
        <v>16.0</v>
      </c>
      <c r="B17" s="7" t="s">
        <v>120</v>
      </c>
      <c r="C17" s="8" t="s">
        <v>121</v>
      </c>
      <c r="D17" s="9" t="s">
        <v>52</v>
      </c>
      <c r="E17" s="7" t="s">
        <v>122</v>
      </c>
      <c r="F17" s="9">
        <v>31.0</v>
      </c>
      <c r="G17" s="9">
        <v>1992.0</v>
      </c>
      <c r="H17" s="10">
        <v>28.0</v>
      </c>
      <c r="I17" s="11">
        <v>1.529</v>
      </c>
      <c r="J17" s="11">
        <v>55.0</v>
      </c>
      <c r="K17" s="11" t="s">
        <v>123</v>
      </c>
      <c r="L17" s="11" t="s">
        <v>124</v>
      </c>
      <c r="M17" s="10">
        <v>17.0</v>
      </c>
      <c r="N17" s="11">
        <v>79.0</v>
      </c>
      <c r="O17" s="11">
        <v>10.0</v>
      </c>
      <c r="P17" s="10">
        <v>11.0</v>
      </c>
      <c r="Q17" s="11">
        <v>17.0</v>
      </c>
      <c r="R17" s="11">
        <v>1.0</v>
      </c>
      <c r="S17" s="13">
        <v>0.05416666666666667</v>
      </c>
      <c r="T17" s="11">
        <v>20.0</v>
      </c>
      <c r="U17" s="11">
        <v>28.0</v>
      </c>
      <c r="V17" s="17">
        <v>-8.0</v>
      </c>
      <c r="W17" s="15">
        <v>-0.03263888888888889</v>
      </c>
      <c r="X17" s="14" t="str">
        <f>+0.30</f>
        <v>#ERROR!</v>
      </c>
      <c r="Y17" s="16" t="s">
        <v>125</v>
      </c>
    </row>
    <row r="18">
      <c r="A18" s="6">
        <v>17.0</v>
      </c>
      <c r="B18" s="7" t="s">
        <v>126</v>
      </c>
      <c r="C18" s="8" t="s">
        <v>127</v>
      </c>
      <c r="D18" s="9" t="s">
        <v>52</v>
      </c>
      <c r="E18" s="7" t="s">
        <v>128</v>
      </c>
      <c r="F18" s="9">
        <v>24.0</v>
      </c>
      <c r="G18" s="9">
        <v>2000.0</v>
      </c>
      <c r="H18" s="10">
        <v>6.0</v>
      </c>
      <c r="I18" s="11">
        <v>219.0</v>
      </c>
      <c r="J18" s="11">
        <v>37.0</v>
      </c>
      <c r="K18" s="11" t="s">
        <v>94</v>
      </c>
      <c r="L18" s="11" t="s">
        <v>129</v>
      </c>
      <c r="M18" s="10">
        <v>3.0</v>
      </c>
      <c r="N18" s="11">
        <v>64.0</v>
      </c>
      <c r="O18" s="12">
        <v>0.0</v>
      </c>
      <c r="P18" s="10">
        <v>3.0</v>
      </c>
      <c r="Q18" s="11">
        <v>9.0</v>
      </c>
      <c r="R18" s="11">
        <v>7.0</v>
      </c>
      <c r="S18" s="13">
        <v>0.04652777777777778</v>
      </c>
      <c r="T18" s="11">
        <v>3.0</v>
      </c>
      <c r="U18" s="11">
        <v>7.0</v>
      </c>
      <c r="V18" s="17">
        <v>-4.0</v>
      </c>
      <c r="W18" s="15">
        <v>-0.08611111111111111</v>
      </c>
      <c r="X18" s="15">
        <v>-0.09930555555555555</v>
      </c>
      <c r="Y18" s="16" t="s">
        <v>130</v>
      </c>
    </row>
    <row r="19">
      <c r="A19" s="6">
        <v>18.0</v>
      </c>
      <c r="B19" s="7" t="s">
        <v>131</v>
      </c>
      <c r="C19" s="8" t="s">
        <v>132</v>
      </c>
      <c r="D19" s="9" t="s">
        <v>52</v>
      </c>
      <c r="E19" s="7" t="s">
        <v>133</v>
      </c>
      <c r="F19" s="9">
        <v>20.0</v>
      </c>
      <c r="G19" s="9">
        <v>2003.0</v>
      </c>
      <c r="H19" s="10">
        <v>28.0</v>
      </c>
      <c r="I19" s="11">
        <v>2.148</v>
      </c>
      <c r="J19" s="11">
        <v>77.0</v>
      </c>
      <c r="K19" s="11" t="s">
        <v>134</v>
      </c>
      <c r="L19" s="11" t="s">
        <v>135</v>
      </c>
      <c r="M19" s="10">
        <v>26.0</v>
      </c>
      <c r="N19" s="11">
        <v>81.0</v>
      </c>
      <c r="O19" s="11">
        <v>15.0</v>
      </c>
      <c r="P19" s="10">
        <v>2.0</v>
      </c>
      <c r="Q19" s="11">
        <v>16.0</v>
      </c>
      <c r="R19" s="12">
        <v>0.0</v>
      </c>
      <c r="S19" s="13">
        <v>0.07361111111111111</v>
      </c>
      <c r="T19" s="11">
        <v>45.0</v>
      </c>
      <c r="U19" s="11">
        <v>41.0</v>
      </c>
      <c r="V19" s="14">
        <f>+4</f>
        <v>4</v>
      </c>
      <c r="W19" s="14" t="str">
        <f>+0.17</f>
        <v>#ERROR!</v>
      </c>
      <c r="X19" s="14" t="str">
        <f>+0.33</f>
        <v>#ERROR!</v>
      </c>
      <c r="Y19" s="16" t="s">
        <v>136</v>
      </c>
    </row>
    <row r="20">
      <c r="A20" s="6">
        <v>19.0</v>
      </c>
      <c r="B20" s="7" t="s">
        <v>137</v>
      </c>
      <c r="C20" s="8" t="s">
        <v>138</v>
      </c>
      <c r="D20" s="9" t="s">
        <v>32</v>
      </c>
      <c r="E20" s="7" t="s">
        <v>139</v>
      </c>
      <c r="F20" s="9">
        <v>24.0</v>
      </c>
      <c r="G20" s="9">
        <v>1999.0</v>
      </c>
      <c r="H20" s="10">
        <v>25.0</v>
      </c>
      <c r="I20" s="11">
        <v>1.307</v>
      </c>
      <c r="J20" s="11">
        <v>52.0</v>
      </c>
      <c r="K20" s="11" t="s">
        <v>140</v>
      </c>
      <c r="L20" s="11" t="s">
        <v>141</v>
      </c>
      <c r="M20" s="10">
        <v>15.0</v>
      </c>
      <c r="N20" s="11">
        <v>72.0</v>
      </c>
      <c r="O20" s="12">
        <v>0.0</v>
      </c>
      <c r="P20" s="10">
        <v>10.0</v>
      </c>
      <c r="Q20" s="11">
        <v>23.0</v>
      </c>
      <c r="R20" s="11">
        <v>2.0</v>
      </c>
      <c r="S20" s="13">
        <v>0.08611111111111111</v>
      </c>
      <c r="T20" s="11">
        <v>19.0</v>
      </c>
      <c r="U20" s="11">
        <v>16.0</v>
      </c>
      <c r="V20" s="14">
        <f>+3</f>
        <v>3</v>
      </c>
      <c r="W20" s="14" t="str">
        <f>+0.21</f>
        <v>#ERROR!</v>
      </c>
      <c r="X20" s="14" t="str">
        <f>+0.27</f>
        <v>#ERROR!</v>
      </c>
      <c r="Y20" s="16" t="s">
        <v>142</v>
      </c>
    </row>
    <row r="21">
      <c r="A21" s="6">
        <v>20.0</v>
      </c>
      <c r="B21" s="7" t="s">
        <v>143</v>
      </c>
      <c r="C21" s="8" t="s">
        <v>144</v>
      </c>
      <c r="D21" s="9" t="s">
        <v>52</v>
      </c>
      <c r="E21" s="7" t="s">
        <v>145</v>
      </c>
      <c r="F21" s="9">
        <v>26.0</v>
      </c>
      <c r="G21" s="9">
        <v>1997.0</v>
      </c>
      <c r="H21" s="10">
        <v>13.0</v>
      </c>
      <c r="I21" s="11">
        <v>1.139</v>
      </c>
      <c r="J21" s="11">
        <v>88.0</v>
      </c>
      <c r="K21" s="11" t="s">
        <v>146</v>
      </c>
      <c r="L21" s="11" t="s">
        <v>147</v>
      </c>
      <c r="M21" s="10">
        <v>13.0</v>
      </c>
      <c r="N21" s="11">
        <v>88.0</v>
      </c>
      <c r="O21" s="11">
        <v>9.0</v>
      </c>
      <c r="P21" s="18">
        <v>0.0</v>
      </c>
      <c r="Q21" s="19"/>
      <c r="R21" s="12">
        <v>0.0</v>
      </c>
      <c r="S21" s="13">
        <v>0.052083333333333336</v>
      </c>
      <c r="T21" s="11">
        <v>16.0</v>
      </c>
      <c r="U21" s="11">
        <v>22.0</v>
      </c>
      <c r="V21" s="17">
        <v>-6.0</v>
      </c>
      <c r="W21" s="15">
        <v>-0.03263888888888889</v>
      </c>
      <c r="X21" s="14" t="str">
        <f>+0.22</f>
        <v>#ERROR!</v>
      </c>
      <c r="Y21" s="16" t="s">
        <v>148</v>
      </c>
    </row>
    <row r="22">
      <c r="A22" s="6">
        <v>21.0</v>
      </c>
      <c r="B22" s="7" t="s">
        <v>149</v>
      </c>
      <c r="C22" s="22"/>
      <c r="D22" s="9" t="s">
        <v>52</v>
      </c>
      <c r="E22" s="7" t="s">
        <v>150</v>
      </c>
      <c r="F22" s="23"/>
      <c r="G22" s="23"/>
      <c r="H22" s="18">
        <v>0.0</v>
      </c>
      <c r="I22" s="19"/>
      <c r="J22" s="19"/>
      <c r="K22" s="19"/>
      <c r="L22" s="19"/>
      <c r="M22" s="18">
        <v>0.0</v>
      </c>
      <c r="N22" s="19"/>
      <c r="O22" s="12">
        <v>0.0</v>
      </c>
      <c r="P22" s="18">
        <v>0.0</v>
      </c>
      <c r="Q22" s="19"/>
      <c r="R22" s="11">
        <v>1.0</v>
      </c>
      <c r="S22" s="24"/>
      <c r="T22" s="19"/>
      <c r="U22" s="19"/>
      <c r="V22" s="19"/>
      <c r="W22" s="19"/>
      <c r="X22" s="19"/>
      <c r="Y22" s="16" t="s">
        <v>151</v>
      </c>
    </row>
    <row r="23">
      <c r="A23" s="6">
        <v>22.0</v>
      </c>
      <c r="B23" s="7" t="s">
        <v>152</v>
      </c>
      <c r="C23" s="8" t="s">
        <v>153</v>
      </c>
      <c r="D23" s="9" t="s">
        <v>32</v>
      </c>
      <c r="E23" s="7" t="s">
        <v>154</v>
      </c>
      <c r="F23" s="9">
        <v>16.0</v>
      </c>
      <c r="G23" s="9">
        <v>2007.0</v>
      </c>
      <c r="H23" s="10">
        <v>2.0</v>
      </c>
      <c r="I23" s="11">
        <v>6.0</v>
      </c>
      <c r="J23" s="11">
        <v>3.0</v>
      </c>
      <c r="K23" s="11" t="s">
        <v>48</v>
      </c>
      <c r="L23" s="11" t="s">
        <v>155</v>
      </c>
      <c r="M23" s="18">
        <v>0.0</v>
      </c>
      <c r="N23" s="19"/>
      <c r="O23" s="12">
        <v>0.0</v>
      </c>
      <c r="P23" s="10">
        <v>2.0</v>
      </c>
      <c r="Q23" s="11">
        <v>3.0</v>
      </c>
      <c r="R23" s="11">
        <v>5.0</v>
      </c>
      <c r="S23" s="13">
        <v>0.034722222222222224</v>
      </c>
      <c r="T23" s="12">
        <v>0.0</v>
      </c>
      <c r="U23" s="12">
        <v>0.0</v>
      </c>
      <c r="V23" s="12">
        <v>0.0</v>
      </c>
      <c r="W23" s="21">
        <v>0.0</v>
      </c>
      <c r="X23" s="14" t="str">
        <f>+0.70</f>
        <v>#ERROR!</v>
      </c>
      <c r="Y23" s="16" t="s">
        <v>156</v>
      </c>
    </row>
    <row r="24">
      <c r="A24" s="6">
        <v>23.0</v>
      </c>
      <c r="B24" s="7" t="s">
        <v>157</v>
      </c>
      <c r="C24" s="8" t="s">
        <v>158</v>
      </c>
      <c r="D24" s="9" t="s">
        <v>73</v>
      </c>
      <c r="E24" s="7" t="s">
        <v>159</v>
      </c>
      <c r="F24" s="9">
        <v>20.0</v>
      </c>
      <c r="G24" s="9">
        <v>2003.0</v>
      </c>
      <c r="H24" s="18">
        <v>0.0</v>
      </c>
      <c r="I24" s="19"/>
      <c r="J24" s="19"/>
      <c r="K24" s="19"/>
      <c r="L24" s="19"/>
      <c r="M24" s="18">
        <v>0.0</v>
      </c>
      <c r="N24" s="19"/>
      <c r="O24" s="12">
        <v>0.0</v>
      </c>
      <c r="P24" s="18">
        <v>0.0</v>
      </c>
      <c r="Q24" s="19"/>
      <c r="R24" s="11">
        <v>30.0</v>
      </c>
      <c r="S24" s="24"/>
      <c r="T24" s="19"/>
      <c r="U24" s="19"/>
      <c r="V24" s="19"/>
      <c r="W24" s="19"/>
      <c r="X24" s="19"/>
      <c r="Y24" s="16" t="s">
        <v>160</v>
      </c>
    </row>
    <row r="25">
      <c r="A25" s="6">
        <v>24.0</v>
      </c>
      <c r="B25" s="7" t="s">
        <v>161</v>
      </c>
      <c r="C25" s="8" t="s">
        <v>162</v>
      </c>
      <c r="D25" s="9" t="s">
        <v>52</v>
      </c>
      <c r="E25" s="7" t="s">
        <v>163</v>
      </c>
      <c r="F25" s="9">
        <v>17.0</v>
      </c>
      <c r="G25" s="9">
        <v>2007.0</v>
      </c>
      <c r="H25" s="10">
        <v>3.0</v>
      </c>
      <c r="I25" s="11">
        <v>15.0</v>
      </c>
      <c r="J25" s="11">
        <v>5.0</v>
      </c>
      <c r="K25" s="11" t="s">
        <v>47</v>
      </c>
      <c r="L25" s="11" t="s">
        <v>48</v>
      </c>
      <c r="M25" s="18">
        <v>0.0</v>
      </c>
      <c r="N25" s="19"/>
      <c r="O25" s="12">
        <v>0.0</v>
      </c>
      <c r="P25" s="10">
        <v>3.0</v>
      </c>
      <c r="Q25" s="11">
        <v>5.0</v>
      </c>
      <c r="R25" s="11">
        <v>5.0</v>
      </c>
      <c r="S25" s="13">
        <v>0.041666666666666664</v>
      </c>
      <c r="T25" s="12">
        <v>0.0</v>
      </c>
      <c r="U25" s="11">
        <v>1.0</v>
      </c>
      <c r="V25" s="17">
        <v>-1.0</v>
      </c>
      <c r="W25" s="15">
        <v>-0.25</v>
      </c>
      <c r="X25" s="15">
        <v>-0.2548611111111111</v>
      </c>
      <c r="Y25" s="16" t="s">
        <v>164</v>
      </c>
    </row>
    <row r="26">
      <c r="A26" s="6">
        <v>25.0</v>
      </c>
      <c r="B26" s="7" t="s">
        <v>165</v>
      </c>
      <c r="C26" s="8" t="s">
        <v>166</v>
      </c>
      <c r="D26" s="9" t="s">
        <v>59</v>
      </c>
      <c r="E26" s="7" t="s">
        <v>167</v>
      </c>
      <c r="F26" s="9">
        <v>19.0</v>
      </c>
      <c r="G26" s="9">
        <v>2004.0</v>
      </c>
      <c r="H26" s="10">
        <v>18.0</v>
      </c>
      <c r="I26" s="11">
        <v>457.0</v>
      </c>
      <c r="J26" s="11">
        <v>25.0</v>
      </c>
      <c r="K26" s="11" t="s">
        <v>168</v>
      </c>
      <c r="L26" s="11" t="s">
        <v>169</v>
      </c>
      <c r="M26" s="10">
        <v>4.0</v>
      </c>
      <c r="N26" s="11">
        <v>61.0</v>
      </c>
      <c r="O26" s="12">
        <v>0.0</v>
      </c>
      <c r="P26" s="10">
        <v>14.0</v>
      </c>
      <c r="Q26" s="11">
        <v>15.0</v>
      </c>
      <c r="R26" s="11">
        <v>11.0</v>
      </c>
      <c r="S26" s="13">
        <v>0.07222222222222222</v>
      </c>
      <c r="T26" s="11">
        <v>9.0</v>
      </c>
      <c r="U26" s="11">
        <v>11.0</v>
      </c>
      <c r="V26" s="17">
        <v>-2.0</v>
      </c>
      <c r="W26" s="15">
        <v>-0.027083333333333334</v>
      </c>
      <c r="X26" s="15">
        <v>-0.04652777777777778</v>
      </c>
      <c r="Y26" s="16" t="s">
        <v>170</v>
      </c>
    </row>
    <row r="27">
      <c r="A27" s="25" t="s">
        <v>0</v>
      </c>
      <c r="B27" s="26" t="s">
        <v>1</v>
      </c>
      <c r="C27" s="27" t="s">
        <v>2</v>
      </c>
      <c r="D27" s="27" t="s">
        <v>3</v>
      </c>
      <c r="E27" s="27" t="s">
        <v>4</v>
      </c>
      <c r="F27" s="27" t="s">
        <v>5</v>
      </c>
      <c r="G27" s="27" t="s">
        <v>6</v>
      </c>
      <c r="H27" s="28" t="s">
        <v>7</v>
      </c>
      <c r="I27" s="27" t="s">
        <v>8</v>
      </c>
      <c r="J27" s="27" t="s">
        <v>9</v>
      </c>
      <c r="K27" s="27" t="s">
        <v>10</v>
      </c>
      <c r="L27" s="27" t="s">
        <v>11</v>
      </c>
      <c r="M27" s="28" t="s">
        <v>12</v>
      </c>
      <c r="N27" s="27" t="s">
        <v>13</v>
      </c>
      <c r="O27" s="27" t="s">
        <v>14</v>
      </c>
      <c r="P27" s="28" t="s">
        <v>15</v>
      </c>
      <c r="Q27" s="27" t="s">
        <v>16</v>
      </c>
      <c r="R27" s="27" t="s">
        <v>17</v>
      </c>
      <c r="S27" s="28" t="s">
        <v>18</v>
      </c>
      <c r="T27" s="27" t="s">
        <v>19</v>
      </c>
      <c r="U27" s="27" t="s">
        <v>20</v>
      </c>
      <c r="V27" s="29" t="str">
        <f>+/-</f>
        <v>#ERROR!</v>
      </c>
      <c r="W27" s="29" t="str">
        <f>+/-90</f>
        <v>#ERROR!</v>
      </c>
      <c r="X27" s="27" t="s">
        <v>21</v>
      </c>
      <c r="Y27" s="28" t="s">
        <v>22</v>
      </c>
    </row>
    <row r="28">
      <c r="A28" s="6">
        <v>26.0</v>
      </c>
      <c r="B28" s="7" t="s">
        <v>171</v>
      </c>
      <c r="C28" s="8" t="s">
        <v>172</v>
      </c>
      <c r="D28" s="9" t="s">
        <v>73</v>
      </c>
      <c r="E28" s="7" t="s">
        <v>173</v>
      </c>
      <c r="F28" s="9">
        <v>19.0</v>
      </c>
      <c r="G28" s="9">
        <v>2004.0</v>
      </c>
      <c r="H28" s="10">
        <v>15.0</v>
      </c>
      <c r="I28" s="11">
        <v>1.35</v>
      </c>
      <c r="J28" s="11">
        <v>90.0</v>
      </c>
      <c r="K28" s="11" t="s">
        <v>174</v>
      </c>
      <c r="L28" s="11" t="s">
        <v>175</v>
      </c>
      <c r="M28" s="10">
        <v>15.0</v>
      </c>
      <c r="N28" s="11">
        <v>90.0</v>
      </c>
      <c r="O28" s="11">
        <v>15.0</v>
      </c>
      <c r="P28" s="18">
        <v>0.0</v>
      </c>
      <c r="Q28" s="19"/>
      <c r="R28" s="11">
        <v>15.0</v>
      </c>
      <c r="S28" s="13">
        <v>0.04652777777777778</v>
      </c>
      <c r="T28" s="11">
        <v>13.0</v>
      </c>
      <c r="U28" s="11">
        <v>19.0</v>
      </c>
      <c r="V28" s="17">
        <v>-6.0</v>
      </c>
      <c r="W28" s="15">
        <v>-0.027777777777777776</v>
      </c>
      <c r="X28" s="15">
        <v>-0.009027777777777777</v>
      </c>
      <c r="Y28" s="16" t="s">
        <v>176</v>
      </c>
    </row>
    <row r="29">
      <c r="A29" s="6">
        <v>27.0</v>
      </c>
      <c r="B29" s="7" t="s">
        <v>177</v>
      </c>
      <c r="C29" s="8" t="s">
        <v>178</v>
      </c>
      <c r="D29" s="9" t="s">
        <v>52</v>
      </c>
      <c r="E29" s="7" t="s">
        <v>179</v>
      </c>
      <c r="F29" s="9">
        <v>17.0</v>
      </c>
      <c r="G29" s="9">
        <v>2006.0</v>
      </c>
      <c r="H29" s="10">
        <v>4.0</v>
      </c>
      <c r="I29" s="11">
        <v>19.0</v>
      </c>
      <c r="J29" s="11">
        <v>5.0</v>
      </c>
      <c r="K29" s="11" t="s">
        <v>180</v>
      </c>
      <c r="L29" s="11" t="s">
        <v>48</v>
      </c>
      <c r="M29" s="18">
        <v>0.0</v>
      </c>
      <c r="N29" s="19"/>
      <c r="O29" s="12">
        <v>0.0</v>
      </c>
      <c r="P29" s="10">
        <v>4.0</v>
      </c>
      <c r="Q29" s="11">
        <v>5.0</v>
      </c>
      <c r="R29" s="11">
        <v>15.0</v>
      </c>
      <c r="S29" s="13">
        <v>0.052083333333333336</v>
      </c>
      <c r="T29" s="11">
        <v>1.0</v>
      </c>
      <c r="U29" s="11">
        <v>1.0</v>
      </c>
      <c r="V29" s="12">
        <v>0.0</v>
      </c>
      <c r="W29" s="21">
        <v>0.0</v>
      </c>
      <c r="X29" s="14" t="str">
        <f>+0.67</f>
        <v>#ERROR!</v>
      </c>
      <c r="Y29" s="16" t="s">
        <v>181</v>
      </c>
    </row>
    <row r="30">
      <c r="A30" s="6">
        <v>28.0</v>
      </c>
      <c r="B30" s="7" t="s">
        <v>182</v>
      </c>
      <c r="C30" s="8" t="s">
        <v>183</v>
      </c>
      <c r="D30" s="9" t="s">
        <v>32</v>
      </c>
      <c r="E30" s="7" t="s">
        <v>184</v>
      </c>
      <c r="F30" s="9">
        <v>18.0</v>
      </c>
      <c r="G30" s="9">
        <v>2005.0</v>
      </c>
      <c r="H30" s="18">
        <v>0.0</v>
      </c>
      <c r="I30" s="19"/>
      <c r="J30" s="19"/>
      <c r="K30" s="19"/>
      <c r="L30" s="19"/>
      <c r="M30" s="18">
        <v>0.0</v>
      </c>
      <c r="N30" s="19"/>
      <c r="O30" s="12">
        <v>0.0</v>
      </c>
      <c r="P30" s="18">
        <v>0.0</v>
      </c>
      <c r="Q30" s="19"/>
      <c r="R30" s="11">
        <v>9.0</v>
      </c>
      <c r="S30" s="24"/>
      <c r="T30" s="19"/>
      <c r="U30" s="19"/>
      <c r="V30" s="19"/>
      <c r="W30" s="19"/>
      <c r="X30" s="19"/>
      <c r="Y30" s="16" t="s">
        <v>185</v>
      </c>
    </row>
    <row r="31">
      <c r="A31" s="6">
        <v>29.0</v>
      </c>
      <c r="B31" s="7" t="s">
        <v>186</v>
      </c>
      <c r="C31" s="8" t="s">
        <v>187</v>
      </c>
      <c r="D31" s="9" t="s">
        <v>59</v>
      </c>
      <c r="E31" s="7" t="s">
        <v>188</v>
      </c>
      <c r="F31" s="9">
        <v>20.0</v>
      </c>
      <c r="G31" s="9">
        <v>2003.0</v>
      </c>
      <c r="H31" s="10">
        <v>20.0</v>
      </c>
      <c r="I31" s="11">
        <v>1.058</v>
      </c>
      <c r="J31" s="11">
        <v>53.0</v>
      </c>
      <c r="K31" s="11" t="s">
        <v>189</v>
      </c>
      <c r="L31" s="11" t="s">
        <v>88</v>
      </c>
      <c r="M31" s="10">
        <v>12.0</v>
      </c>
      <c r="N31" s="11">
        <v>75.0</v>
      </c>
      <c r="O31" s="11">
        <v>2.0</v>
      </c>
      <c r="P31" s="10">
        <v>8.0</v>
      </c>
      <c r="Q31" s="11">
        <v>20.0</v>
      </c>
      <c r="R31" s="11">
        <v>6.0</v>
      </c>
      <c r="S31" s="13">
        <v>0.06597222222222222</v>
      </c>
      <c r="T31" s="11">
        <v>12.0</v>
      </c>
      <c r="U31" s="11">
        <v>20.0</v>
      </c>
      <c r="V31" s="17">
        <v>-8.0</v>
      </c>
      <c r="W31" s="15">
        <v>-0.04722222222222222</v>
      </c>
      <c r="X31" s="14" t="str">
        <f>+0.03</f>
        <v>#ERROR!</v>
      </c>
      <c r="Y31" s="16" t="s">
        <v>190</v>
      </c>
    </row>
    <row r="32">
      <c r="A32" s="6">
        <v>30.0</v>
      </c>
      <c r="B32" s="7" t="s">
        <v>191</v>
      </c>
      <c r="C32" s="8" t="s">
        <v>192</v>
      </c>
      <c r="D32" s="9" t="s">
        <v>52</v>
      </c>
      <c r="E32" s="7" t="s">
        <v>193</v>
      </c>
      <c r="F32" s="9">
        <v>17.0</v>
      </c>
      <c r="G32" s="9">
        <v>2006.0</v>
      </c>
      <c r="H32" s="10">
        <v>1.0</v>
      </c>
      <c r="I32" s="11">
        <v>23.0</v>
      </c>
      <c r="J32" s="11">
        <v>23.0</v>
      </c>
      <c r="K32" s="11" t="s">
        <v>194</v>
      </c>
      <c r="L32" s="11" t="s">
        <v>195</v>
      </c>
      <c r="M32" s="18">
        <v>0.0</v>
      </c>
      <c r="N32" s="19"/>
      <c r="O32" s="12">
        <v>0.0</v>
      </c>
      <c r="P32" s="10">
        <v>1.0</v>
      </c>
      <c r="Q32" s="11">
        <v>23.0</v>
      </c>
      <c r="R32" s="11">
        <v>1.0</v>
      </c>
      <c r="S32" s="20">
        <v>0.0</v>
      </c>
      <c r="T32" s="12">
        <v>0.0</v>
      </c>
      <c r="U32" s="12">
        <v>0.0</v>
      </c>
      <c r="V32" s="12">
        <v>0.0</v>
      </c>
      <c r="W32" s="21">
        <v>0.0</v>
      </c>
      <c r="X32" s="14" t="str">
        <f>+0.24</f>
        <v>#ERROR!</v>
      </c>
      <c r="Y32" s="16" t="s">
        <v>196</v>
      </c>
    </row>
    <row r="33">
      <c r="A33" s="6">
        <v>31.0</v>
      </c>
      <c r="B33" s="7" t="s">
        <v>197</v>
      </c>
      <c r="C33" s="8" t="s">
        <v>198</v>
      </c>
      <c r="D33" s="9" t="s">
        <v>66</v>
      </c>
      <c r="E33" s="7" t="s">
        <v>199</v>
      </c>
      <c r="F33" s="9">
        <v>28.0</v>
      </c>
      <c r="G33" s="9">
        <v>1995.0</v>
      </c>
      <c r="H33" s="10">
        <v>1.0</v>
      </c>
      <c r="I33" s="11">
        <v>45.0</v>
      </c>
      <c r="J33" s="11">
        <v>45.0</v>
      </c>
      <c r="K33" s="11" t="s">
        <v>200</v>
      </c>
      <c r="L33" s="11" t="s">
        <v>201</v>
      </c>
      <c r="M33" s="18">
        <v>0.0</v>
      </c>
      <c r="N33" s="19"/>
      <c r="O33" s="12">
        <v>0.0</v>
      </c>
      <c r="P33" s="10">
        <v>1.0</v>
      </c>
      <c r="Q33" s="11">
        <v>45.0</v>
      </c>
      <c r="R33" s="11">
        <v>7.0</v>
      </c>
      <c r="S33" s="13">
        <v>0.125</v>
      </c>
      <c r="T33" s="11">
        <v>3.0</v>
      </c>
      <c r="U33" s="12">
        <v>0.0</v>
      </c>
      <c r="V33" s="14">
        <f t="shared" ref="V33:V34" si="1">+3</f>
        <v>3</v>
      </c>
      <c r="W33" s="14" t="str">
        <f>+6.00</f>
        <v>#ERROR!</v>
      </c>
      <c r="X33" s="14" t="str">
        <f>+6.68</f>
        <v>#ERROR!</v>
      </c>
      <c r="Y33" s="16" t="s">
        <v>202</v>
      </c>
    </row>
    <row r="34">
      <c r="A34" s="6">
        <v>32.0</v>
      </c>
      <c r="B34" s="7" t="s">
        <v>203</v>
      </c>
      <c r="C34" s="8" t="s">
        <v>204</v>
      </c>
      <c r="D34" s="9" t="s">
        <v>32</v>
      </c>
      <c r="E34" s="7" t="s">
        <v>205</v>
      </c>
      <c r="F34" s="9">
        <v>19.0</v>
      </c>
      <c r="G34" s="9">
        <v>2004.0</v>
      </c>
      <c r="H34" s="10">
        <v>7.0</v>
      </c>
      <c r="I34" s="11">
        <v>207.0</v>
      </c>
      <c r="J34" s="11">
        <v>30.0</v>
      </c>
      <c r="K34" s="11" t="s">
        <v>206</v>
      </c>
      <c r="L34" s="11" t="s">
        <v>207</v>
      </c>
      <c r="M34" s="10">
        <v>3.0</v>
      </c>
      <c r="N34" s="11">
        <v>57.0</v>
      </c>
      <c r="O34" s="12">
        <v>0.0</v>
      </c>
      <c r="P34" s="10">
        <v>4.0</v>
      </c>
      <c r="Q34" s="11">
        <v>9.0</v>
      </c>
      <c r="R34" s="11">
        <v>7.0</v>
      </c>
      <c r="S34" s="13">
        <v>0.10138888888888889</v>
      </c>
      <c r="T34" s="11">
        <v>7.0</v>
      </c>
      <c r="U34" s="11">
        <v>4.0</v>
      </c>
      <c r="V34" s="14">
        <f t="shared" si="1"/>
        <v>3</v>
      </c>
      <c r="W34" s="14" t="str">
        <f>+1.30</f>
        <v>#ERROR!</v>
      </c>
      <c r="X34" s="14" t="str">
        <f>+1.12</f>
        <v>#ERROR!</v>
      </c>
      <c r="Y34" s="16" t="s">
        <v>208</v>
      </c>
    </row>
    <row r="35">
      <c r="A35" s="6">
        <v>33.0</v>
      </c>
      <c r="B35" s="7" t="s">
        <v>209</v>
      </c>
      <c r="C35" s="8" t="s">
        <v>210</v>
      </c>
      <c r="D35" s="9" t="s">
        <v>66</v>
      </c>
      <c r="E35" s="7" t="s">
        <v>211</v>
      </c>
      <c r="F35" s="9">
        <v>18.0</v>
      </c>
      <c r="G35" s="9">
        <v>2005.0</v>
      </c>
      <c r="H35" s="18">
        <v>0.0</v>
      </c>
      <c r="I35" s="19"/>
      <c r="J35" s="19"/>
      <c r="K35" s="19"/>
      <c r="L35" s="19"/>
      <c r="M35" s="18">
        <v>0.0</v>
      </c>
      <c r="N35" s="19"/>
      <c r="O35" s="12">
        <v>0.0</v>
      </c>
      <c r="P35" s="18">
        <v>0.0</v>
      </c>
      <c r="Q35" s="19"/>
      <c r="R35" s="11">
        <v>5.0</v>
      </c>
      <c r="S35" s="24"/>
      <c r="T35" s="19"/>
      <c r="U35" s="19"/>
      <c r="V35" s="19"/>
      <c r="W35" s="19"/>
      <c r="X35" s="19"/>
      <c r="Y35" s="16" t="s">
        <v>212</v>
      </c>
    </row>
    <row r="36">
      <c r="A36" s="6">
        <v>34.0</v>
      </c>
      <c r="B36" s="7" t="s">
        <v>213</v>
      </c>
      <c r="C36" s="22"/>
      <c r="D36" s="9" t="s">
        <v>73</v>
      </c>
      <c r="E36" s="7" t="s">
        <v>214</v>
      </c>
      <c r="F36" s="23"/>
      <c r="G36" s="23"/>
      <c r="H36" s="18">
        <v>0.0</v>
      </c>
      <c r="I36" s="19"/>
      <c r="J36" s="19"/>
      <c r="K36" s="19"/>
      <c r="L36" s="19"/>
      <c r="M36" s="18">
        <v>0.0</v>
      </c>
      <c r="N36" s="19"/>
      <c r="O36" s="12">
        <v>0.0</v>
      </c>
      <c r="P36" s="18">
        <v>0.0</v>
      </c>
      <c r="Q36" s="19"/>
      <c r="R36" s="11">
        <v>1.0</v>
      </c>
      <c r="S36" s="24"/>
      <c r="T36" s="19"/>
      <c r="U36" s="19"/>
      <c r="V36" s="19"/>
      <c r="W36" s="19"/>
      <c r="X36" s="19"/>
      <c r="Y36" s="16" t="s">
        <v>215</v>
      </c>
    </row>
    <row r="37">
      <c r="A37" s="6">
        <v>35.0</v>
      </c>
      <c r="B37" s="7" t="s">
        <v>216</v>
      </c>
      <c r="C37" s="8" t="s">
        <v>217</v>
      </c>
      <c r="D37" s="9" t="s">
        <v>52</v>
      </c>
      <c r="E37" s="7" t="s">
        <v>218</v>
      </c>
      <c r="F37" s="9">
        <v>25.0</v>
      </c>
      <c r="G37" s="9">
        <v>1998.0</v>
      </c>
      <c r="H37" s="10">
        <v>18.0</v>
      </c>
      <c r="I37" s="11">
        <v>1.406</v>
      </c>
      <c r="J37" s="11">
        <v>78.0</v>
      </c>
      <c r="K37" s="11" t="s">
        <v>219</v>
      </c>
      <c r="L37" s="11" t="s">
        <v>220</v>
      </c>
      <c r="M37" s="10">
        <v>15.0</v>
      </c>
      <c r="N37" s="11">
        <v>88.0</v>
      </c>
      <c r="O37" s="11">
        <v>7.0</v>
      </c>
      <c r="P37" s="10">
        <v>3.0</v>
      </c>
      <c r="Q37" s="11">
        <v>27.0</v>
      </c>
      <c r="R37" s="12">
        <v>0.0</v>
      </c>
      <c r="S37" s="13">
        <v>0.05763888888888889</v>
      </c>
      <c r="T37" s="11">
        <v>17.0</v>
      </c>
      <c r="U37" s="11">
        <v>26.0</v>
      </c>
      <c r="V37" s="17">
        <v>-9.0</v>
      </c>
      <c r="W37" s="15">
        <v>-0.04027777777777778</v>
      </c>
      <c r="X37" s="15">
        <v>-0.001388888888888889</v>
      </c>
      <c r="Y37" s="16" t="s">
        <v>221</v>
      </c>
    </row>
    <row r="38">
      <c r="A38" s="6">
        <v>36.0</v>
      </c>
      <c r="B38" s="7" t="s">
        <v>222</v>
      </c>
      <c r="C38" s="8" t="s">
        <v>223</v>
      </c>
      <c r="D38" s="9" t="s">
        <v>52</v>
      </c>
      <c r="E38" s="7" t="s">
        <v>224</v>
      </c>
      <c r="F38" s="9">
        <v>21.0</v>
      </c>
      <c r="G38" s="9">
        <v>2002.0</v>
      </c>
      <c r="H38" s="10">
        <v>9.0</v>
      </c>
      <c r="I38" s="11">
        <v>332.0</v>
      </c>
      <c r="J38" s="11">
        <v>37.0</v>
      </c>
      <c r="K38" s="11" t="s">
        <v>225</v>
      </c>
      <c r="L38" s="11" t="s">
        <v>226</v>
      </c>
      <c r="M38" s="10">
        <v>3.0</v>
      </c>
      <c r="N38" s="11">
        <v>62.0</v>
      </c>
      <c r="O38" s="12">
        <v>0.0</v>
      </c>
      <c r="P38" s="10">
        <v>6.0</v>
      </c>
      <c r="Q38" s="11">
        <v>24.0</v>
      </c>
      <c r="R38" s="11">
        <v>1.0</v>
      </c>
      <c r="S38" s="13">
        <v>0.09097222222222222</v>
      </c>
      <c r="T38" s="11">
        <v>2.0</v>
      </c>
      <c r="U38" s="11">
        <v>4.0</v>
      </c>
      <c r="V38" s="17">
        <v>-2.0</v>
      </c>
      <c r="W38" s="15">
        <v>-0.0375</v>
      </c>
      <c r="X38" s="15">
        <v>-0.041666666666666664</v>
      </c>
      <c r="Y38" s="16" t="s">
        <v>227</v>
      </c>
    </row>
    <row r="39">
      <c r="A39" s="6">
        <v>37.0</v>
      </c>
      <c r="B39" s="7" t="s">
        <v>228</v>
      </c>
      <c r="C39" s="8" t="s">
        <v>229</v>
      </c>
      <c r="D39" s="9" t="s">
        <v>59</v>
      </c>
      <c r="E39" s="7" t="s">
        <v>230</v>
      </c>
      <c r="F39" s="9">
        <v>21.0</v>
      </c>
      <c r="G39" s="9">
        <v>2002.0</v>
      </c>
      <c r="H39" s="10">
        <v>12.0</v>
      </c>
      <c r="I39" s="11">
        <v>1.028</v>
      </c>
      <c r="J39" s="11">
        <v>86.0</v>
      </c>
      <c r="K39" s="11" t="s">
        <v>231</v>
      </c>
      <c r="L39" s="11" t="s">
        <v>232</v>
      </c>
      <c r="M39" s="10">
        <v>12.0</v>
      </c>
      <c r="N39" s="11">
        <v>86.0</v>
      </c>
      <c r="O39" s="11">
        <v>6.0</v>
      </c>
      <c r="P39" s="18">
        <v>0.0</v>
      </c>
      <c r="Q39" s="19"/>
      <c r="R39" s="12">
        <v>0.0</v>
      </c>
      <c r="S39" s="13">
        <v>0.04652777777777778</v>
      </c>
      <c r="T39" s="11">
        <v>8.0</v>
      </c>
      <c r="U39" s="11">
        <v>14.0</v>
      </c>
      <c r="V39" s="17">
        <v>-6.0</v>
      </c>
      <c r="W39" s="15">
        <v>-0.03680555555555556</v>
      </c>
      <c r="X39" s="14" t="str">
        <f>+0.07</f>
        <v>#ERROR!</v>
      </c>
      <c r="Y39" s="16" t="s">
        <v>233</v>
      </c>
    </row>
    <row r="40">
      <c r="A40" s="6">
        <v>38.0</v>
      </c>
      <c r="B40" s="7" t="s">
        <v>234</v>
      </c>
      <c r="C40" s="8" t="s">
        <v>235</v>
      </c>
      <c r="D40" s="9" t="s">
        <v>52</v>
      </c>
      <c r="E40" s="7" t="s">
        <v>236</v>
      </c>
      <c r="F40" s="9">
        <v>21.0</v>
      </c>
      <c r="G40" s="9">
        <v>2002.0</v>
      </c>
      <c r="H40" s="10">
        <v>1.0</v>
      </c>
      <c r="I40" s="11">
        <v>19.0</v>
      </c>
      <c r="J40" s="11">
        <v>19.0</v>
      </c>
      <c r="K40" s="11" t="s">
        <v>180</v>
      </c>
      <c r="L40" s="11" t="s">
        <v>48</v>
      </c>
      <c r="M40" s="18">
        <v>0.0</v>
      </c>
      <c r="N40" s="19"/>
      <c r="O40" s="12">
        <v>0.0</v>
      </c>
      <c r="P40" s="10">
        <v>1.0</v>
      </c>
      <c r="Q40" s="11">
        <v>19.0</v>
      </c>
      <c r="R40" s="11">
        <v>10.0</v>
      </c>
      <c r="S40" s="20">
        <v>0.0</v>
      </c>
      <c r="T40" s="12">
        <v>0.0</v>
      </c>
      <c r="U40" s="12">
        <v>0.0</v>
      </c>
      <c r="V40" s="12">
        <v>0.0</v>
      </c>
      <c r="W40" s="21">
        <v>0.0</v>
      </c>
      <c r="X40" s="14" t="str">
        <f>+0.57</f>
        <v>#ERROR!</v>
      </c>
      <c r="Y40" s="16" t="s">
        <v>237</v>
      </c>
    </row>
    <row r="41">
      <c r="A41" s="6">
        <v>39.0</v>
      </c>
      <c r="B41" s="7" t="s">
        <v>238</v>
      </c>
      <c r="C41" s="8" t="s">
        <v>239</v>
      </c>
      <c r="D41" s="9" t="s">
        <v>66</v>
      </c>
      <c r="E41" s="7" t="s">
        <v>240</v>
      </c>
      <c r="F41" s="9">
        <v>17.0</v>
      </c>
      <c r="G41" s="9">
        <v>2006.0</v>
      </c>
      <c r="H41" s="18">
        <v>0.0</v>
      </c>
      <c r="I41" s="19"/>
      <c r="J41" s="19"/>
      <c r="K41" s="19"/>
      <c r="L41" s="19"/>
      <c r="M41" s="18">
        <v>0.0</v>
      </c>
      <c r="N41" s="19"/>
      <c r="O41" s="12">
        <v>0.0</v>
      </c>
      <c r="P41" s="18">
        <v>0.0</v>
      </c>
      <c r="Q41" s="19"/>
      <c r="R41" s="11">
        <v>1.0</v>
      </c>
      <c r="S41" s="24"/>
      <c r="T41" s="19"/>
      <c r="U41" s="19"/>
      <c r="V41" s="19"/>
      <c r="W41" s="19"/>
      <c r="X41" s="19"/>
      <c r="Y41" s="16" t="s">
        <v>241</v>
      </c>
    </row>
    <row r="42">
      <c r="A42" s="6">
        <v>40.0</v>
      </c>
      <c r="B42" s="7" t="s">
        <v>242</v>
      </c>
      <c r="C42" s="8" t="s">
        <v>243</v>
      </c>
      <c r="D42" s="9" t="s">
        <v>66</v>
      </c>
      <c r="E42" s="7" t="s">
        <v>244</v>
      </c>
      <c r="F42" s="9">
        <v>17.0</v>
      </c>
      <c r="G42" s="9">
        <v>2006.0</v>
      </c>
      <c r="H42" s="10">
        <v>1.0</v>
      </c>
      <c r="I42" s="11">
        <v>22.0</v>
      </c>
      <c r="J42" s="11">
        <v>22.0</v>
      </c>
      <c r="K42" s="11" t="s">
        <v>245</v>
      </c>
      <c r="L42" s="11" t="s">
        <v>48</v>
      </c>
      <c r="M42" s="18">
        <v>0.0</v>
      </c>
      <c r="N42" s="19"/>
      <c r="O42" s="12">
        <v>0.0</v>
      </c>
      <c r="P42" s="10">
        <v>1.0</v>
      </c>
      <c r="Q42" s="11">
        <v>22.0</v>
      </c>
      <c r="R42" s="12">
        <v>0.0</v>
      </c>
      <c r="S42" s="20">
        <v>0.0</v>
      </c>
      <c r="T42" s="12">
        <v>0.0</v>
      </c>
      <c r="U42" s="12">
        <v>0.0</v>
      </c>
      <c r="V42" s="12">
        <v>0.0</v>
      </c>
      <c r="W42" s="21">
        <v>0.0</v>
      </c>
      <c r="X42" s="15">
        <v>-0.006944444444444444</v>
      </c>
      <c r="Y42" s="16" t="s">
        <v>246</v>
      </c>
    </row>
    <row r="43">
      <c r="A43" s="6">
        <v>41.0</v>
      </c>
      <c r="B43" s="7" t="s">
        <v>247</v>
      </c>
      <c r="C43" s="8" t="s">
        <v>248</v>
      </c>
      <c r="D43" s="9" t="s">
        <v>59</v>
      </c>
      <c r="E43" s="7" t="s">
        <v>249</v>
      </c>
      <c r="F43" s="9">
        <v>18.0</v>
      </c>
      <c r="G43" s="9">
        <v>2005.0</v>
      </c>
      <c r="H43" s="10">
        <v>15.0</v>
      </c>
      <c r="I43" s="11">
        <v>667.0</v>
      </c>
      <c r="J43" s="11">
        <v>44.0</v>
      </c>
      <c r="K43" s="11" t="s">
        <v>250</v>
      </c>
      <c r="L43" s="11" t="s">
        <v>251</v>
      </c>
      <c r="M43" s="10">
        <v>8.0</v>
      </c>
      <c r="N43" s="11">
        <v>66.0</v>
      </c>
      <c r="O43" s="12">
        <v>0.0</v>
      </c>
      <c r="P43" s="10">
        <v>7.0</v>
      </c>
      <c r="Q43" s="11">
        <v>20.0</v>
      </c>
      <c r="R43" s="11">
        <v>7.0</v>
      </c>
      <c r="S43" s="13">
        <v>0.09236111111111112</v>
      </c>
      <c r="T43" s="11">
        <v>18.0</v>
      </c>
      <c r="U43" s="11">
        <v>7.0</v>
      </c>
      <c r="V43" s="14">
        <f>+11</f>
        <v>11</v>
      </c>
      <c r="W43" s="14" t="str">
        <f>+1.48</f>
        <v>#ERROR!</v>
      </c>
      <c r="X43" s="14" t="str">
        <f>+1.75</f>
        <v>#ERROR!</v>
      </c>
      <c r="Y43" s="16" t="s">
        <v>252</v>
      </c>
    </row>
    <row r="44">
      <c r="A44" s="6">
        <v>42.0</v>
      </c>
      <c r="B44" s="7" t="s">
        <v>253</v>
      </c>
      <c r="C44" s="8" t="s">
        <v>254</v>
      </c>
      <c r="D44" s="9" t="s">
        <v>32</v>
      </c>
      <c r="E44" s="7" t="s">
        <v>255</v>
      </c>
      <c r="F44" s="9">
        <v>23.0</v>
      </c>
      <c r="G44" s="9">
        <v>2000.0</v>
      </c>
      <c r="H44" s="10">
        <v>3.0</v>
      </c>
      <c r="I44" s="11">
        <v>139.0</v>
      </c>
      <c r="J44" s="11">
        <v>46.0</v>
      </c>
      <c r="K44" s="11" t="s">
        <v>169</v>
      </c>
      <c r="L44" s="11" t="s">
        <v>256</v>
      </c>
      <c r="M44" s="10">
        <v>2.0</v>
      </c>
      <c r="N44" s="11">
        <v>63.0</v>
      </c>
      <c r="O44" s="12">
        <v>0.0</v>
      </c>
      <c r="P44" s="10">
        <v>1.0</v>
      </c>
      <c r="Q44" s="11">
        <v>13.0</v>
      </c>
      <c r="R44" s="11">
        <v>4.0</v>
      </c>
      <c r="S44" s="13">
        <v>0.022916666666666665</v>
      </c>
      <c r="T44" s="12">
        <v>0.0</v>
      </c>
      <c r="U44" s="11">
        <v>3.0</v>
      </c>
      <c r="V44" s="17">
        <v>-3.0</v>
      </c>
      <c r="W44" s="15">
        <v>-0.10694444444444444</v>
      </c>
      <c r="X44" s="15">
        <v>-0.09027777777777778</v>
      </c>
      <c r="Y44" s="16" t="s">
        <v>257</v>
      </c>
    </row>
    <row r="45">
      <c r="A45" s="6">
        <v>43.0</v>
      </c>
      <c r="B45" s="7" t="s">
        <v>258</v>
      </c>
      <c r="C45" s="8" t="s">
        <v>259</v>
      </c>
      <c r="D45" s="9" t="s">
        <v>66</v>
      </c>
      <c r="E45" s="7" t="s">
        <v>260</v>
      </c>
      <c r="F45" s="9">
        <v>31.0</v>
      </c>
      <c r="G45" s="9">
        <v>1992.0</v>
      </c>
      <c r="H45" s="10">
        <v>24.0</v>
      </c>
      <c r="I45" s="11">
        <v>1.691</v>
      </c>
      <c r="J45" s="11">
        <v>70.0</v>
      </c>
      <c r="K45" s="11" t="s">
        <v>261</v>
      </c>
      <c r="L45" s="11" t="s">
        <v>262</v>
      </c>
      <c r="M45" s="10">
        <v>18.0</v>
      </c>
      <c r="N45" s="11">
        <v>90.0</v>
      </c>
      <c r="O45" s="11">
        <v>18.0</v>
      </c>
      <c r="P45" s="10">
        <v>6.0</v>
      </c>
      <c r="Q45" s="11">
        <v>12.0</v>
      </c>
      <c r="R45" s="11">
        <v>2.0</v>
      </c>
      <c r="S45" s="13">
        <v>0.05625</v>
      </c>
      <c r="T45" s="11">
        <v>21.0</v>
      </c>
      <c r="U45" s="11">
        <v>31.0</v>
      </c>
      <c r="V45" s="17">
        <v>-10.0</v>
      </c>
      <c r="W45" s="15">
        <v>-0.03680555555555556</v>
      </c>
      <c r="X45" s="14" t="str">
        <f>+0.18</f>
        <v>#ERROR!</v>
      </c>
      <c r="Y45" s="16" t="s">
        <v>263</v>
      </c>
    </row>
    <row r="46">
      <c r="A46" s="6">
        <v>44.0</v>
      </c>
      <c r="B46" s="7" t="s">
        <v>264</v>
      </c>
      <c r="C46" s="8" t="s">
        <v>265</v>
      </c>
      <c r="D46" s="9" t="s">
        <v>66</v>
      </c>
      <c r="E46" s="7" t="s">
        <v>266</v>
      </c>
      <c r="F46" s="9">
        <v>27.0</v>
      </c>
      <c r="G46" s="9">
        <v>1996.0</v>
      </c>
      <c r="H46" s="10">
        <v>12.0</v>
      </c>
      <c r="I46" s="11">
        <v>897.0</v>
      </c>
      <c r="J46" s="11">
        <v>75.0</v>
      </c>
      <c r="K46" s="11" t="s">
        <v>267</v>
      </c>
      <c r="L46" s="11" t="s">
        <v>268</v>
      </c>
      <c r="M46" s="10">
        <v>11.0</v>
      </c>
      <c r="N46" s="11">
        <v>77.0</v>
      </c>
      <c r="O46" s="11">
        <v>3.0</v>
      </c>
      <c r="P46" s="10">
        <v>1.0</v>
      </c>
      <c r="Q46" s="11">
        <v>45.0</v>
      </c>
      <c r="R46" s="11">
        <v>1.0</v>
      </c>
      <c r="S46" s="13">
        <v>0.052083333333333336</v>
      </c>
      <c r="T46" s="11">
        <v>9.0</v>
      </c>
      <c r="U46" s="11">
        <v>13.0</v>
      </c>
      <c r="V46" s="17">
        <v>-4.0</v>
      </c>
      <c r="W46" s="15">
        <v>-0.027777777777777776</v>
      </c>
      <c r="X46" s="15">
        <v>-0.006944444444444444</v>
      </c>
      <c r="Y46" s="16" t="s">
        <v>269</v>
      </c>
    </row>
    <row r="47">
      <c r="A47" s="6">
        <v>45.0</v>
      </c>
      <c r="B47" s="7" t="s">
        <v>270</v>
      </c>
      <c r="C47" s="8" t="s">
        <v>271</v>
      </c>
      <c r="D47" s="9" t="s">
        <v>66</v>
      </c>
      <c r="E47" s="7" t="s">
        <v>272</v>
      </c>
      <c r="F47" s="9">
        <v>20.0</v>
      </c>
      <c r="G47" s="9">
        <v>2003.0</v>
      </c>
      <c r="H47" s="10">
        <v>14.0</v>
      </c>
      <c r="I47" s="11">
        <v>546.0</v>
      </c>
      <c r="J47" s="11">
        <v>39.0</v>
      </c>
      <c r="K47" s="11" t="s">
        <v>273</v>
      </c>
      <c r="L47" s="11" t="s">
        <v>274</v>
      </c>
      <c r="M47" s="10">
        <v>4.0</v>
      </c>
      <c r="N47" s="11">
        <v>81.0</v>
      </c>
      <c r="O47" s="11">
        <v>2.0</v>
      </c>
      <c r="P47" s="10">
        <v>10.0</v>
      </c>
      <c r="Q47" s="11">
        <v>22.0</v>
      </c>
      <c r="R47" s="11">
        <v>15.0</v>
      </c>
      <c r="S47" s="13">
        <v>0.06458333333333334</v>
      </c>
      <c r="T47" s="11">
        <v>9.0</v>
      </c>
      <c r="U47" s="11">
        <v>13.0</v>
      </c>
      <c r="V47" s="17">
        <v>-4.0</v>
      </c>
      <c r="W47" s="15">
        <v>-0.04583333333333333</v>
      </c>
      <c r="X47" s="14" t="str">
        <f>+0.05</f>
        <v>#ERROR!</v>
      </c>
      <c r="Y47" s="16" t="s">
        <v>275</v>
      </c>
    </row>
    <row r="48">
      <c r="A48" s="6">
        <v>46.0</v>
      </c>
      <c r="B48" s="7" t="s">
        <v>276</v>
      </c>
      <c r="C48" s="8" t="s">
        <v>277</v>
      </c>
      <c r="D48" s="9" t="s">
        <v>59</v>
      </c>
      <c r="E48" s="7" t="s">
        <v>278</v>
      </c>
      <c r="F48" s="9">
        <v>24.0</v>
      </c>
      <c r="G48" s="9">
        <v>1999.0</v>
      </c>
      <c r="H48" s="10">
        <v>27.0</v>
      </c>
      <c r="I48" s="11">
        <v>2.101</v>
      </c>
      <c r="J48" s="11">
        <v>78.0</v>
      </c>
      <c r="K48" s="11" t="s">
        <v>279</v>
      </c>
      <c r="L48" s="11" t="s">
        <v>280</v>
      </c>
      <c r="M48" s="10">
        <v>25.0</v>
      </c>
      <c r="N48" s="11">
        <v>82.0</v>
      </c>
      <c r="O48" s="11">
        <v>11.0</v>
      </c>
      <c r="P48" s="10">
        <v>2.0</v>
      </c>
      <c r="Q48" s="11">
        <v>31.0</v>
      </c>
      <c r="R48" s="12">
        <v>0.0</v>
      </c>
      <c r="S48" s="13">
        <v>0.07777777777777778</v>
      </c>
      <c r="T48" s="11">
        <v>40.0</v>
      </c>
      <c r="U48" s="11">
        <v>33.0</v>
      </c>
      <c r="V48" s="14">
        <f>+7</f>
        <v>7</v>
      </c>
      <c r="W48" s="14" t="str">
        <f>+0.30</f>
        <v>#ERROR!</v>
      </c>
      <c r="X48" s="14" t="str">
        <f>+0.15</f>
        <v>#ERROR!</v>
      </c>
      <c r="Y48" s="16" t="s">
        <v>281</v>
      </c>
    </row>
    <row r="49">
      <c r="A49" s="6">
        <v>47.0</v>
      </c>
      <c r="B49" s="7" t="s">
        <v>282</v>
      </c>
      <c r="C49" s="8" t="s">
        <v>283</v>
      </c>
      <c r="D49" s="9" t="s">
        <v>284</v>
      </c>
      <c r="E49" s="7" t="s">
        <v>285</v>
      </c>
      <c r="F49" s="9">
        <v>29.0</v>
      </c>
      <c r="G49" s="9">
        <v>1994.0</v>
      </c>
      <c r="H49" s="10">
        <v>21.0</v>
      </c>
      <c r="I49" s="11">
        <v>745.0</v>
      </c>
      <c r="J49" s="11">
        <v>35.0</v>
      </c>
      <c r="K49" s="11" t="s">
        <v>286</v>
      </c>
      <c r="L49" s="11" t="s">
        <v>287</v>
      </c>
      <c r="M49" s="10">
        <v>8.0</v>
      </c>
      <c r="N49" s="11">
        <v>67.0</v>
      </c>
      <c r="O49" s="11">
        <v>2.0</v>
      </c>
      <c r="P49" s="10">
        <v>13.0</v>
      </c>
      <c r="Q49" s="11">
        <v>16.0</v>
      </c>
      <c r="R49" s="11">
        <v>4.0</v>
      </c>
      <c r="S49" s="13">
        <v>0.06180555555555556</v>
      </c>
      <c r="T49" s="11">
        <v>14.0</v>
      </c>
      <c r="U49" s="11">
        <v>18.0</v>
      </c>
      <c r="V49" s="17">
        <v>-4.0</v>
      </c>
      <c r="W49" s="15">
        <v>-0.03333333333333333</v>
      </c>
      <c r="X49" s="15">
        <v>-0.05625</v>
      </c>
      <c r="Y49" s="16" t="s">
        <v>288</v>
      </c>
    </row>
    <row r="50">
      <c r="A50" s="6">
        <v>48.0</v>
      </c>
      <c r="B50" s="7" t="s">
        <v>289</v>
      </c>
      <c r="C50" s="8" t="s">
        <v>290</v>
      </c>
      <c r="D50" s="9" t="s">
        <v>284</v>
      </c>
      <c r="E50" s="7" t="s">
        <v>291</v>
      </c>
      <c r="F50" s="9">
        <v>19.0</v>
      </c>
      <c r="G50" s="9">
        <v>2004.0</v>
      </c>
      <c r="H50" s="10">
        <v>22.0</v>
      </c>
      <c r="I50" s="11">
        <v>1.506</v>
      </c>
      <c r="J50" s="11">
        <v>68.0</v>
      </c>
      <c r="K50" s="11" t="s">
        <v>292</v>
      </c>
      <c r="L50" s="11" t="s">
        <v>293</v>
      </c>
      <c r="M50" s="10">
        <v>16.0</v>
      </c>
      <c r="N50" s="11">
        <v>86.0</v>
      </c>
      <c r="O50" s="11">
        <v>9.0</v>
      </c>
      <c r="P50" s="10">
        <v>6.0</v>
      </c>
      <c r="Q50" s="11">
        <v>22.0</v>
      </c>
      <c r="R50" s="11">
        <v>1.0</v>
      </c>
      <c r="S50" s="13">
        <v>0.06388888888888888</v>
      </c>
      <c r="T50" s="11">
        <v>36.0</v>
      </c>
      <c r="U50" s="11">
        <v>32.0</v>
      </c>
      <c r="V50" s="14">
        <f>+4</f>
        <v>4</v>
      </c>
      <c r="W50" s="14" t="str">
        <f>+0.24</f>
        <v>#ERROR!</v>
      </c>
      <c r="X50" s="14" t="str">
        <f>+1.07</f>
        <v>#ERROR!</v>
      </c>
      <c r="Y50" s="16" t="s">
        <v>294</v>
      </c>
    </row>
    <row r="51">
      <c r="A51" s="6">
        <v>49.0</v>
      </c>
      <c r="B51" s="7" t="s">
        <v>295</v>
      </c>
      <c r="C51" s="8" t="s">
        <v>296</v>
      </c>
      <c r="D51" s="9" t="s">
        <v>52</v>
      </c>
      <c r="E51" s="7" t="s">
        <v>297</v>
      </c>
      <c r="F51" s="9">
        <v>19.0</v>
      </c>
      <c r="G51" s="9">
        <v>2004.0</v>
      </c>
      <c r="H51" s="18">
        <v>0.0</v>
      </c>
      <c r="I51" s="19"/>
      <c r="J51" s="19"/>
      <c r="K51" s="19"/>
      <c r="L51" s="19"/>
      <c r="M51" s="18">
        <v>0.0</v>
      </c>
      <c r="N51" s="19"/>
      <c r="O51" s="12">
        <v>0.0</v>
      </c>
      <c r="P51" s="18">
        <v>0.0</v>
      </c>
      <c r="Q51" s="19"/>
      <c r="R51" s="11">
        <v>11.0</v>
      </c>
      <c r="S51" s="24"/>
      <c r="T51" s="19"/>
      <c r="U51" s="19"/>
      <c r="V51" s="19"/>
      <c r="W51" s="19"/>
      <c r="X51" s="19"/>
      <c r="Y51" s="16" t="s">
        <v>298</v>
      </c>
    </row>
    <row r="52">
      <c r="A52" s="6">
        <v>50.0</v>
      </c>
      <c r="B52" s="7" t="s">
        <v>299</v>
      </c>
      <c r="C52" s="8" t="s">
        <v>300</v>
      </c>
      <c r="D52" s="9" t="s">
        <v>32</v>
      </c>
      <c r="E52" s="7" t="s">
        <v>301</v>
      </c>
      <c r="F52" s="9">
        <v>23.0</v>
      </c>
      <c r="G52" s="9">
        <v>2000.0</v>
      </c>
      <c r="H52" s="10">
        <v>17.0</v>
      </c>
      <c r="I52" s="11">
        <v>412.0</v>
      </c>
      <c r="J52" s="11">
        <v>24.0</v>
      </c>
      <c r="K52" s="11" t="s">
        <v>302</v>
      </c>
      <c r="L52" s="11" t="s">
        <v>303</v>
      </c>
      <c r="M52" s="10">
        <v>2.0</v>
      </c>
      <c r="N52" s="11">
        <v>59.0</v>
      </c>
      <c r="O52" s="12">
        <v>0.0</v>
      </c>
      <c r="P52" s="10">
        <v>15.0</v>
      </c>
      <c r="Q52" s="11">
        <v>20.0</v>
      </c>
      <c r="R52" s="11">
        <v>12.0</v>
      </c>
      <c r="S52" s="13">
        <v>0.08333333333333333</v>
      </c>
      <c r="T52" s="11">
        <v>3.0</v>
      </c>
      <c r="U52" s="11">
        <v>5.0</v>
      </c>
      <c r="V52" s="17">
        <v>-2.0</v>
      </c>
      <c r="W52" s="15">
        <v>-0.030555555555555555</v>
      </c>
      <c r="X52" s="15">
        <v>-0.04097222222222222</v>
      </c>
      <c r="Y52" s="16" t="s">
        <v>304</v>
      </c>
    </row>
    <row r="53">
      <c r="A53" s="25" t="s">
        <v>0</v>
      </c>
      <c r="B53" s="26" t="s">
        <v>1</v>
      </c>
      <c r="C53" s="27" t="s">
        <v>2</v>
      </c>
      <c r="D53" s="27" t="s">
        <v>3</v>
      </c>
      <c r="E53" s="27" t="s">
        <v>4</v>
      </c>
      <c r="F53" s="27" t="s">
        <v>5</v>
      </c>
      <c r="G53" s="27" t="s">
        <v>6</v>
      </c>
      <c r="H53" s="28" t="s">
        <v>7</v>
      </c>
      <c r="I53" s="27" t="s">
        <v>8</v>
      </c>
      <c r="J53" s="27" t="s">
        <v>9</v>
      </c>
      <c r="K53" s="27" t="s">
        <v>10</v>
      </c>
      <c r="L53" s="27" t="s">
        <v>11</v>
      </c>
      <c r="M53" s="28" t="s">
        <v>12</v>
      </c>
      <c r="N53" s="27" t="s">
        <v>13</v>
      </c>
      <c r="O53" s="27" t="s">
        <v>14</v>
      </c>
      <c r="P53" s="28" t="s">
        <v>15</v>
      </c>
      <c r="Q53" s="27" t="s">
        <v>16</v>
      </c>
      <c r="R53" s="27" t="s">
        <v>17</v>
      </c>
      <c r="S53" s="28" t="s">
        <v>18</v>
      </c>
      <c r="T53" s="27" t="s">
        <v>19</v>
      </c>
      <c r="U53" s="27" t="s">
        <v>20</v>
      </c>
      <c r="V53" s="29" t="str">
        <f>+/-</f>
        <v>#ERROR!</v>
      </c>
      <c r="W53" s="29" t="str">
        <f>+/-90</f>
        <v>#ERROR!</v>
      </c>
      <c r="X53" s="27" t="s">
        <v>21</v>
      </c>
      <c r="Y53" s="28" t="s">
        <v>22</v>
      </c>
    </row>
    <row r="54">
      <c r="A54" s="6">
        <v>51.0</v>
      </c>
      <c r="B54" s="7" t="s">
        <v>305</v>
      </c>
      <c r="C54" s="8" t="s">
        <v>306</v>
      </c>
      <c r="D54" s="9" t="s">
        <v>66</v>
      </c>
      <c r="E54" s="7" t="s">
        <v>307</v>
      </c>
      <c r="F54" s="9">
        <v>20.0</v>
      </c>
      <c r="G54" s="9">
        <v>2003.0</v>
      </c>
      <c r="H54" s="10">
        <v>16.0</v>
      </c>
      <c r="I54" s="11">
        <v>1.228</v>
      </c>
      <c r="J54" s="11">
        <v>77.0</v>
      </c>
      <c r="K54" s="11" t="s">
        <v>308</v>
      </c>
      <c r="L54" s="11" t="s">
        <v>309</v>
      </c>
      <c r="M54" s="10">
        <v>13.0</v>
      </c>
      <c r="N54" s="11">
        <v>89.0</v>
      </c>
      <c r="O54" s="11">
        <v>12.0</v>
      </c>
      <c r="P54" s="10">
        <v>3.0</v>
      </c>
      <c r="Q54" s="11">
        <v>22.0</v>
      </c>
      <c r="R54" s="11">
        <v>1.0</v>
      </c>
      <c r="S54" s="13">
        <v>0.08055555555555556</v>
      </c>
      <c r="T54" s="11">
        <v>18.0</v>
      </c>
      <c r="U54" s="11">
        <v>13.0</v>
      </c>
      <c r="V54" s="14">
        <f>+5</f>
        <v>5</v>
      </c>
      <c r="W54" s="14" t="str">
        <f>+0.37</f>
        <v>#ERROR!</v>
      </c>
      <c r="X54" s="14" t="str">
        <f>+0.55</f>
        <v>#ERROR!</v>
      </c>
      <c r="Y54" s="16" t="s">
        <v>310</v>
      </c>
    </row>
    <row r="55">
      <c r="A55" s="6">
        <v>52.0</v>
      </c>
      <c r="B55" s="7" t="s">
        <v>311</v>
      </c>
      <c r="C55" s="8" t="s">
        <v>312</v>
      </c>
      <c r="D55" s="9" t="s">
        <v>73</v>
      </c>
      <c r="E55" s="7" t="s">
        <v>313</v>
      </c>
      <c r="F55" s="9">
        <v>21.0</v>
      </c>
      <c r="G55" s="9">
        <v>2002.0</v>
      </c>
      <c r="H55" s="18">
        <v>0.0</v>
      </c>
      <c r="I55" s="19"/>
      <c r="J55" s="19"/>
      <c r="K55" s="19"/>
      <c r="L55" s="19"/>
      <c r="M55" s="18">
        <v>0.0</v>
      </c>
      <c r="N55" s="19"/>
      <c r="O55" s="12">
        <v>0.0</v>
      </c>
      <c r="P55" s="18">
        <v>0.0</v>
      </c>
      <c r="Q55" s="19"/>
      <c r="R55" s="11">
        <v>10.0</v>
      </c>
      <c r="S55" s="24"/>
      <c r="T55" s="19"/>
      <c r="U55" s="19"/>
      <c r="V55" s="19"/>
      <c r="W55" s="19"/>
      <c r="X55" s="19"/>
      <c r="Y55" s="16" t="s">
        <v>314</v>
      </c>
    </row>
    <row r="56">
      <c r="A56" s="6">
        <v>53.0</v>
      </c>
      <c r="B56" s="7" t="s">
        <v>315</v>
      </c>
      <c r="C56" s="8" t="s">
        <v>316</v>
      </c>
      <c r="D56" s="9" t="s">
        <v>32</v>
      </c>
      <c r="E56" s="7" t="s">
        <v>317</v>
      </c>
      <c r="F56" s="9">
        <v>17.0</v>
      </c>
      <c r="G56" s="9">
        <v>2006.0</v>
      </c>
      <c r="H56" s="10">
        <v>4.0</v>
      </c>
      <c r="I56" s="11">
        <v>33.0</v>
      </c>
      <c r="J56" s="11">
        <v>8.0</v>
      </c>
      <c r="K56" s="11" t="s">
        <v>118</v>
      </c>
      <c r="L56" s="11" t="s">
        <v>318</v>
      </c>
      <c r="M56" s="18">
        <v>0.0</v>
      </c>
      <c r="N56" s="19"/>
      <c r="O56" s="12">
        <v>0.0</v>
      </c>
      <c r="P56" s="10">
        <v>4.0</v>
      </c>
      <c r="Q56" s="11">
        <v>8.0</v>
      </c>
      <c r="R56" s="11">
        <v>5.0</v>
      </c>
      <c r="S56" s="13">
        <v>0.017361111111111112</v>
      </c>
      <c r="T56" s="12">
        <v>0.0</v>
      </c>
      <c r="U56" s="12">
        <v>0.0</v>
      </c>
      <c r="V56" s="12">
        <v>0.0</v>
      </c>
      <c r="W56" s="21">
        <v>0.0</v>
      </c>
      <c r="X56" s="14" t="str">
        <f>+0.34</f>
        <v>#ERROR!</v>
      </c>
      <c r="Y56" s="16" t="s">
        <v>319</v>
      </c>
    </row>
    <row r="57">
      <c r="A57" s="6">
        <v>54.0</v>
      </c>
      <c r="B57" s="7" t="s">
        <v>320</v>
      </c>
      <c r="C57" s="8" t="s">
        <v>321</v>
      </c>
      <c r="D57" s="9" t="s">
        <v>52</v>
      </c>
      <c r="E57" s="7" t="s">
        <v>322</v>
      </c>
      <c r="F57" s="9">
        <v>24.0</v>
      </c>
      <c r="G57" s="9">
        <v>1999.0</v>
      </c>
      <c r="H57" s="10">
        <v>28.0</v>
      </c>
      <c r="I57" s="11">
        <v>2.334</v>
      </c>
      <c r="J57" s="11">
        <v>83.0</v>
      </c>
      <c r="K57" s="11" t="s">
        <v>323</v>
      </c>
      <c r="L57" s="11" t="s">
        <v>324</v>
      </c>
      <c r="M57" s="10">
        <v>26.0</v>
      </c>
      <c r="N57" s="11">
        <v>88.0</v>
      </c>
      <c r="O57" s="11">
        <v>22.0</v>
      </c>
      <c r="P57" s="10">
        <v>2.0</v>
      </c>
      <c r="Q57" s="11">
        <v>29.0</v>
      </c>
      <c r="R57" s="12">
        <v>0.0</v>
      </c>
      <c r="S57" s="13">
        <v>0.10347222222222222</v>
      </c>
      <c r="T57" s="11">
        <v>59.0</v>
      </c>
      <c r="U57" s="11">
        <v>19.0</v>
      </c>
      <c r="V57" s="14">
        <f>+40</f>
        <v>40</v>
      </c>
      <c r="W57" s="14" t="str">
        <f>+1.54</f>
        <v>#ERROR!</v>
      </c>
      <c r="X57" s="14" t="str">
        <f>+1.05</f>
        <v>#ERROR!</v>
      </c>
      <c r="Y57" s="16" t="s">
        <v>325</v>
      </c>
    </row>
    <row r="58">
      <c r="A58" s="6">
        <v>55.0</v>
      </c>
      <c r="B58" s="7" t="s">
        <v>326</v>
      </c>
      <c r="C58" s="8" t="s">
        <v>327</v>
      </c>
      <c r="D58" s="9" t="s">
        <v>52</v>
      </c>
      <c r="E58" s="7" t="s">
        <v>328</v>
      </c>
      <c r="F58" s="9">
        <v>30.0</v>
      </c>
      <c r="G58" s="9">
        <v>1993.0</v>
      </c>
      <c r="H58" s="10">
        <v>17.0</v>
      </c>
      <c r="I58" s="11">
        <v>967.0</v>
      </c>
      <c r="J58" s="11">
        <v>57.0</v>
      </c>
      <c r="K58" s="11" t="s">
        <v>329</v>
      </c>
      <c r="L58" s="11" t="s">
        <v>330</v>
      </c>
      <c r="M58" s="10">
        <v>11.0</v>
      </c>
      <c r="N58" s="11">
        <v>75.0</v>
      </c>
      <c r="O58" s="11">
        <v>3.0</v>
      </c>
      <c r="P58" s="10">
        <v>6.0</v>
      </c>
      <c r="Q58" s="11">
        <v>24.0</v>
      </c>
      <c r="R58" s="11">
        <v>4.0</v>
      </c>
      <c r="S58" s="13">
        <v>0.09583333333333334</v>
      </c>
      <c r="T58" s="11">
        <v>21.0</v>
      </c>
      <c r="U58" s="11">
        <v>10.0</v>
      </c>
      <c r="V58" s="14">
        <f>+11</f>
        <v>11</v>
      </c>
      <c r="W58" s="14" t="str">
        <f>+1.02</f>
        <v>#ERROR!</v>
      </c>
      <c r="X58" s="15">
        <v>-0.04097222222222222</v>
      </c>
      <c r="Y58" s="16" t="s">
        <v>331</v>
      </c>
    </row>
    <row r="59">
      <c r="A59" s="6">
        <v>56.0</v>
      </c>
      <c r="B59" s="7" t="s">
        <v>332</v>
      </c>
      <c r="C59" s="8" t="s">
        <v>333</v>
      </c>
      <c r="D59" s="9" t="s">
        <v>284</v>
      </c>
      <c r="E59" s="7" t="s">
        <v>334</v>
      </c>
      <c r="F59" s="9">
        <v>24.0</v>
      </c>
      <c r="G59" s="9">
        <v>1999.0</v>
      </c>
      <c r="H59" s="10">
        <v>15.0</v>
      </c>
      <c r="I59" s="11">
        <v>1.305</v>
      </c>
      <c r="J59" s="11">
        <v>87.0</v>
      </c>
      <c r="K59" s="11" t="s">
        <v>335</v>
      </c>
      <c r="L59" s="11" t="s">
        <v>141</v>
      </c>
      <c r="M59" s="10">
        <v>15.0</v>
      </c>
      <c r="N59" s="11">
        <v>87.0</v>
      </c>
      <c r="O59" s="11">
        <v>14.0</v>
      </c>
      <c r="P59" s="18">
        <v>0.0</v>
      </c>
      <c r="Q59" s="19"/>
      <c r="R59" s="12">
        <v>0.0</v>
      </c>
      <c r="S59" s="13">
        <v>0.05555555555555555</v>
      </c>
      <c r="T59" s="11">
        <v>19.0</v>
      </c>
      <c r="U59" s="11">
        <v>22.0</v>
      </c>
      <c r="V59" s="17">
        <v>-3.0</v>
      </c>
      <c r="W59" s="15">
        <v>-0.014583333333333334</v>
      </c>
      <c r="X59" s="14" t="str">
        <f>+0.24</f>
        <v>#ERROR!</v>
      </c>
      <c r="Y59" s="16" t="s">
        <v>336</v>
      </c>
    </row>
    <row r="60">
      <c r="A60" s="6">
        <v>57.0</v>
      </c>
      <c r="B60" s="7" t="s">
        <v>337</v>
      </c>
      <c r="C60" s="8" t="s">
        <v>338</v>
      </c>
      <c r="D60" s="9" t="s">
        <v>66</v>
      </c>
      <c r="E60" s="7" t="s">
        <v>339</v>
      </c>
      <c r="F60" s="9">
        <v>24.0</v>
      </c>
      <c r="G60" s="9">
        <v>1999.0</v>
      </c>
      <c r="H60" s="10">
        <v>6.0</v>
      </c>
      <c r="I60" s="11">
        <v>318.0</v>
      </c>
      <c r="J60" s="11">
        <v>53.0</v>
      </c>
      <c r="K60" s="11" t="s">
        <v>88</v>
      </c>
      <c r="L60" s="11" t="s">
        <v>340</v>
      </c>
      <c r="M60" s="10">
        <v>3.0</v>
      </c>
      <c r="N60" s="11">
        <v>85.0</v>
      </c>
      <c r="O60" s="11">
        <v>2.0</v>
      </c>
      <c r="P60" s="10">
        <v>3.0</v>
      </c>
      <c r="Q60" s="11">
        <v>21.0</v>
      </c>
      <c r="R60" s="11">
        <v>8.0</v>
      </c>
      <c r="S60" s="13">
        <v>0.08819444444444445</v>
      </c>
      <c r="T60" s="11">
        <v>3.0</v>
      </c>
      <c r="U60" s="11">
        <v>5.0</v>
      </c>
      <c r="V60" s="17">
        <v>-2.0</v>
      </c>
      <c r="W60" s="15">
        <v>-0.03958333333333333</v>
      </c>
      <c r="X60" s="15">
        <v>-0.043055555555555555</v>
      </c>
      <c r="Y60" s="16" t="s">
        <v>341</v>
      </c>
    </row>
    <row r="61">
      <c r="A61" s="6">
        <v>58.0</v>
      </c>
      <c r="B61" s="7" t="s">
        <v>342</v>
      </c>
      <c r="C61" s="8" t="s">
        <v>343</v>
      </c>
      <c r="D61" s="9" t="s">
        <v>32</v>
      </c>
      <c r="E61" s="7" t="s">
        <v>344</v>
      </c>
      <c r="F61" s="9">
        <v>28.0</v>
      </c>
      <c r="G61" s="9">
        <v>1995.0</v>
      </c>
      <c r="H61" s="10">
        <v>26.0</v>
      </c>
      <c r="I61" s="11">
        <v>2.209</v>
      </c>
      <c r="J61" s="11">
        <v>85.0</v>
      </c>
      <c r="K61" s="11" t="s">
        <v>345</v>
      </c>
      <c r="L61" s="11" t="s">
        <v>346</v>
      </c>
      <c r="M61" s="10">
        <v>25.0</v>
      </c>
      <c r="N61" s="11">
        <v>87.0</v>
      </c>
      <c r="O61" s="11">
        <v>18.0</v>
      </c>
      <c r="P61" s="10">
        <v>1.0</v>
      </c>
      <c r="Q61" s="11">
        <v>45.0</v>
      </c>
      <c r="R61" s="12">
        <v>0.0</v>
      </c>
      <c r="S61" s="13">
        <v>0.09513888888888888</v>
      </c>
      <c r="T61" s="11">
        <v>39.0</v>
      </c>
      <c r="U61" s="11">
        <v>27.0</v>
      </c>
      <c r="V61" s="14">
        <f>+12</f>
        <v>12</v>
      </c>
      <c r="W61" s="14" t="str">
        <f>+0.49</f>
        <v>#ERROR!</v>
      </c>
      <c r="X61" s="14" t="str">
        <f>+1.04</f>
        <v>#ERROR!</v>
      </c>
      <c r="Y61" s="16" t="s">
        <v>347</v>
      </c>
    </row>
    <row r="62">
      <c r="A62" s="6">
        <v>59.0</v>
      </c>
      <c r="B62" s="7" t="s">
        <v>348</v>
      </c>
      <c r="C62" s="8" t="s">
        <v>349</v>
      </c>
      <c r="D62" s="9" t="s">
        <v>73</v>
      </c>
      <c r="E62" s="7" t="s">
        <v>350</v>
      </c>
      <c r="F62" s="9">
        <v>21.0</v>
      </c>
      <c r="G62" s="9">
        <v>2002.0</v>
      </c>
      <c r="H62" s="10">
        <v>3.0</v>
      </c>
      <c r="I62" s="11">
        <v>270.0</v>
      </c>
      <c r="J62" s="11">
        <v>90.0</v>
      </c>
      <c r="K62" s="11" t="s">
        <v>268</v>
      </c>
      <c r="L62" s="11" t="s">
        <v>351</v>
      </c>
      <c r="M62" s="10">
        <v>3.0</v>
      </c>
      <c r="N62" s="11">
        <v>90.0</v>
      </c>
      <c r="O62" s="11">
        <v>3.0</v>
      </c>
      <c r="P62" s="18">
        <v>0.0</v>
      </c>
      <c r="Q62" s="19"/>
      <c r="R62" s="11">
        <v>8.0</v>
      </c>
      <c r="S62" s="13">
        <v>0.06458333333333334</v>
      </c>
      <c r="T62" s="11">
        <v>9.0</v>
      </c>
      <c r="U62" s="11">
        <v>6.0</v>
      </c>
      <c r="V62" s="14">
        <f>+3</f>
        <v>3</v>
      </c>
      <c r="W62" s="14" t="str">
        <f>+1.00</f>
        <v>#ERROR!</v>
      </c>
      <c r="X62" s="14" t="str">
        <f>+1.37</f>
        <v>#ERROR!</v>
      </c>
      <c r="Y62" s="16" t="s">
        <v>352</v>
      </c>
    </row>
    <row r="63">
      <c r="A63" s="6">
        <v>60.0</v>
      </c>
      <c r="B63" s="7" t="s">
        <v>353</v>
      </c>
      <c r="C63" s="8" t="s">
        <v>354</v>
      </c>
      <c r="D63" s="9" t="s">
        <v>52</v>
      </c>
      <c r="E63" s="7" t="s">
        <v>355</v>
      </c>
      <c r="F63" s="9">
        <v>17.0</v>
      </c>
      <c r="G63" s="9">
        <v>2006.0</v>
      </c>
      <c r="H63" s="10">
        <v>12.0</v>
      </c>
      <c r="I63" s="11">
        <v>923.0</v>
      </c>
      <c r="J63" s="11">
        <v>77.0</v>
      </c>
      <c r="K63" s="11" t="s">
        <v>356</v>
      </c>
      <c r="L63" s="11" t="s">
        <v>357</v>
      </c>
      <c r="M63" s="10">
        <v>11.0</v>
      </c>
      <c r="N63" s="11">
        <v>81.0</v>
      </c>
      <c r="O63" s="11">
        <v>4.0</v>
      </c>
      <c r="P63" s="10">
        <v>1.0</v>
      </c>
      <c r="Q63" s="11">
        <v>33.0</v>
      </c>
      <c r="R63" s="12">
        <v>0.0</v>
      </c>
      <c r="S63" s="13">
        <v>0.08888888888888889</v>
      </c>
      <c r="T63" s="11">
        <v>20.0</v>
      </c>
      <c r="U63" s="11">
        <v>10.0</v>
      </c>
      <c r="V63" s="14">
        <f>+10</f>
        <v>10</v>
      </c>
      <c r="W63" s="14" t="str">
        <f>+0.98</f>
        <v>#ERROR!</v>
      </c>
      <c r="X63" s="14" t="str">
        <f>+0.98</f>
        <v>#ERROR!</v>
      </c>
      <c r="Y63" s="16" t="s">
        <v>358</v>
      </c>
    </row>
    <row r="64">
      <c r="A64" s="6">
        <v>61.0</v>
      </c>
      <c r="B64" s="7" t="s">
        <v>359</v>
      </c>
      <c r="C64" s="8" t="s">
        <v>360</v>
      </c>
      <c r="D64" s="9" t="s">
        <v>66</v>
      </c>
      <c r="E64" s="7" t="s">
        <v>361</v>
      </c>
      <c r="F64" s="9">
        <v>19.0</v>
      </c>
      <c r="G64" s="9">
        <v>2004.0</v>
      </c>
      <c r="H64" s="10">
        <v>2.0</v>
      </c>
      <c r="I64" s="11">
        <v>78.0</v>
      </c>
      <c r="J64" s="11">
        <v>39.0</v>
      </c>
      <c r="K64" s="11" t="s">
        <v>362</v>
      </c>
      <c r="L64" s="11" t="s">
        <v>194</v>
      </c>
      <c r="M64" s="18">
        <v>0.0</v>
      </c>
      <c r="N64" s="19"/>
      <c r="O64" s="12">
        <v>0.0</v>
      </c>
      <c r="P64" s="10">
        <v>2.0</v>
      </c>
      <c r="Q64" s="11">
        <v>39.0</v>
      </c>
      <c r="R64" s="11">
        <v>6.0</v>
      </c>
      <c r="S64" s="13">
        <v>0.0763888888888889</v>
      </c>
      <c r="T64" s="12">
        <v>0.0</v>
      </c>
      <c r="U64" s="11">
        <v>3.0</v>
      </c>
      <c r="V64" s="17">
        <v>-3.0</v>
      </c>
      <c r="W64" s="15">
        <v>-0.15694444444444444</v>
      </c>
      <c r="X64" s="15">
        <v>-0.18819444444444444</v>
      </c>
      <c r="Y64" s="16" t="s">
        <v>363</v>
      </c>
    </row>
    <row r="65">
      <c r="A65" s="6">
        <v>62.0</v>
      </c>
      <c r="B65" s="7" t="s">
        <v>364</v>
      </c>
      <c r="C65" s="8" t="s">
        <v>365</v>
      </c>
      <c r="D65" s="9" t="s">
        <v>66</v>
      </c>
      <c r="E65" s="7" t="s">
        <v>366</v>
      </c>
      <c r="F65" s="9">
        <v>19.0</v>
      </c>
      <c r="G65" s="9">
        <v>2004.0</v>
      </c>
      <c r="H65" s="10">
        <v>8.0</v>
      </c>
      <c r="I65" s="11">
        <v>325.0</v>
      </c>
      <c r="J65" s="11">
        <v>41.0</v>
      </c>
      <c r="K65" s="11" t="s">
        <v>76</v>
      </c>
      <c r="L65" s="11" t="s">
        <v>367</v>
      </c>
      <c r="M65" s="10">
        <v>4.0</v>
      </c>
      <c r="N65" s="11">
        <v>63.0</v>
      </c>
      <c r="O65" s="12">
        <v>0.0</v>
      </c>
      <c r="P65" s="10">
        <v>4.0</v>
      </c>
      <c r="Q65" s="11">
        <v>19.0</v>
      </c>
      <c r="R65" s="11">
        <v>2.0</v>
      </c>
      <c r="S65" s="13">
        <v>0.04375</v>
      </c>
      <c r="T65" s="11">
        <v>3.0</v>
      </c>
      <c r="U65" s="11">
        <v>2.0</v>
      </c>
      <c r="V65" s="14">
        <f>+1</f>
        <v>1</v>
      </c>
      <c r="W65" s="14" t="str">
        <f>+0.28</f>
        <v>#ERROR!</v>
      </c>
      <c r="X65" s="14" t="str">
        <f>+0.58</f>
        <v>#ERROR!</v>
      </c>
      <c r="Y65" s="16" t="s">
        <v>368</v>
      </c>
    </row>
    <row r="66">
      <c r="A66" s="6">
        <v>63.0</v>
      </c>
      <c r="B66" s="7" t="s">
        <v>369</v>
      </c>
      <c r="C66" s="8" t="s">
        <v>370</v>
      </c>
      <c r="D66" s="9" t="s">
        <v>59</v>
      </c>
      <c r="E66" s="7" t="s">
        <v>371</v>
      </c>
      <c r="F66" s="9">
        <v>32.0</v>
      </c>
      <c r="G66" s="9">
        <v>1991.0</v>
      </c>
      <c r="H66" s="10">
        <v>28.0</v>
      </c>
      <c r="I66" s="11">
        <v>2.438</v>
      </c>
      <c r="J66" s="11">
        <v>87.0</v>
      </c>
      <c r="K66" s="11" t="s">
        <v>372</v>
      </c>
      <c r="L66" s="11" t="s">
        <v>373</v>
      </c>
      <c r="M66" s="10">
        <v>28.0</v>
      </c>
      <c r="N66" s="11">
        <v>87.0</v>
      </c>
      <c r="O66" s="11">
        <v>23.0</v>
      </c>
      <c r="P66" s="18">
        <v>0.0</v>
      </c>
      <c r="Q66" s="19"/>
      <c r="R66" s="11">
        <v>1.0</v>
      </c>
      <c r="S66" s="13">
        <v>0.09861111111111111</v>
      </c>
      <c r="T66" s="11">
        <v>45.0</v>
      </c>
      <c r="U66" s="11">
        <v>24.0</v>
      </c>
      <c r="V66" s="14">
        <f>+21</f>
        <v>21</v>
      </c>
      <c r="W66" s="14" t="str">
        <f>+0.78</f>
        <v>#ERROR!</v>
      </c>
      <c r="X66" s="14" t="str">
        <f>+0.09</f>
        <v>#ERROR!</v>
      </c>
      <c r="Y66" s="16" t="s">
        <v>374</v>
      </c>
    </row>
    <row r="67">
      <c r="A67" s="6">
        <v>64.0</v>
      </c>
      <c r="B67" s="7" t="s">
        <v>375</v>
      </c>
      <c r="C67" s="8" t="s">
        <v>376</v>
      </c>
      <c r="D67" s="9" t="s">
        <v>59</v>
      </c>
      <c r="E67" s="7" t="s">
        <v>377</v>
      </c>
      <c r="F67" s="9">
        <v>30.0</v>
      </c>
      <c r="G67" s="9">
        <v>1994.0</v>
      </c>
      <c r="H67" s="10">
        <v>20.0</v>
      </c>
      <c r="I67" s="11">
        <v>1.063</v>
      </c>
      <c r="J67" s="11">
        <v>53.0</v>
      </c>
      <c r="K67" s="11" t="s">
        <v>378</v>
      </c>
      <c r="L67" s="11" t="s">
        <v>88</v>
      </c>
      <c r="M67" s="10">
        <v>14.0</v>
      </c>
      <c r="N67" s="11">
        <v>70.0</v>
      </c>
      <c r="O67" s="11">
        <v>2.0</v>
      </c>
      <c r="P67" s="10">
        <v>6.0</v>
      </c>
      <c r="Q67" s="11">
        <v>15.0</v>
      </c>
      <c r="R67" s="11">
        <v>1.0</v>
      </c>
      <c r="S67" s="13">
        <v>0.08680555555555555</v>
      </c>
      <c r="T67" s="11">
        <v>19.0</v>
      </c>
      <c r="U67" s="11">
        <v>22.0</v>
      </c>
      <c r="V67" s="17">
        <v>-3.0</v>
      </c>
      <c r="W67" s="15">
        <v>-0.017361111111111112</v>
      </c>
      <c r="X67" s="15">
        <v>-0.04791666666666667</v>
      </c>
      <c r="Y67" s="16" t="s">
        <v>379</v>
      </c>
    </row>
    <row r="68">
      <c r="A68" s="6">
        <v>65.0</v>
      </c>
      <c r="B68" s="7" t="s">
        <v>380</v>
      </c>
      <c r="C68" s="8" t="s">
        <v>381</v>
      </c>
      <c r="D68" s="9" t="s">
        <v>32</v>
      </c>
      <c r="E68" s="7" t="s">
        <v>382</v>
      </c>
      <c r="F68" s="9">
        <v>18.0</v>
      </c>
      <c r="G68" s="9">
        <v>2005.0</v>
      </c>
      <c r="H68" s="10">
        <v>4.0</v>
      </c>
      <c r="I68" s="11">
        <v>82.0</v>
      </c>
      <c r="J68" s="11">
        <v>21.0</v>
      </c>
      <c r="K68" s="11" t="s">
        <v>351</v>
      </c>
      <c r="L68" s="11" t="s">
        <v>194</v>
      </c>
      <c r="M68" s="18">
        <v>0.0</v>
      </c>
      <c r="N68" s="19"/>
      <c r="O68" s="12">
        <v>0.0</v>
      </c>
      <c r="P68" s="10">
        <v>4.0</v>
      </c>
      <c r="Q68" s="11">
        <v>21.0</v>
      </c>
      <c r="R68" s="11">
        <v>6.0</v>
      </c>
      <c r="S68" s="13">
        <v>0.052083333333333336</v>
      </c>
      <c r="T68" s="12">
        <v>0.0</v>
      </c>
      <c r="U68" s="11">
        <v>2.0</v>
      </c>
      <c r="V68" s="17">
        <v>-2.0</v>
      </c>
      <c r="W68" s="15">
        <v>-0.09722222222222222</v>
      </c>
      <c r="X68" s="15">
        <v>-0.10555555555555556</v>
      </c>
      <c r="Y68" s="16" t="s">
        <v>383</v>
      </c>
    </row>
    <row r="69">
      <c r="A69" s="6">
        <v>66.0</v>
      </c>
      <c r="B69" s="7" t="s">
        <v>384</v>
      </c>
      <c r="C69" s="8" t="s">
        <v>385</v>
      </c>
      <c r="D69" s="9" t="s">
        <v>66</v>
      </c>
      <c r="E69" s="7" t="s">
        <v>386</v>
      </c>
      <c r="F69" s="9">
        <v>28.0</v>
      </c>
      <c r="G69" s="9">
        <v>1995.0</v>
      </c>
      <c r="H69" s="10">
        <v>2.0</v>
      </c>
      <c r="I69" s="11">
        <v>7.0</v>
      </c>
      <c r="J69" s="11">
        <v>4.0</v>
      </c>
      <c r="K69" s="11" t="s">
        <v>195</v>
      </c>
      <c r="L69" s="11" t="s">
        <v>155</v>
      </c>
      <c r="M69" s="18">
        <v>0.0</v>
      </c>
      <c r="N69" s="19"/>
      <c r="O69" s="12">
        <v>0.0</v>
      </c>
      <c r="P69" s="10">
        <v>2.0</v>
      </c>
      <c r="Q69" s="11">
        <v>4.0</v>
      </c>
      <c r="R69" s="12">
        <v>0.0</v>
      </c>
      <c r="S69" s="13">
        <v>0.125</v>
      </c>
      <c r="T69" s="11">
        <v>1.0</v>
      </c>
      <c r="U69" s="12">
        <v>0.0</v>
      </c>
      <c r="V69" s="14">
        <f>+1</f>
        <v>1</v>
      </c>
      <c r="W69" s="14" t="str">
        <f>+12.86</f>
        <v>#ERROR!</v>
      </c>
      <c r="X69" s="14" t="str">
        <f>+12.82</f>
        <v>#ERROR!</v>
      </c>
      <c r="Y69" s="16" t="s">
        <v>387</v>
      </c>
    </row>
    <row r="70">
      <c r="A70" s="6">
        <v>67.0</v>
      </c>
      <c r="B70" s="7" t="s">
        <v>388</v>
      </c>
      <c r="C70" s="8" t="s">
        <v>389</v>
      </c>
      <c r="D70" s="9" t="s">
        <v>73</v>
      </c>
      <c r="E70" s="7" t="s">
        <v>390</v>
      </c>
      <c r="F70" s="9">
        <v>18.0</v>
      </c>
      <c r="G70" s="9">
        <v>2005.0</v>
      </c>
      <c r="H70" s="10">
        <v>16.0</v>
      </c>
      <c r="I70" s="11">
        <v>1.388</v>
      </c>
      <c r="J70" s="11">
        <v>87.0</v>
      </c>
      <c r="K70" s="11" t="s">
        <v>391</v>
      </c>
      <c r="L70" s="11" t="s">
        <v>392</v>
      </c>
      <c r="M70" s="10">
        <v>16.0</v>
      </c>
      <c r="N70" s="11">
        <v>87.0</v>
      </c>
      <c r="O70" s="11">
        <v>15.0</v>
      </c>
      <c r="P70" s="18">
        <v>0.0</v>
      </c>
      <c r="Q70" s="19"/>
      <c r="R70" s="11">
        <v>13.0</v>
      </c>
      <c r="S70" s="13">
        <v>0.050694444444444445</v>
      </c>
      <c r="T70" s="11">
        <v>16.0</v>
      </c>
      <c r="U70" s="11">
        <v>22.0</v>
      </c>
      <c r="V70" s="17">
        <v>-6.0</v>
      </c>
      <c r="W70" s="15">
        <v>-0.027083333333333334</v>
      </c>
      <c r="X70" s="15">
        <v>-0.007638888888888889</v>
      </c>
      <c r="Y70" s="16" t="s">
        <v>393</v>
      </c>
    </row>
    <row r="71">
      <c r="A71" s="6">
        <v>68.0</v>
      </c>
      <c r="B71" s="7" t="s">
        <v>394</v>
      </c>
      <c r="C71" s="8" t="s">
        <v>395</v>
      </c>
      <c r="D71" s="9" t="s">
        <v>59</v>
      </c>
      <c r="E71" s="7" t="s">
        <v>396</v>
      </c>
      <c r="F71" s="9">
        <v>24.0</v>
      </c>
      <c r="G71" s="9">
        <v>2000.0</v>
      </c>
      <c r="H71" s="10">
        <v>26.0</v>
      </c>
      <c r="I71" s="11">
        <v>926.0</v>
      </c>
      <c r="J71" s="11">
        <v>36.0</v>
      </c>
      <c r="K71" s="11" t="s">
        <v>397</v>
      </c>
      <c r="L71" s="11" t="s">
        <v>357</v>
      </c>
      <c r="M71" s="10">
        <v>8.0</v>
      </c>
      <c r="N71" s="11">
        <v>80.0</v>
      </c>
      <c r="O71" s="11">
        <v>1.0</v>
      </c>
      <c r="P71" s="10">
        <v>18.0</v>
      </c>
      <c r="Q71" s="11">
        <v>16.0</v>
      </c>
      <c r="R71" s="11">
        <v>2.0</v>
      </c>
      <c r="S71" s="13">
        <v>0.05</v>
      </c>
      <c r="T71" s="11">
        <v>9.0</v>
      </c>
      <c r="U71" s="11">
        <v>19.0</v>
      </c>
      <c r="V71" s="17">
        <v>-10.0</v>
      </c>
      <c r="W71" s="15">
        <v>-0.06736111111111111</v>
      </c>
      <c r="X71" s="15">
        <v>-0.02847222222222222</v>
      </c>
      <c r="Y71" s="16" t="s">
        <v>398</v>
      </c>
    </row>
    <row r="72">
      <c r="A72" s="6">
        <v>69.0</v>
      </c>
      <c r="B72" s="7" t="s">
        <v>399</v>
      </c>
      <c r="C72" s="8" t="s">
        <v>400</v>
      </c>
      <c r="D72" s="9" t="s">
        <v>284</v>
      </c>
      <c r="E72" s="7" t="s">
        <v>401</v>
      </c>
      <c r="F72" s="9">
        <v>27.0</v>
      </c>
      <c r="G72" s="9">
        <v>1996.0</v>
      </c>
      <c r="H72" s="10">
        <v>15.0</v>
      </c>
      <c r="I72" s="11">
        <v>747.0</v>
      </c>
      <c r="J72" s="11">
        <v>50.0</v>
      </c>
      <c r="K72" s="11" t="s">
        <v>402</v>
      </c>
      <c r="L72" s="11" t="s">
        <v>287</v>
      </c>
      <c r="M72" s="10">
        <v>8.0</v>
      </c>
      <c r="N72" s="11">
        <v>81.0</v>
      </c>
      <c r="O72" s="11">
        <v>5.0</v>
      </c>
      <c r="P72" s="10">
        <v>7.0</v>
      </c>
      <c r="Q72" s="11">
        <v>15.0</v>
      </c>
      <c r="R72" s="11">
        <v>8.0</v>
      </c>
      <c r="S72" s="13">
        <v>0.050694444444444445</v>
      </c>
      <c r="T72" s="11">
        <v>11.0</v>
      </c>
      <c r="U72" s="11">
        <v>18.0</v>
      </c>
      <c r="V72" s="17">
        <v>-7.0</v>
      </c>
      <c r="W72" s="15">
        <v>-0.058333333333333334</v>
      </c>
      <c r="X72" s="15">
        <v>-0.058333333333333334</v>
      </c>
      <c r="Y72" s="16" t="s">
        <v>403</v>
      </c>
    </row>
    <row r="73">
      <c r="A73" s="6">
        <v>70.0</v>
      </c>
      <c r="B73" s="7" t="s">
        <v>404</v>
      </c>
      <c r="C73" s="8" t="s">
        <v>405</v>
      </c>
      <c r="D73" s="9" t="s">
        <v>66</v>
      </c>
      <c r="E73" s="7" t="s">
        <v>406</v>
      </c>
      <c r="F73" s="9">
        <v>28.0</v>
      </c>
      <c r="G73" s="9">
        <v>1995.0</v>
      </c>
      <c r="H73" s="10">
        <v>24.0</v>
      </c>
      <c r="I73" s="11">
        <v>1.348</v>
      </c>
      <c r="J73" s="11">
        <v>56.0</v>
      </c>
      <c r="K73" s="11" t="s">
        <v>407</v>
      </c>
      <c r="L73" s="11" t="s">
        <v>175</v>
      </c>
      <c r="M73" s="10">
        <v>12.0</v>
      </c>
      <c r="N73" s="11">
        <v>90.0</v>
      </c>
      <c r="O73" s="11">
        <v>12.0</v>
      </c>
      <c r="P73" s="10">
        <v>12.0</v>
      </c>
      <c r="Q73" s="11">
        <v>22.0</v>
      </c>
      <c r="R73" s="11">
        <v>6.0</v>
      </c>
      <c r="S73" s="13">
        <v>0.0763888888888889</v>
      </c>
      <c r="T73" s="11">
        <v>25.0</v>
      </c>
      <c r="U73" s="11">
        <v>29.0</v>
      </c>
      <c r="V73" s="17">
        <v>-4.0</v>
      </c>
      <c r="W73" s="15">
        <v>-0.01875</v>
      </c>
      <c r="X73" s="15">
        <v>-0.06041666666666667</v>
      </c>
      <c r="Y73" s="16" t="s">
        <v>408</v>
      </c>
    </row>
    <row r="74">
      <c r="A74" s="6">
        <v>71.0</v>
      </c>
      <c r="B74" s="7" t="s">
        <v>409</v>
      </c>
      <c r="C74" s="8" t="s">
        <v>410</v>
      </c>
      <c r="D74" s="9" t="s">
        <v>73</v>
      </c>
      <c r="E74" s="7" t="s">
        <v>411</v>
      </c>
      <c r="F74" s="9">
        <v>30.0</v>
      </c>
      <c r="G74" s="9">
        <v>1993.0</v>
      </c>
      <c r="H74" s="10">
        <v>2.0</v>
      </c>
      <c r="I74" s="11">
        <v>180.0</v>
      </c>
      <c r="J74" s="11">
        <v>90.0</v>
      </c>
      <c r="K74" s="11" t="s">
        <v>412</v>
      </c>
      <c r="L74" s="11" t="s">
        <v>413</v>
      </c>
      <c r="M74" s="10">
        <v>2.0</v>
      </c>
      <c r="N74" s="11">
        <v>90.0</v>
      </c>
      <c r="O74" s="11">
        <v>2.0</v>
      </c>
      <c r="P74" s="18">
        <v>0.0</v>
      </c>
      <c r="Q74" s="19"/>
      <c r="R74" s="11">
        <v>28.0</v>
      </c>
      <c r="S74" s="20">
        <v>0.0</v>
      </c>
      <c r="T74" s="12">
        <v>0.0</v>
      </c>
      <c r="U74" s="11">
        <v>2.0</v>
      </c>
      <c r="V74" s="17">
        <v>-2.0</v>
      </c>
      <c r="W74" s="15">
        <v>-0.041666666666666664</v>
      </c>
      <c r="X74" s="15">
        <v>-0.10347222222222222</v>
      </c>
      <c r="Y74" s="16" t="s">
        <v>414</v>
      </c>
    </row>
    <row r="75">
      <c r="A75" s="6">
        <v>72.0</v>
      </c>
      <c r="B75" s="7" t="s">
        <v>415</v>
      </c>
      <c r="C75" s="8" t="s">
        <v>416</v>
      </c>
      <c r="D75" s="9" t="s">
        <v>52</v>
      </c>
      <c r="E75" s="7" t="s">
        <v>417</v>
      </c>
      <c r="F75" s="9">
        <v>30.0</v>
      </c>
      <c r="G75" s="9">
        <v>1993.0</v>
      </c>
      <c r="H75" s="10">
        <v>5.0</v>
      </c>
      <c r="I75" s="11">
        <v>84.0</v>
      </c>
      <c r="J75" s="11">
        <v>17.0</v>
      </c>
      <c r="K75" s="11" t="s">
        <v>418</v>
      </c>
      <c r="L75" s="11" t="s">
        <v>194</v>
      </c>
      <c r="M75" s="18">
        <v>0.0</v>
      </c>
      <c r="N75" s="19"/>
      <c r="O75" s="12">
        <v>0.0</v>
      </c>
      <c r="P75" s="10">
        <v>5.0</v>
      </c>
      <c r="Q75" s="11">
        <v>17.0</v>
      </c>
      <c r="R75" s="11">
        <v>15.0</v>
      </c>
      <c r="S75" s="13">
        <v>0.09722222222222222</v>
      </c>
      <c r="T75" s="11">
        <v>1.0</v>
      </c>
      <c r="U75" s="11">
        <v>4.0</v>
      </c>
      <c r="V75" s="17">
        <v>-3.0</v>
      </c>
      <c r="W75" s="15">
        <v>-0.13958333333333334</v>
      </c>
      <c r="X75" s="15">
        <v>-0.13194444444444445</v>
      </c>
      <c r="Y75" s="16" t="s">
        <v>419</v>
      </c>
    </row>
    <row r="76">
      <c r="A76" s="6">
        <v>73.0</v>
      </c>
      <c r="B76" s="7" t="s">
        <v>420</v>
      </c>
      <c r="C76" s="8" t="s">
        <v>421</v>
      </c>
      <c r="D76" s="9" t="s">
        <v>59</v>
      </c>
      <c r="E76" s="7" t="s">
        <v>422</v>
      </c>
      <c r="F76" s="9">
        <v>20.0</v>
      </c>
      <c r="G76" s="9">
        <v>2003.0</v>
      </c>
      <c r="H76" s="10">
        <v>25.0</v>
      </c>
      <c r="I76" s="11">
        <v>1.274</v>
      </c>
      <c r="J76" s="11">
        <v>51.0</v>
      </c>
      <c r="K76" s="11" t="s">
        <v>423</v>
      </c>
      <c r="L76" s="11" t="s">
        <v>41</v>
      </c>
      <c r="M76" s="10">
        <v>14.0</v>
      </c>
      <c r="N76" s="11">
        <v>75.0</v>
      </c>
      <c r="O76" s="11">
        <v>4.0</v>
      </c>
      <c r="P76" s="10">
        <v>11.0</v>
      </c>
      <c r="Q76" s="11">
        <v>20.0</v>
      </c>
      <c r="R76" s="11">
        <v>4.0</v>
      </c>
      <c r="S76" s="13">
        <v>0.08888888888888889</v>
      </c>
      <c r="T76" s="11">
        <v>31.0</v>
      </c>
      <c r="U76" s="11">
        <v>12.0</v>
      </c>
      <c r="V76" s="14">
        <f>+19</f>
        <v>19</v>
      </c>
      <c r="W76" s="14" t="str">
        <f>+1.34</f>
        <v>#ERROR!</v>
      </c>
      <c r="X76" s="15">
        <v>-0.007638888888888889</v>
      </c>
      <c r="Y76" s="16" t="s">
        <v>424</v>
      </c>
    </row>
    <row r="77">
      <c r="A77" s="6">
        <v>74.0</v>
      </c>
      <c r="B77" s="7" t="s">
        <v>425</v>
      </c>
      <c r="C77" s="8" t="s">
        <v>426</v>
      </c>
      <c r="D77" s="9" t="s">
        <v>52</v>
      </c>
      <c r="E77" s="7" t="s">
        <v>427</v>
      </c>
      <c r="F77" s="9">
        <v>19.0</v>
      </c>
      <c r="G77" s="9">
        <v>2004.0</v>
      </c>
      <c r="H77" s="10">
        <v>4.0</v>
      </c>
      <c r="I77" s="11">
        <v>62.0</v>
      </c>
      <c r="J77" s="11">
        <v>16.0</v>
      </c>
      <c r="K77" s="11" t="s">
        <v>207</v>
      </c>
      <c r="L77" s="11" t="s">
        <v>180</v>
      </c>
      <c r="M77" s="10">
        <v>1.0</v>
      </c>
      <c r="N77" s="11">
        <v>45.0</v>
      </c>
      <c r="O77" s="12">
        <v>0.0</v>
      </c>
      <c r="P77" s="10">
        <v>3.0</v>
      </c>
      <c r="Q77" s="11">
        <v>6.0</v>
      </c>
      <c r="R77" s="11">
        <v>3.0</v>
      </c>
      <c r="S77" s="13">
        <v>0.059027777777777776</v>
      </c>
      <c r="T77" s="12">
        <v>0.0</v>
      </c>
      <c r="U77" s="11">
        <v>2.0</v>
      </c>
      <c r="V77" s="17">
        <v>-2.0</v>
      </c>
      <c r="W77" s="15">
        <v>-0.14583333333333334</v>
      </c>
      <c r="X77" s="15">
        <v>-0.10138888888888889</v>
      </c>
      <c r="Y77" s="16" t="s">
        <v>428</v>
      </c>
    </row>
    <row r="78">
      <c r="A78" s="6">
        <v>75.0</v>
      </c>
      <c r="B78" s="7" t="s">
        <v>429</v>
      </c>
      <c r="C78" s="8" t="s">
        <v>430</v>
      </c>
      <c r="D78" s="9" t="s">
        <v>284</v>
      </c>
      <c r="E78" s="7" t="s">
        <v>431</v>
      </c>
      <c r="F78" s="9">
        <v>22.0</v>
      </c>
      <c r="G78" s="9">
        <v>2001.0</v>
      </c>
      <c r="H78" s="10">
        <v>17.0</v>
      </c>
      <c r="I78" s="11">
        <v>1.513</v>
      </c>
      <c r="J78" s="11">
        <v>89.0</v>
      </c>
      <c r="K78" s="11" t="s">
        <v>432</v>
      </c>
      <c r="L78" s="11" t="s">
        <v>433</v>
      </c>
      <c r="M78" s="10">
        <v>17.0</v>
      </c>
      <c r="N78" s="11">
        <v>89.0</v>
      </c>
      <c r="O78" s="11">
        <v>14.0</v>
      </c>
      <c r="P78" s="18">
        <v>0.0</v>
      </c>
      <c r="Q78" s="19"/>
      <c r="R78" s="12">
        <v>0.0</v>
      </c>
      <c r="S78" s="13">
        <v>0.06111111111111111</v>
      </c>
      <c r="T78" s="11">
        <v>14.0</v>
      </c>
      <c r="U78" s="11">
        <v>26.0</v>
      </c>
      <c r="V78" s="17">
        <v>-12.0</v>
      </c>
      <c r="W78" s="15">
        <v>-0.049305555555555554</v>
      </c>
      <c r="X78" s="15">
        <v>-0.018055555555555554</v>
      </c>
      <c r="Y78" s="16" t="s">
        <v>434</v>
      </c>
    </row>
    <row r="79">
      <c r="A79" s="25" t="s">
        <v>0</v>
      </c>
      <c r="B79" s="26" t="s">
        <v>1</v>
      </c>
      <c r="C79" s="27" t="s">
        <v>2</v>
      </c>
      <c r="D79" s="27" t="s">
        <v>3</v>
      </c>
      <c r="E79" s="27" t="s">
        <v>4</v>
      </c>
      <c r="F79" s="27" t="s">
        <v>5</v>
      </c>
      <c r="G79" s="27" t="s">
        <v>6</v>
      </c>
      <c r="H79" s="28" t="s">
        <v>7</v>
      </c>
      <c r="I79" s="27" t="s">
        <v>8</v>
      </c>
      <c r="J79" s="27" t="s">
        <v>9</v>
      </c>
      <c r="K79" s="27" t="s">
        <v>10</v>
      </c>
      <c r="L79" s="27" t="s">
        <v>11</v>
      </c>
      <c r="M79" s="28" t="s">
        <v>12</v>
      </c>
      <c r="N79" s="27" t="s">
        <v>13</v>
      </c>
      <c r="O79" s="27" t="s">
        <v>14</v>
      </c>
      <c r="P79" s="28" t="s">
        <v>15</v>
      </c>
      <c r="Q79" s="27" t="s">
        <v>16</v>
      </c>
      <c r="R79" s="27" t="s">
        <v>17</v>
      </c>
      <c r="S79" s="28" t="s">
        <v>18</v>
      </c>
      <c r="T79" s="27" t="s">
        <v>19</v>
      </c>
      <c r="U79" s="27" t="s">
        <v>20</v>
      </c>
      <c r="V79" s="29" t="str">
        <f>+/-</f>
        <v>#ERROR!</v>
      </c>
      <c r="W79" s="29" t="str">
        <f>+/-90</f>
        <v>#ERROR!</v>
      </c>
      <c r="X79" s="27" t="s">
        <v>21</v>
      </c>
      <c r="Y79" s="28" t="s">
        <v>22</v>
      </c>
    </row>
    <row r="80">
      <c r="A80" s="6">
        <v>76.0</v>
      </c>
      <c r="B80" s="7" t="s">
        <v>435</v>
      </c>
      <c r="C80" s="8" t="s">
        <v>436</v>
      </c>
      <c r="D80" s="9" t="s">
        <v>66</v>
      </c>
      <c r="E80" s="7" t="s">
        <v>437</v>
      </c>
      <c r="F80" s="9">
        <v>22.0</v>
      </c>
      <c r="G80" s="9">
        <v>2001.0</v>
      </c>
      <c r="H80" s="10">
        <v>4.0</v>
      </c>
      <c r="I80" s="11">
        <v>260.0</v>
      </c>
      <c r="J80" s="11">
        <v>65.0</v>
      </c>
      <c r="K80" s="11" t="s">
        <v>438</v>
      </c>
      <c r="L80" s="11" t="s">
        <v>362</v>
      </c>
      <c r="M80" s="10">
        <v>3.0</v>
      </c>
      <c r="N80" s="11">
        <v>86.0</v>
      </c>
      <c r="O80" s="11">
        <v>2.0</v>
      </c>
      <c r="P80" s="10">
        <v>1.0</v>
      </c>
      <c r="Q80" s="11">
        <v>3.0</v>
      </c>
      <c r="R80" s="11">
        <v>8.0</v>
      </c>
      <c r="S80" s="13">
        <v>0.0763888888888889</v>
      </c>
      <c r="T80" s="11">
        <v>2.0</v>
      </c>
      <c r="U80" s="11">
        <v>3.0</v>
      </c>
      <c r="V80" s="17">
        <v>-1.0</v>
      </c>
      <c r="W80" s="15">
        <v>-0.024305555555555556</v>
      </c>
      <c r="X80" s="15">
        <v>-0.04722222222222222</v>
      </c>
      <c r="Y80" s="16" t="s">
        <v>439</v>
      </c>
    </row>
    <row r="81">
      <c r="A81" s="6">
        <v>77.0</v>
      </c>
      <c r="B81" s="7" t="s">
        <v>440</v>
      </c>
      <c r="C81" s="8" t="s">
        <v>441</v>
      </c>
      <c r="D81" s="9" t="s">
        <v>52</v>
      </c>
      <c r="E81" s="7" t="s">
        <v>442</v>
      </c>
      <c r="F81" s="9">
        <v>17.0</v>
      </c>
      <c r="G81" s="9">
        <v>2006.0</v>
      </c>
      <c r="H81" s="10">
        <v>9.0</v>
      </c>
      <c r="I81" s="11">
        <v>97.0</v>
      </c>
      <c r="J81" s="11">
        <v>11.0</v>
      </c>
      <c r="K81" s="11" t="s">
        <v>367</v>
      </c>
      <c r="L81" s="11" t="s">
        <v>443</v>
      </c>
      <c r="M81" s="18">
        <v>0.0</v>
      </c>
      <c r="N81" s="19"/>
      <c r="O81" s="12">
        <v>0.0</v>
      </c>
      <c r="P81" s="10">
        <v>9.0</v>
      </c>
      <c r="Q81" s="11">
        <v>11.0</v>
      </c>
      <c r="R81" s="11">
        <v>3.0</v>
      </c>
      <c r="S81" s="13">
        <v>0.05694444444444444</v>
      </c>
      <c r="T81" s="11">
        <v>2.0</v>
      </c>
      <c r="U81" s="11">
        <v>4.0</v>
      </c>
      <c r="V81" s="17">
        <v>-2.0</v>
      </c>
      <c r="W81" s="15">
        <v>-0.10138888888888889</v>
      </c>
      <c r="X81" s="15">
        <v>-0.08888888888888889</v>
      </c>
      <c r="Y81" s="16" t="s">
        <v>444</v>
      </c>
    </row>
    <row r="82">
      <c r="A82" s="6">
        <v>78.0</v>
      </c>
      <c r="B82" s="7" t="s">
        <v>445</v>
      </c>
      <c r="C82" s="8" t="s">
        <v>446</v>
      </c>
      <c r="D82" s="9" t="s">
        <v>45</v>
      </c>
      <c r="E82" s="7" t="s">
        <v>447</v>
      </c>
      <c r="F82" s="9">
        <v>24.0</v>
      </c>
      <c r="G82" s="9">
        <v>2000.0</v>
      </c>
      <c r="H82" s="10">
        <v>30.0</v>
      </c>
      <c r="I82" s="11">
        <v>2.13</v>
      </c>
      <c r="J82" s="11">
        <v>71.0</v>
      </c>
      <c r="K82" s="11" t="s">
        <v>448</v>
      </c>
      <c r="L82" s="11" t="s">
        <v>449</v>
      </c>
      <c r="M82" s="10">
        <v>26.0</v>
      </c>
      <c r="N82" s="11">
        <v>78.0</v>
      </c>
      <c r="O82" s="11">
        <v>10.0</v>
      </c>
      <c r="P82" s="10">
        <v>4.0</v>
      </c>
      <c r="Q82" s="11">
        <v>26.0</v>
      </c>
      <c r="R82" s="12">
        <v>0.0</v>
      </c>
      <c r="S82" s="13">
        <v>0.09513888888888888</v>
      </c>
      <c r="T82" s="11">
        <v>55.0</v>
      </c>
      <c r="U82" s="11">
        <v>21.0</v>
      </c>
      <c r="V82" s="14">
        <f>+34</f>
        <v>34</v>
      </c>
      <c r="W82" s="14" t="str">
        <f>+1.44</f>
        <v>#ERROR!</v>
      </c>
      <c r="X82" s="14" t="str">
        <f>+0.17</f>
        <v>#ERROR!</v>
      </c>
      <c r="Y82" s="16" t="s">
        <v>450</v>
      </c>
    </row>
    <row r="83">
      <c r="A83" s="6">
        <v>79.0</v>
      </c>
      <c r="B83" s="7" t="s">
        <v>451</v>
      </c>
      <c r="C83" s="8" t="s">
        <v>452</v>
      </c>
      <c r="D83" s="9" t="s">
        <v>59</v>
      </c>
      <c r="E83" s="7" t="s">
        <v>453</v>
      </c>
      <c r="F83" s="9">
        <v>19.0</v>
      </c>
      <c r="G83" s="9">
        <v>2004.0</v>
      </c>
      <c r="H83" s="10">
        <v>22.0</v>
      </c>
      <c r="I83" s="11">
        <v>877.0</v>
      </c>
      <c r="J83" s="11">
        <v>40.0</v>
      </c>
      <c r="K83" s="11" t="s">
        <v>454</v>
      </c>
      <c r="L83" s="11" t="s">
        <v>455</v>
      </c>
      <c r="M83" s="10">
        <v>9.0</v>
      </c>
      <c r="N83" s="11">
        <v>67.0</v>
      </c>
      <c r="O83" s="11">
        <v>1.0</v>
      </c>
      <c r="P83" s="10">
        <v>13.0</v>
      </c>
      <c r="Q83" s="11">
        <v>21.0</v>
      </c>
      <c r="R83" s="11">
        <v>6.0</v>
      </c>
      <c r="S83" s="13">
        <v>0.06666666666666667</v>
      </c>
      <c r="T83" s="11">
        <v>9.0</v>
      </c>
      <c r="U83" s="11">
        <v>16.0</v>
      </c>
      <c r="V83" s="17">
        <v>-7.0</v>
      </c>
      <c r="W83" s="15">
        <v>-0.05</v>
      </c>
      <c r="X83" s="15">
        <v>-0.05277777777777778</v>
      </c>
      <c r="Y83" s="16" t="s">
        <v>456</v>
      </c>
    </row>
    <row r="84">
      <c r="A84" s="6">
        <v>80.0</v>
      </c>
      <c r="B84" s="7" t="s">
        <v>457</v>
      </c>
      <c r="C84" s="8" t="s">
        <v>458</v>
      </c>
      <c r="D84" s="9" t="s">
        <v>25</v>
      </c>
      <c r="E84" s="7" t="s">
        <v>459</v>
      </c>
      <c r="F84" s="9">
        <v>26.0</v>
      </c>
      <c r="G84" s="9">
        <v>1997.0</v>
      </c>
      <c r="H84" s="10">
        <v>17.0</v>
      </c>
      <c r="I84" s="11">
        <v>939.0</v>
      </c>
      <c r="J84" s="11">
        <v>55.0</v>
      </c>
      <c r="K84" s="11" t="s">
        <v>460</v>
      </c>
      <c r="L84" s="11" t="s">
        <v>461</v>
      </c>
      <c r="M84" s="10">
        <v>8.0</v>
      </c>
      <c r="N84" s="11">
        <v>87.0</v>
      </c>
      <c r="O84" s="11">
        <v>3.0</v>
      </c>
      <c r="P84" s="10">
        <v>9.0</v>
      </c>
      <c r="Q84" s="11">
        <v>27.0</v>
      </c>
      <c r="R84" s="11">
        <v>1.0</v>
      </c>
      <c r="S84" s="13">
        <v>0.06111111111111111</v>
      </c>
      <c r="T84" s="11">
        <v>10.0</v>
      </c>
      <c r="U84" s="11">
        <v>15.0</v>
      </c>
      <c r="V84" s="17">
        <v>-5.0</v>
      </c>
      <c r="W84" s="15">
        <v>-0.03333333333333333</v>
      </c>
      <c r="X84" s="14" t="str">
        <f>+0.13</f>
        <v>#ERROR!</v>
      </c>
      <c r="Y84" s="16" t="s">
        <v>462</v>
      </c>
    </row>
    <row r="85">
      <c r="A85" s="6">
        <v>81.0</v>
      </c>
      <c r="B85" s="7" t="s">
        <v>463</v>
      </c>
      <c r="C85" s="8" t="s">
        <v>464</v>
      </c>
      <c r="D85" s="9" t="s">
        <v>32</v>
      </c>
      <c r="E85" s="7" t="s">
        <v>465</v>
      </c>
      <c r="F85" s="9">
        <v>16.0</v>
      </c>
      <c r="G85" s="9">
        <v>2007.0</v>
      </c>
      <c r="H85" s="18">
        <v>0.0</v>
      </c>
      <c r="I85" s="19"/>
      <c r="J85" s="19"/>
      <c r="K85" s="19"/>
      <c r="L85" s="19"/>
      <c r="M85" s="18">
        <v>0.0</v>
      </c>
      <c r="N85" s="19"/>
      <c r="O85" s="12">
        <v>0.0</v>
      </c>
      <c r="P85" s="18">
        <v>0.0</v>
      </c>
      <c r="Q85" s="19"/>
      <c r="R85" s="11">
        <v>6.0</v>
      </c>
      <c r="S85" s="24"/>
      <c r="T85" s="19"/>
      <c r="U85" s="19"/>
      <c r="V85" s="19"/>
      <c r="W85" s="19"/>
      <c r="X85" s="19"/>
      <c r="Y85" s="16" t="s">
        <v>466</v>
      </c>
    </row>
    <row r="86">
      <c r="A86" s="6">
        <v>82.0</v>
      </c>
      <c r="B86" s="7" t="s">
        <v>467</v>
      </c>
      <c r="C86" s="8" t="s">
        <v>468</v>
      </c>
      <c r="D86" s="9" t="s">
        <v>52</v>
      </c>
      <c r="E86" s="7" t="s">
        <v>469</v>
      </c>
      <c r="F86" s="9">
        <v>15.0</v>
      </c>
      <c r="G86" s="9">
        <v>2008.0</v>
      </c>
      <c r="H86" s="10">
        <v>1.0</v>
      </c>
      <c r="I86" s="11">
        <v>2.0</v>
      </c>
      <c r="J86" s="11">
        <v>2.0</v>
      </c>
      <c r="K86" s="11" t="s">
        <v>155</v>
      </c>
      <c r="L86" s="12" t="s">
        <v>470</v>
      </c>
      <c r="M86" s="18">
        <v>0.0</v>
      </c>
      <c r="N86" s="19"/>
      <c r="O86" s="12">
        <v>0.0</v>
      </c>
      <c r="P86" s="10">
        <v>1.0</v>
      </c>
      <c r="Q86" s="11">
        <v>2.0</v>
      </c>
      <c r="R86" s="11">
        <v>13.0</v>
      </c>
      <c r="S86" s="13">
        <v>0.125</v>
      </c>
      <c r="T86" s="12">
        <v>0.0</v>
      </c>
      <c r="U86" s="12">
        <v>0.0</v>
      </c>
      <c r="V86" s="12">
        <v>0.0</v>
      </c>
      <c r="W86" s="21">
        <v>0.0</v>
      </c>
      <c r="X86" s="14" t="str">
        <f>+0.33</f>
        <v>#ERROR!</v>
      </c>
      <c r="Y86" s="16" t="s">
        <v>471</v>
      </c>
    </row>
    <row r="87">
      <c r="A87" s="6">
        <v>83.0</v>
      </c>
      <c r="B87" s="7" t="s">
        <v>472</v>
      </c>
      <c r="C87" s="8" t="s">
        <v>473</v>
      </c>
      <c r="D87" s="9" t="s">
        <v>73</v>
      </c>
      <c r="E87" s="7" t="s">
        <v>474</v>
      </c>
      <c r="F87" s="9">
        <v>27.0</v>
      </c>
      <c r="G87" s="9">
        <v>1996.0</v>
      </c>
      <c r="H87" s="10">
        <v>15.0</v>
      </c>
      <c r="I87" s="11">
        <v>1.35</v>
      </c>
      <c r="J87" s="11">
        <v>90.0</v>
      </c>
      <c r="K87" s="11" t="s">
        <v>174</v>
      </c>
      <c r="L87" s="11" t="s">
        <v>175</v>
      </c>
      <c r="M87" s="10">
        <v>15.0</v>
      </c>
      <c r="N87" s="11">
        <v>90.0</v>
      </c>
      <c r="O87" s="11">
        <v>15.0</v>
      </c>
      <c r="P87" s="18">
        <v>0.0</v>
      </c>
      <c r="Q87" s="19"/>
      <c r="R87" s="11">
        <v>15.0</v>
      </c>
      <c r="S87" s="13">
        <v>0.06041666666666667</v>
      </c>
      <c r="T87" s="11">
        <v>14.0</v>
      </c>
      <c r="U87" s="11">
        <v>23.0</v>
      </c>
      <c r="V87" s="17">
        <v>-9.0</v>
      </c>
      <c r="W87" s="15">
        <v>-0.041666666666666664</v>
      </c>
      <c r="X87" s="15">
        <v>-0.004861111111111111</v>
      </c>
      <c r="Y87" s="16" t="s">
        <v>475</v>
      </c>
    </row>
    <row r="88">
      <c r="A88" s="6">
        <v>84.0</v>
      </c>
      <c r="B88" s="7" t="s">
        <v>476</v>
      </c>
      <c r="C88" s="8" t="s">
        <v>477</v>
      </c>
      <c r="D88" s="9" t="s">
        <v>32</v>
      </c>
      <c r="E88" s="7" t="s">
        <v>478</v>
      </c>
      <c r="F88" s="9">
        <v>17.0</v>
      </c>
      <c r="G88" s="9">
        <v>2006.0</v>
      </c>
      <c r="H88" s="18">
        <v>0.0</v>
      </c>
      <c r="I88" s="19"/>
      <c r="J88" s="19"/>
      <c r="K88" s="19"/>
      <c r="L88" s="19"/>
      <c r="M88" s="18">
        <v>0.0</v>
      </c>
      <c r="N88" s="19"/>
      <c r="O88" s="12">
        <v>0.0</v>
      </c>
      <c r="P88" s="18">
        <v>0.0</v>
      </c>
      <c r="Q88" s="19"/>
      <c r="R88" s="11">
        <v>4.0</v>
      </c>
      <c r="S88" s="24"/>
      <c r="T88" s="19"/>
      <c r="U88" s="19"/>
      <c r="V88" s="19"/>
      <c r="W88" s="19"/>
      <c r="X88" s="19"/>
      <c r="Y88" s="16" t="s">
        <v>479</v>
      </c>
    </row>
    <row r="89">
      <c r="A89" s="6">
        <v>85.0</v>
      </c>
      <c r="B89" s="7" t="s">
        <v>480</v>
      </c>
      <c r="C89" s="8" t="s">
        <v>481</v>
      </c>
      <c r="D89" s="9" t="s">
        <v>66</v>
      </c>
      <c r="E89" s="7" t="s">
        <v>482</v>
      </c>
      <c r="F89" s="9">
        <v>21.0</v>
      </c>
      <c r="G89" s="9">
        <v>2002.0</v>
      </c>
      <c r="H89" s="10">
        <v>13.0</v>
      </c>
      <c r="I89" s="11">
        <v>757.0</v>
      </c>
      <c r="J89" s="11">
        <v>58.0</v>
      </c>
      <c r="K89" s="11" t="s">
        <v>483</v>
      </c>
      <c r="L89" s="11" t="s">
        <v>484</v>
      </c>
      <c r="M89" s="10">
        <v>8.0</v>
      </c>
      <c r="N89" s="11">
        <v>79.0</v>
      </c>
      <c r="O89" s="11">
        <v>5.0</v>
      </c>
      <c r="P89" s="10">
        <v>5.0</v>
      </c>
      <c r="Q89" s="11">
        <v>24.0</v>
      </c>
      <c r="R89" s="11">
        <v>3.0</v>
      </c>
      <c r="S89" s="13">
        <v>0.09930555555555555</v>
      </c>
      <c r="T89" s="11">
        <v>15.0</v>
      </c>
      <c r="U89" s="11">
        <v>5.0</v>
      </c>
      <c r="V89" s="14">
        <f>+10</f>
        <v>10</v>
      </c>
      <c r="W89" s="14" t="str">
        <f>+1.19</f>
        <v>#ERROR!</v>
      </c>
      <c r="X89" s="14" t="str">
        <f>+0.59</f>
        <v>#ERROR!</v>
      </c>
      <c r="Y89" s="16" t="s">
        <v>485</v>
      </c>
    </row>
    <row r="90">
      <c r="A90" s="6">
        <v>86.0</v>
      </c>
      <c r="B90" s="7" t="s">
        <v>486</v>
      </c>
      <c r="C90" s="8" t="s">
        <v>487</v>
      </c>
      <c r="D90" s="9" t="s">
        <v>73</v>
      </c>
      <c r="E90" s="7" t="s">
        <v>488</v>
      </c>
      <c r="F90" s="9">
        <v>23.0</v>
      </c>
      <c r="G90" s="9">
        <v>2000.0</v>
      </c>
      <c r="H90" s="10">
        <v>24.0</v>
      </c>
      <c r="I90" s="11">
        <v>2.15</v>
      </c>
      <c r="J90" s="11">
        <v>90.0</v>
      </c>
      <c r="K90" s="11" t="s">
        <v>134</v>
      </c>
      <c r="L90" s="11" t="s">
        <v>135</v>
      </c>
      <c r="M90" s="10">
        <v>24.0</v>
      </c>
      <c r="N90" s="11">
        <v>90.0</v>
      </c>
      <c r="O90" s="11">
        <v>23.0</v>
      </c>
      <c r="P90" s="18">
        <v>0.0</v>
      </c>
      <c r="Q90" s="19"/>
      <c r="R90" s="11">
        <v>6.0</v>
      </c>
      <c r="S90" s="13">
        <v>0.06666666666666667</v>
      </c>
      <c r="T90" s="11">
        <v>29.0</v>
      </c>
      <c r="U90" s="11">
        <v>43.0</v>
      </c>
      <c r="V90" s="17">
        <v>-14.0</v>
      </c>
      <c r="W90" s="15">
        <v>-0.04097222222222222</v>
      </c>
      <c r="X90" s="14" t="str">
        <f>+0.40</f>
        <v>#ERROR!</v>
      </c>
      <c r="Y90" s="16" t="s">
        <v>489</v>
      </c>
    </row>
    <row r="91">
      <c r="A91" s="6">
        <v>87.0</v>
      </c>
      <c r="B91" s="7" t="s">
        <v>490</v>
      </c>
      <c r="C91" s="8" t="s">
        <v>491</v>
      </c>
      <c r="D91" s="9" t="s">
        <v>284</v>
      </c>
      <c r="E91" s="7" t="s">
        <v>492</v>
      </c>
      <c r="F91" s="9">
        <v>24.0</v>
      </c>
      <c r="G91" s="9">
        <v>1999.0</v>
      </c>
      <c r="H91" s="10">
        <v>28.0</v>
      </c>
      <c r="I91" s="11">
        <v>1.959</v>
      </c>
      <c r="J91" s="11">
        <v>70.0</v>
      </c>
      <c r="K91" s="11" t="s">
        <v>493</v>
      </c>
      <c r="L91" s="11" t="s">
        <v>494</v>
      </c>
      <c r="M91" s="10">
        <v>21.0</v>
      </c>
      <c r="N91" s="11">
        <v>88.0</v>
      </c>
      <c r="O91" s="11">
        <v>18.0</v>
      </c>
      <c r="P91" s="10">
        <v>7.0</v>
      </c>
      <c r="Q91" s="11">
        <v>16.0</v>
      </c>
      <c r="R91" s="11">
        <v>1.0</v>
      </c>
      <c r="S91" s="13">
        <v>0.09652777777777778</v>
      </c>
      <c r="T91" s="11">
        <v>31.0</v>
      </c>
      <c r="U91" s="11">
        <v>23.0</v>
      </c>
      <c r="V91" s="14">
        <f>+8</f>
        <v>8</v>
      </c>
      <c r="W91" s="14" t="str">
        <f>+0.37</f>
        <v>#ERROR!</v>
      </c>
      <c r="X91" s="14" t="str">
        <f>+0.25</f>
        <v>#ERROR!</v>
      </c>
      <c r="Y91" s="16" t="s">
        <v>495</v>
      </c>
    </row>
    <row r="92">
      <c r="A92" s="6">
        <v>88.0</v>
      </c>
      <c r="B92" s="7" t="s">
        <v>496</v>
      </c>
      <c r="C92" s="8" t="s">
        <v>497</v>
      </c>
      <c r="D92" s="9" t="s">
        <v>52</v>
      </c>
      <c r="E92" s="7" t="s">
        <v>498</v>
      </c>
      <c r="F92" s="9">
        <v>17.0</v>
      </c>
      <c r="G92" s="9">
        <v>2006.0</v>
      </c>
      <c r="H92" s="18">
        <v>0.0</v>
      </c>
      <c r="I92" s="19"/>
      <c r="J92" s="19"/>
      <c r="K92" s="19"/>
      <c r="L92" s="19"/>
      <c r="M92" s="18">
        <v>0.0</v>
      </c>
      <c r="N92" s="19"/>
      <c r="O92" s="12">
        <v>0.0</v>
      </c>
      <c r="P92" s="18">
        <v>0.0</v>
      </c>
      <c r="Q92" s="19"/>
      <c r="R92" s="11">
        <v>1.0</v>
      </c>
      <c r="S92" s="24"/>
      <c r="T92" s="19"/>
      <c r="U92" s="19"/>
      <c r="V92" s="19"/>
      <c r="W92" s="19"/>
      <c r="X92" s="19"/>
      <c r="Y92" s="16" t="s">
        <v>499</v>
      </c>
    </row>
    <row r="93">
      <c r="A93" s="6">
        <v>89.0</v>
      </c>
      <c r="B93" s="7" t="s">
        <v>500</v>
      </c>
      <c r="C93" s="8" t="s">
        <v>501</v>
      </c>
      <c r="D93" s="9" t="s">
        <v>66</v>
      </c>
      <c r="E93" s="7" t="s">
        <v>502</v>
      </c>
      <c r="F93" s="9">
        <v>22.0</v>
      </c>
      <c r="G93" s="9">
        <v>2001.0</v>
      </c>
      <c r="H93" s="10">
        <v>16.0</v>
      </c>
      <c r="I93" s="11">
        <v>1.164</v>
      </c>
      <c r="J93" s="11">
        <v>73.0</v>
      </c>
      <c r="K93" s="11" t="s">
        <v>503</v>
      </c>
      <c r="L93" s="11" t="s">
        <v>504</v>
      </c>
      <c r="M93" s="10">
        <v>13.0</v>
      </c>
      <c r="N93" s="11">
        <v>81.0</v>
      </c>
      <c r="O93" s="11">
        <v>11.0</v>
      </c>
      <c r="P93" s="10">
        <v>3.0</v>
      </c>
      <c r="Q93" s="11">
        <v>38.0</v>
      </c>
      <c r="R93" s="11">
        <v>10.0</v>
      </c>
      <c r="S93" s="13">
        <v>0.08055555555555556</v>
      </c>
      <c r="T93" s="11">
        <v>26.0</v>
      </c>
      <c r="U93" s="11">
        <v>20.0</v>
      </c>
      <c r="V93" s="14">
        <f>+6</f>
        <v>6</v>
      </c>
      <c r="W93" s="14" t="str">
        <f>+0.46</f>
        <v>#ERROR!</v>
      </c>
      <c r="X93" s="14" t="str">
        <f>+0.35</f>
        <v>#ERROR!</v>
      </c>
      <c r="Y93" s="16" t="s">
        <v>505</v>
      </c>
    </row>
    <row r="94">
      <c r="A94" s="6">
        <v>90.0</v>
      </c>
      <c r="B94" s="7" t="s">
        <v>506</v>
      </c>
      <c r="C94" s="8" t="s">
        <v>507</v>
      </c>
      <c r="D94" s="9" t="s">
        <v>73</v>
      </c>
      <c r="E94" s="7" t="s">
        <v>508</v>
      </c>
      <c r="F94" s="9">
        <v>22.0</v>
      </c>
      <c r="G94" s="9">
        <v>2001.0</v>
      </c>
      <c r="H94" s="10">
        <v>13.0</v>
      </c>
      <c r="I94" s="11">
        <v>1.125</v>
      </c>
      <c r="J94" s="11">
        <v>87.0</v>
      </c>
      <c r="K94" s="11" t="s">
        <v>509</v>
      </c>
      <c r="L94" s="11" t="s">
        <v>510</v>
      </c>
      <c r="M94" s="10">
        <v>13.0</v>
      </c>
      <c r="N94" s="11">
        <v>87.0</v>
      </c>
      <c r="O94" s="11">
        <v>12.0</v>
      </c>
      <c r="P94" s="18">
        <v>0.0</v>
      </c>
      <c r="Q94" s="19"/>
      <c r="R94" s="11">
        <v>16.0</v>
      </c>
      <c r="S94" s="13">
        <v>0.06319444444444444</v>
      </c>
      <c r="T94" s="11">
        <v>16.0</v>
      </c>
      <c r="U94" s="11">
        <v>15.0</v>
      </c>
      <c r="V94" s="14">
        <f>+1</f>
        <v>1</v>
      </c>
      <c r="W94" s="14" t="str">
        <f>+0.08</f>
        <v>#ERROR!</v>
      </c>
      <c r="X94" s="15">
        <v>-0.022222222222222223</v>
      </c>
      <c r="Y94" s="16" t="s">
        <v>511</v>
      </c>
    </row>
    <row r="95">
      <c r="A95" s="6">
        <v>91.0</v>
      </c>
      <c r="B95" s="7" t="s">
        <v>512</v>
      </c>
      <c r="C95" s="8" t="s">
        <v>513</v>
      </c>
      <c r="D95" s="9" t="s">
        <v>66</v>
      </c>
      <c r="E95" s="7" t="s">
        <v>514</v>
      </c>
      <c r="F95" s="9">
        <v>25.0</v>
      </c>
      <c r="G95" s="9">
        <v>1998.0</v>
      </c>
      <c r="H95" s="10">
        <v>26.0</v>
      </c>
      <c r="I95" s="11">
        <v>2.059</v>
      </c>
      <c r="J95" s="11">
        <v>79.0</v>
      </c>
      <c r="K95" s="11" t="s">
        <v>515</v>
      </c>
      <c r="L95" s="11" t="s">
        <v>516</v>
      </c>
      <c r="M95" s="10">
        <v>24.0</v>
      </c>
      <c r="N95" s="11">
        <v>84.0</v>
      </c>
      <c r="O95" s="11">
        <v>15.0</v>
      </c>
      <c r="P95" s="10">
        <v>2.0</v>
      </c>
      <c r="Q95" s="11">
        <v>25.0</v>
      </c>
      <c r="R95" s="11">
        <v>1.0</v>
      </c>
      <c r="S95" s="13">
        <v>0.09166666666666666</v>
      </c>
      <c r="T95" s="11">
        <v>51.0</v>
      </c>
      <c r="U95" s="11">
        <v>21.0</v>
      </c>
      <c r="V95" s="14">
        <f>+30</f>
        <v>30</v>
      </c>
      <c r="W95" s="14" t="str">
        <f>+1.31</f>
        <v>#ERROR!</v>
      </c>
      <c r="X95" s="15">
        <v>-0.025694444444444443</v>
      </c>
      <c r="Y95" s="16" t="s">
        <v>517</v>
      </c>
    </row>
    <row r="96">
      <c r="A96" s="6">
        <v>92.0</v>
      </c>
      <c r="B96" s="7" t="s">
        <v>518</v>
      </c>
      <c r="C96" s="8" t="s">
        <v>519</v>
      </c>
      <c r="D96" s="9" t="s">
        <v>59</v>
      </c>
      <c r="E96" s="7" t="s">
        <v>520</v>
      </c>
      <c r="F96" s="9">
        <v>27.0</v>
      </c>
      <c r="G96" s="9">
        <v>1996.0</v>
      </c>
      <c r="H96" s="10">
        <v>19.0</v>
      </c>
      <c r="I96" s="11">
        <v>436.0</v>
      </c>
      <c r="J96" s="11">
        <v>23.0</v>
      </c>
      <c r="K96" s="11" t="s">
        <v>521</v>
      </c>
      <c r="L96" s="11" t="s">
        <v>522</v>
      </c>
      <c r="M96" s="10">
        <v>3.0</v>
      </c>
      <c r="N96" s="11">
        <v>55.0</v>
      </c>
      <c r="O96" s="12">
        <v>0.0</v>
      </c>
      <c r="P96" s="10">
        <v>16.0</v>
      </c>
      <c r="Q96" s="11">
        <v>17.0</v>
      </c>
      <c r="R96" s="11">
        <v>9.0</v>
      </c>
      <c r="S96" s="13">
        <v>0.06597222222222222</v>
      </c>
      <c r="T96" s="11">
        <v>6.0</v>
      </c>
      <c r="U96" s="11">
        <v>5.0</v>
      </c>
      <c r="V96" s="14">
        <f>+1</f>
        <v>1</v>
      </c>
      <c r="W96" s="14" t="str">
        <f>+0.21</f>
        <v>#ERROR!</v>
      </c>
      <c r="X96" s="14" t="str">
        <f>+0.64</f>
        <v>#ERROR!</v>
      </c>
      <c r="Y96" s="16" t="s">
        <v>523</v>
      </c>
    </row>
    <row r="97">
      <c r="A97" s="6">
        <v>93.0</v>
      </c>
      <c r="B97" s="7" t="s">
        <v>524</v>
      </c>
      <c r="C97" s="8" t="s">
        <v>525</v>
      </c>
      <c r="D97" s="9" t="s">
        <v>52</v>
      </c>
      <c r="E97" s="7" t="s">
        <v>526</v>
      </c>
      <c r="F97" s="9">
        <v>16.0</v>
      </c>
      <c r="G97" s="9">
        <v>2007.0</v>
      </c>
      <c r="H97" s="10">
        <v>1.0</v>
      </c>
      <c r="I97" s="11">
        <v>8.0</v>
      </c>
      <c r="J97" s="11">
        <v>8.0</v>
      </c>
      <c r="K97" s="11" t="s">
        <v>195</v>
      </c>
      <c r="L97" s="11" t="s">
        <v>155</v>
      </c>
      <c r="M97" s="18">
        <v>0.0</v>
      </c>
      <c r="N97" s="19"/>
      <c r="O97" s="12">
        <v>0.0</v>
      </c>
      <c r="P97" s="10">
        <v>1.0</v>
      </c>
      <c r="Q97" s="11">
        <v>8.0</v>
      </c>
      <c r="R97" s="11">
        <v>3.0</v>
      </c>
      <c r="S97" s="13">
        <v>0.125</v>
      </c>
      <c r="T97" s="12">
        <v>0.0</v>
      </c>
      <c r="U97" s="12">
        <v>0.0</v>
      </c>
      <c r="V97" s="12">
        <v>0.0</v>
      </c>
      <c r="W97" s="21">
        <v>0.0</v>
      </c>
      <c r="X97" s="15">
        <v>-0.06944444444444445</v>
      </c>
      <c r="Y97" s="16" t="s">
        <v>527</v>
      </c>
    </row>
    <row r="98">
      <c r="A98" s="6">
        <v>94.0</v>
      </c>
      <c r="B98" s="7" t="s">
        <v>528</v>
      </c>
      <c r="C98" s="8" t="s">
        <v>529</v>
      </c>
      <c r="D98" s="9" t="s">
        <v>52</v>
      </c>
      <c r="E98" s="7" t="s">
        <v>530</v>
      </c>
      <c r="F98" s="9">
        <v>20.0</v>
      </c>
      <c r="G98" s="9">
        <v>2003.0</v>
      </c>
      <c r="H98" s="18">
        <v>0.0</v>
      </c>
      <c r="I98" s="19"/>
      <c r="J98" s="19"/>
      <c r="K98" s="19"/>
      <c r="L98" s="19"/>
      <c r="M98" s="18">
        <v>0.0</v>
      </c>
      <c r="N98" s="19"/>
      <c r="O98" s="12">
        <v>0.0</v>
      </c>
      <c r="P98" s="18">
        <v>0.0</v>
      </c>
      <c r="Q98" s="19"/>
      <c r="R98" s="11">
        <v>3.0</v>
      </c>
      <c r="S98" s="24"/>
      <c r="T98" s="19"/>
      <c r="U98" s="19"/>
      <c r="V98" s="19"/>
      <c r="W98" s="19"/>
      <c r="X98" s="19"/>
      <c r="Y98" s="16" t="s">
        <v>531</v>
      </c>
    </row>
    <row r="99">
      <c r="A99" s="6">
        <v>95.0</v>
      </c>
      <c r="B99" s="7" t="s">
        <v>532</v>
      </c>
      <c r="C99" s="8" t="s">
        <v>533</v>
      </c>
      <c r="D99" s="9" t="s">
        <v>284</v>
      </c>
      <c r="E99" s="7" t="s">
        <v>534</v>
      </c>
      <c r="F99" s="9">
        <v>33.0</v>
      </c>
      <c r="G99" s="9">
        <v>1990.0</v>
      </c>
      <c r="H99" s="10">
        <v>24.0</v>
      </c>
      <c r="I99" s="11">
        <v>1.499</v>
      </c>
      <c r="J99" s="11">
        <v>62.0</v>
      </c>
      <c r="K99" s="11" t="s">
        <v>535</v>
      </c>
      <c r="L99" s="11" t="s">
        <v>293</v>
      </c>
      <c r="M99" s="10">
        <v>20.0</v>
      </c>
      <c r="N99" s="11">
        <v>73.0</v>
      </c>
      <c r="O99" s="11">
        <v>3.0</v>
      </c>
      <c r="P99" s="10">
        <v>4.0</v>
      </c>
      <c r="Q99" s="11">
        <v>9.0</v>
      </c>
      <c r="R99" s="11">
        <v>2.0</v>
      </c>
      <c r="S99" s="13">
        <v>0.050694444444444445</v>
      </c>
      <c r="T99" s="11">
        <v>21.0</v>
      </c>
      <c r="U99" s="11">
        <v>30.0</v>
      </c>
      <c r="V99" s="17">
        <v>-9.0</v>
      </c>
      <c r="W99" s="15">
        <v>-0.0375</v>
      </c>
      <c r="X99" s="15">
        <v>-0.04791666666666667</v>
      </c>
      <c r="Y99" s="16" t="s">
        <v>536</v>
      </c>
    </row>
    <row r="100">
      <c r="A100" s="6">
        <v>96.0</v>
      </c>
      <c r="B100" s="7" t="s">
        <v>537</v>
      </c>
      <c r="C100" s="8" t="s">
        <v>538</v>
      </c>
      <c r="D100" s="9" t="s">
        <v>66</v>
      </c>
      <c r="E100" s="7" t="s">
        <v>539</v>
      </c>
      <c r="F100" s="9">
        <v>18.0</v>
      </c>
      <c r="G100" s="9">
        <v>2005.0</v>
      </c>
      <c r="H100" s="10">
        <v>17.0</v>
      </c>
      <c r="I100" s="11">
        <v>904.0</v>
      </c>
      <c r="J100" s="11">
        <v>53.0</v>
      </c>
      <c r="K100" s="11" t="s">
        <v>540</v>
      </c>
      <c r="L100" s="11" t="s">
        <v>268</v>
      </c>
      <c r="M100" s="10">
        <v>10.0</v>
      </c>
      <c r="N100" s="11">
        <v>81.0</v>
      </c>
      <c r="O100" s="11">
        <v>5.0</v>
      </c>
      <c r="P100" s="10">
        <v>7.0</v>
      </c>
      <c r="Q100" s="11">
        <v>14.0</v>
      </c>
      <c r="R100" s="11">
        <v>7.0</v>
      </c>
      <c r="S100" s="13">
        <v>0.06180555555555556</v>
      </c>
      <c r="T100" s="11">
        <v>9.0</v>
      </c>
      <c r="U100" s="11">
        <v>15.0</v>
      </c>
      <c r="V100" s="17">
        <v>-6.0</v>
      </c>
      <c r="W100" s="15">
        <v>-0.041666666666666664</v>
      </c>
      <c r="X100" s="15">
        <v>-0.041666666666666664</v>
      </c>
      <c r="Y100" s="16" t="s">
        <v>541</v>
      </c>
    </row>
    <row r="101">
      <c r="A101" s="6">
        <v>97.0</v>
      </c>
      <c r="B101" s="7" t="s">
        <v>542</v>
      </c>
      <c r="C101" s="8" t="s">
        <v>543</v>
      </c>
      <c r="D101" s="9" t="s">
        <v>25</v>
      </c>
      <c r="E101" s="7" t="s">
        <v>544</v>
      </c>
      <c r="F101" s="9">
        <v>23.0</v>
      </c>
      <c r="G101" s="9">
        <v>2000.0</v>
      </c>
      <c r="H101" s="10">
        <v>27.0</v>
      </c>
      <c r="I101" s="11">
        <v>1.507</v>
      </c>
      <c r="J101" s="11">
        <v>56.0</v>
      </c>
      <c r="K101" s="11" t="s">
        <v>292</v>
      </c>
      <c r="L101" s="11" t="s">
        <v>293</v>
      </c>
      <c r="M101" s="10">
        <v>14.0</v>
      </c>
      <c r="N101" s="11">
        <v>88.0</v>
      </c>
      <c r="O101" s="11">
        <v>13.0</v>
      </c>
      <c r="P101" s="10">
        <v>13.0</v>
      </c>
      <c r="Q101" s="11">
        <v>21.0</v>
      </c>
      <c r="R101" s="11">
        <v>3.0</v>
      </c>
      <c r="S101" s="13">
        <v>0.052083333333333336</v>
      </c>
      <c r="T101" s="11">
        <v>23.0</v>
      </c>
      <c r="U101" s="11">
        <v>26.0</v>
      </c>
      <c r="V101" s="17">
        <v>-3.0</v>
      </c>
      <c r="W101" s="15">
        <v>-0.0125</v>
      </c>
      <c r="X101" s="14" t="str">
        <f>+0.35</f>
        <v>#ERROR!</v>
      </c>
      <c r="Y101" s="16" t="s">
        <v>545</v>
      </c>
    </row>
    <row r="102">
      <c r="A102" s="6">
        <v>98.0</v>
      </c>
      <c r="B102" s="7" t="s">
        <v>546</v>
      </c>
      <c r="C102" s="8" t="s">
        <v>547</v>
      </c>
      <c r="D102" s="9" t="s">
        <v>32</v>
      </c>
      <c r="E102" s="7" t="s">
        <v>548</v>
      </c>
      <c r="F102" s="9">
        <v>19.0</v>
      </c>
      <c r="G102" s="9">
        <v>2004.0</v>
      </c>
      <c r="H102" s="10">
        <v>16.0</v>
      </c>
      <c r="I102" s="11">
        <v>365.0</v>
      </c>
      <c r="J102" s="11">
        <v>23.0</v>
      </c>
      <c r="K102" s="11" t="s">
        <v>549</v>
      </c>
      <c r="L102" s="11" t="s">
        <v>550</v>
      </c>
      <c r="M102" s="10">
        <v>3.0</v>
      </c>
      <c r="N102" s="11">
        <v>71.0</v>
      </c>
      <c r="O102" s="12">
        <v>0.0</v>
      </c>
      <c r="P102" s="10">
        <v>13.0</v>
      </c>
      <c r="Q102" s="11">
        <v>12.0</v>
      </c>
      <c r="R102" s="11">
        <v>11.0</v>
      </c>
      <c r="S102" s="13">
        <v>0.04583333333333333</v>
      </c>
      <c r="T102" s="11">
        <v>8.0</v>
      </c>
      <c r="U102" s="11">
        <v>6.0</v>
      </c>
      <c r="V102" s="14">
        <f>+2</f>
        <v>2</v>
      </c>
      <c r="W102" s="14" t="str">
        <f>+0.49</f>
        <v>#ERROR!</v>
      </c>
      <c r="X102" s="14" t="str">
        <f>+0.96</f>
        <v>#ERROR!</v>
      </c>
      <c r="Y102" s="16" t="s">
        <v>551</v>
      </c>
    </row>
    <row r="103">
      <c r="A103" s="6">
        <v>99.0</v>
      </c>
      <c r="B103" s="7" t="s">
        <v>552</v>
      </c>
      <c r="C103" s="8" t="s">
        <v>553</v>
      </c>
      <c r="D103" s="9" t="s">
        <v>52</v>
      </c>
      <c r="E103" s="7" t="s">
        <v>554</v>
      </c>
      <c r="F103" s="9">
        <v>20.0</v>
      </c>
      <c r="G103" s="9">
        <v>2003.0</v>
      </c>
      <c r="H103" s="10">
        <v>2.0</v>
      </c>
      <c r="I103" s="11">
        <v>65.0</v>
      </c>
      <c r="J103" s="11">
        <v>33.0</v>
      </c>
      <c r="K103" s="11" t="s">
        <v>129</v>
      </c>
      <c r="L103" s="11" t="s">
        <v>180</v>
      </c>
      <c r="M103" s="10">
        <v>1.0</v>
      </c>
      <c r="N103" s="11">
        <v>61.0</v>
      </c>
      <c r="O103" s="12">
        <v>0.0</v>
      </c>
      <c r="P103" s="10">
        <v>1.0</v>
      </c>
      <c r="Q103" s="11">
        <v>4.0</v>
      </c>
      <c r="R103" s="11">
        <v>5.0</v>
      </c>
      <c r="S103" s="20">
        <v>0.0</v>
      </c>
      <c r="T103" s="12">
        <v>0.0</v>
      </c>
      <c r="U103" s="11">
        <v>1.0</v>
      </c>
      <c r="V103" s="17">
        <v>-1.0</v>
      </c>
      <c r="W103" s="15">
        <v>-0.06805555555555555</v>
      </c>
      <c r="X103" s="15">
        <v>-0.04722222222222222</v>
      </c>
      <c r="Y103" s="16" t="s">
        <v>555</v>
      </c>
    </row>
    <row r="104">
      <c r="A104" s="6">
        <v>100.0</v>
      </c>
      <c r="B104" s="7" t="s">
        <v>556</v>
      </c>
      <c r="C104" s="8" t="s">
        <v>557</v>
      </c>
      <c r="D104" s="9" t="s">
        <v>66</v>
      </c>
      <c r="E104" s="7" t="s">
        <v>558</v>
      </c>
      <c r="F104" s="9">
        <v>27.0</v>
      </c>
      <c r="G104" s="9">
        <v>1996.0</v>
      </c>
      <c r="H104" s="10">
        <v>28.0</v>
      </c>
      <c r="I104" s="11">
        <v>2.518</v>
      </c>
      <c r="J104" s="11">
        <v>90.0</v>
      </c>
      <c r="K104" s="11" t="s">
        <v>559</v>
      </c>
      <c r="L104" s="11" t="s">
        <v>483</v>
      </c>
      <c r="M104" s="10">
        <v>28.0</v>
      </c>
      <c r="N104" s="11">
        <v>90.0</v>
      </c>
      <c r="O104" s="11">
        <v>26.0</v>
      </c>
      <c r="P104" s="18">
        <v>0.0</v>
      </c>
      <c r="Q104" s="19"/>
      <c r="R104" s="12">
        <v>0.0</v>
      </c>
      <c r="S104" s="13">
        <v>0.07152777777777777</v>
      </c>
      <c r="T104" s="11">
        <v>43.0</v>
      </c>
      <c r="U104" s="11">
        <v>42.0</v>
      </c>
      <c r="V104" s="14">
        <f>+1</f>
        <v>1</v>
      </c>
      <c r="W104" s="14" t="str">
        <f>+0.04</f>
        <v>#ERROR!</v>
      </c>
      <c r="X104" s="14" t="str">
        <f>+0.04</f>
        <v>#ERROR!</v>
      </c>
      <c r="Y104" s="16" t="s">
        <v>560</v>
      </c>
    </row>
    <row r="105">
      <c r="A105" s="25" t="s">
        <v>0</v>
      </c>
      <c r="B105" s="26" t="s">
        <v>1</v>
      </c>
      <c r="C105" s="27" t="s">
        <v>2</v>
      </c>
      <c r="D105" s="27" t="s">
        <v>3</v>
      </c>
      <c r="E105" s="27" t="s">
        <v>4</v>
      </c>
      <c r="F105" s="27" t="s">
        <v>5</v>
      </c>
      <c r="G105" s="27" t="s">
        <v>6</v>
      </c>
      <c r="H105" s="28" t="s">
        <v>7</v>
      </c>
      <c r="I105" s="27" t="s">
        <v>8</v>
      </c>
      <c r="J105" s="27" t="s">
        <v>9</v>
      </c>
      <c r="K105" s="27" t="s">
        <v>10</v>
      </c>
      <c r="L105" s="27" t="s">
        <v>11</v>
      </c>
      <c r="M105" s="28" t="s">
        <v>12</v>
      </c>
      <c r="N105" s="27" t="s">
        <v>13</v>
      </c>
      <c r="O105" s="27" t="s">
        <v>14</v>
      </c>
      <c r="P105" s="28" t="s">
        <v>15</v>
      </c>
      <c r="Q105" s="27" t="s">
        <v>16</v>
      </c>
      <c r="R105" s="27" t="s">
        <v>17</v>
      </c>
      <c r="S105" s="28" t="s">
        <v>18</v>
      </c>
      <c r="T105" s="27" t="s">
        <v>19</v>
      </c>
      <c r="U105" s="27" t="s">
        <v>20</v>
      </c>
      <c r="V105" s="29" t="str">
        <f>+/-</f>
        <v>#ERROR!</v>
      </c>
      <c r="W105" s="29" t="str">
        <f>+/-90</f>
        <v>#ERROR!</v>
      </c>
      <c r="X105" s="27" t="s">
        <v>21</v>
      </c>
      <c r="Y105" s="28" t="s">
        <v>22</v>
      </c>
    </row>
    <row r="106">
      <c r="A106" s="6">
        <v>101.0</v>
      </c>
      <c r="B106" s="7" t="s">
        <v>561</v>
      </c>
      <c r="C106" s="8" t="s">
        <v>562</v>
      </c>
      <c r="D106" s="9" t="s">
        <v>52</v>
      </c>
      <c r="E106" s="7" t="s">
        <v>563</v>
      </c>
      <c r="F106" s="9">
        <v>22.0</v>
      </c>
      <c r="G106" s="9">
        <v>2001.0</v>
      </c>
      <c r="H106" s="10">
        <v>20.0</v>
      </c>
      <c r="I106" s="11">
        <v>1.199</v>
      </c>
      <c r="J106" s="11">
        <v>60.0</v>
      </c>
      <c r="K106" s="11" t="s">
        <v>564</v>
      </c>
      <c r="L106" s="11" t="s">
        <v>565</v>
      </c>
      <c r="M106" s="10">
        <v>12.0</v>
      </c>
      <c r="N106" s="11">
        <v>86.0</v>
      </c>
      <c r="O106" s="11">
        <v>9.0</v>
      </c>
      <c r="P106" s="10">
        <v>8.0</v>
      </c>
      <c r="Q106" s="11">
        <v>21.0</v>
      </c>
      <c r="R106" s="11">
        <v>5.0</v>
      </c>
      <c r="S106" s="13">
        <v>0.052083333333333336</v>
      </c>
      <c r="T106" s="11">
        <v>15.0</v>
      </c>
      <c r="U106" s="11">
        <v>28.0</v>
      </c>
      <c r="V106" s="17">
        <v>-13.0</v>
      </c>
      <c r="W106" s="15">
        <v>-0.06805555555555555</v>
      </c>
      <c r="X106" s="15">
        <v>-0.034722222222222224</v>
      </c>
      <c r="Y106" s="16" t="s">
        <v>566</v>
      </c>
    </row>
    <row r="107">
      <c r="A107" s="6">
        <v>102.0</v>
      </c>
      <c r="B107" s="7" t="s">
        <v>567</v>
      </c>
      <c r="C107" s="8" t="s">
        <v>568</v>
      </c>
      <c r="D107" s="9" t="s">
        <v>52</v>
      </c>
      <c r="E107" s="7" t="s">
        <v>569</v>
      </c>
      <c r="F107" s="9">
        <v>25.0</v>
      </c>
      <c r="G107" s="9">
        <v>1998.0</v>
      </c>
      <c r="H107" s="10">
        <v>7.0</v>
      </c>
      <c r="I107" s="11">
        <v>494.0</v>
      </c>
      <c r="J107" s="11">
        <v>71.0</v>
      </c>
      <c r="K107" s="11" t="s">
        <v>570</v>
      </c>
      <c r="L107" s="11" t="s">
        <v>571</v>
      </c>
      <c r="M107" s="10">
        <v>6.0</v>
      </c>
      <c r="N107" s="11">
        <v>79.0</v>
      </c>
      <c r="O107" s="11">
        <v>3.0</v>
      </c>
      <c r="P107" s="10">
        <v>1.0</v>
      </c>
      <c r="Q107" s="11">
        <v>23.0</v>
      </c>
      <c r="R107" s="12">
        <v>0.0</v>
      </c>
      <c r="S107" s="13">
        <v>0.07152777777777777</v>
      </c>
      <c r="T107" s="11">
        <v>11.0</v>
      </c>
      <c r="U107" s="11">
        <v>11.0</v>
      </c>
      <c r="V107" s="12">
        <v>0.0</v>
      </c>
      <c r="W107" s="21">
        <v>0.0</v>
      </c>
      <c r="X107" s="14" t="str">
        <f>+0.86</f>
        <v>#ERROR!</v>
      </c>
      <c r="Y107" s="16" t="s">
        <v>572</v>
      </c>
    </row>
    <row r="108">
      <c r="A108" s="6">
        <v>103.0</v>
      </c>
      <c r="B108" s="7" t="s">
        <v>573</v>
      </c>
      <c r="C108" s="8" t="s">
        <v>574</v>
      </c>
      <c r="D108" s="9" t="s">
        <v>73</v>
      </c>
      <c r="E108" s="7" t="s">
        <v>575</v>
      </c>
      <c r="F108" s="9">
        <v>20.0</v>
      </c>
      <c r="G108" s="9">
        <v>2003.0</v>
      </c>
      <c r="H108" s="10">
        <v>1.0</v>
      </c>
      <c r="I108" s="11">
        <v>90.0</v>
      </c>
      <c r="J108" s="11">
        <v>90.0</v>
      </c>
      <c r="K108" s="11" t="s">
        <v>576</v>
      </c>
      <c r="L108" s="11" t="s">
        <v>577</v>
      </c>
      <c r="M108" s="10">
        <v>1.0</v>
      </c>
      <c r="N108" s="11">
        <v>90.0</v>
      </c>
      <c r="O108" s="11">
        <v>1.0</v>
      </c>
      <c r="P108" s="18">
        <v>0.0</v>
      </c>
      <c r="Q108" s="19"/>
      <c r="R108" s="11">
        <v>19.0</v>
      </c>
      <c r="S108" s="20">
        <v>0.0</v>
      </c>
      <c r="T108" s="11">
        <v>1.0</v>
      </c>
      <c r="U108" s="11">
        <v>2.0</v>
      </c>
      <c r="V108" s="17">
        <v>-1.0</v>
      </c>
      <c r="W108" s="15">
        <v>-0.041666666666666664</v>
      </c>
      <c r="X108" s="15">
        <v>-0.04652777777777778</v>
      </c>
      <c r="Y108" s="16" t="s">
        <v>578</v>
      </c>
    </row>
    <row r="109">
      <c r="A109" s="6">
        <v>104.0</v>
      </c>
      <c r="B109" s="7" t="s">
        <v>579</v>
      </c>
      <c r="C109" s="8" t="s">
        <v>580</v>
      </c>
      <c r="D109" s="9" t="s">
        <v>32</v>
      </c>
      <c r="E109" s="7" t="s">
        <v>581</v>
      </c>
      <c r="F109" s="9">
        <v>33.0</v>
      </c>
      <c r="G109" s="9">
        <v>1990.0</v>
      </c>
      <c r="H109" s="10">
        <v>26.0</v>
      </c>
      <c r="I109" s="11">
        <v>1.382</v>
      </c>
      <c r="J109" s="11">
        <v>53.0</v>
      </c>
      <c r="K109" s="11" t="s">
        <v>582</v>
      </c>
      <c r="L109" s="11" t="s">
        <v>392</v>
      </c>
      <c r="M109" s="10">
        <v>18.0</v>
      </c>
      <c r="N109" s="11">
        <v>67.0</v>
      </c>
      <c r="O109" s="11">
        <v>1.0</v>
      </c>
      <c r="P109" s="10">
        <v>8.0</v>
      </c>
      <c r="Q109" s="11">
        <v>23.0</v>
      </c>
      <c r="R109" s="11">
        <v>3.0</v>
      </c>
      <c r="S109" s="13">
        <v>0.07916666666666666</v>
      </c>
      <c r="T109" s="11">
        <v>21.0</v>
      </c>
      <c r="U109" s="11">
        <v>13.0</v>
      </c>
      <c r="V109" s="14">
        <f>+8</f>
        <v>8</v>
      </c>
      <c r="W109" s="14" t="str">
        <f>+0.52</f>
        <v>#ERROR!</v>
      </c>
      <c r="X109" s="14" t="str">
        <f>+0.93</f>
        <v>#ERROR!</v>
      </c>
      <c r="Y109" s="16" t="s">
        <v>583</v>
      </c>
    </row>
    <row r="110">
      <c r="A110" s="6">
        <v>105.0</v>
      </c>
      <c r="B110" s="7" t="s">
        <v>584</v>
      </c>
      <c r="C110" s="8" t="s">
        <v>585</v>
      </c>
      <c r="D110" s="9" t="s">
        <v>52</v>
      </c>
      <c r="E110" s="7" t="s">
        <v>586</v>
      </c>
      <c r="F110" s="9">
        <v>27.0</v>
      </c>
      <c r="G110" s="9">
        <v>1996.0</v>
      </c>
      <c r="H110" s="10">
        <v>30.0</v>
      </c>
      <c r="I110" s="11">
        <v>2.418</v>
      </c>
      <c r="J110" s="11">
        <v>81.0</v>
      </c>
      <c r="K110" s="11" t="s">
        <v>587</v>
      </c>
      <c r="L110" s="11" t="s">
        <v>588</v>
      </c>
      <c r="M110" s="10">
        <v>25.0</v>
      </c>
      <c r="N110" s="11">
        <v>87.0</v>
      </c>
      <c r="O110" s="11">
        <v>18.0</v>
      </c>
      <c r="P110" s="10">
        <v>5.0</v>
      </c>
      <c r="Q110" s="11">
        <v>48.0</v>
      </c>
      <c r="R110" s="12">
        <v>0.0</v>
      </c>
      <c r="S110" s="13">
        <v>0.09722222222222222</v>
      </c>
      <c r="T110" s="11">
        <v>44.0</v>
      </c>
      <c r="U110" s="11">
        <v>39.0</v>
      </c>
      <c r="V110" s="14">
        <f>+5</f>
        <v>5</v>
      </c>
      <c r="W110" s="14" t="str">
        <f>+0.19</f>
        <v>#ERROR!</v>
      </c>
      <c r="X110" s="14" t="str">
        <f>+0.19</f>
        <v>#ERROR!</v>
      </c>
      <c r="Y110" s="16" t="s">
        <v>589</v>
      </c>
    </row>
    <row r="111">
      <c r="A111" s="6">
        <v>106.0</v>
      </c>
      <c r="B111" s="7" t="s">
        <v>590</v>
      </c>
      <c r="C111" s="8" t="s">
        <v>591</v>
      </c>
      <c r="D111" s="9" t="s">
        <v>52</v>
      </c>
      <c r="E111" s="7" t="s">
        <v>592</v>
      </c>
      <c r="F111" s="9">
        <v>23.0</v>
      </c>
      <c r="G111" s="9">
        <v>2000.0</v>
      </c>
      <c r="H111" s="10">
        <v>10.0</v>
      </c>
      <c r="I111" s="11">
        <v>690.0</v>
      </c>
      <c r="J111" s="11">
        <v>69.0</v>
      </c>
      <c r="K111" s="11" t="s">
        <v>593</v>
      </c>
      <c r="L111" s="11" t="s">
        <v>206</v>
      </c>
      <c r="M111" s="10">
        <v>8.0</v>
      </c>
      <c r="N111" s="11">
        <v>79.0</v>
      </c>
      <c r="O111" s="11">
        <v>4.0</v>
      </c>
      <c r="P111" s="10">
        <v>2.0</v>
      </c>
      <c r="Q111" s="11">
        <v>31.0</v>
      </c>
      <c r="R111" s="11">
        <v>5.0</v>
      </c>
      <c r="S111" s="13">
        <v>0.0625</v>
      </c>
      <c r="T111" s="11">
        <v>10.0</v>
      </c>
      <c r="U111" s="11">
        <v>21.0</v>
      </c>
      <c r="V111" s="17">
        <v>-11.0</v>
      </c>
      <c r="W111" s="15">
        <v>-0.07152777777777777</v>
      </c>
      <c r="X111" s="15">
        <v>-0.09375</v>
      </c>
      <c r="Y111" s="16" t="s">
        <v>594</v>
      </c>
    </row>
    <row r="112">
      <c r="A112" s="6">
        <v>107.0</v>
      </c>
      <c r="B112" s="7" t="s">
        <v>595</v>
      </c>
      <c r="C112" s="8" t="s">
        <v>596</v>
      </c>
      <c r="D112" s="9" t="s">
        <v>52</v>
      </c>
      <c r="E112" s="7" t="s">
        <v>597</v>
      </c>
      <c r="F112" s="9">
        <v>23.0</v>
      </c>
      <c r="G112" s="9">
        <v>2000.0</v>
      </c>
      <c r="H112" s="18">
        <v>0.0</v>
      </c>
      <c r="I112" s="19"/>
      <c r="J112" s="19"/>
      <c r="K112" s="19"/>
      <c r="L112" s="19"/>
      <c r="M112" s="18">
        <v>0.0</v>
      </c>
      <c r="N112" s="19"/>
      <c r="O112" s="12">
        <v>0.0</v>
      </c>
      <c r="P112" s="18">
        <v>0.0</v>
      </c>
      <c r="Q112" s="19"/>
      <c r="R112" s="11">
        <v>4.0</v>
      </c>
      <c r="S112" s="24"/>
      <c r="T112" s="19"/>
      <c r="U112" s="19"/>
      <c r="V112" s="19"/>
      <c r="W112" s="19"/>
      <c r="X112" s="19"/>
      <c r="Y112" s="16" t="s">
        <v>598</v>
      </c>
    </row>
    <row r="113">
      <c r="A113" s="6">
        <v>108.0</v>
      </c>
      <c r="B113" s="7" t="s">
        <v>599</v>
      </c>
      <c r="C113" s="8" t="s">
        <v>600</v>
      </c>
      <c r="D113" s="9" t="s">
        <v>32</v>
      </c>
      <c r="E113" s="7" t="s">
        <v>601</v>
      </c>
      <c r="F113" s="9">
        <v>24.0</v>
      </c>
      <c r="G113" s="9">
        <v>1999.0</v>
      </c>
      <c r="H113" s="10">
        <v>11.0</v>
      </c>
      <c r="I113" s="11">
        <v>596.0</v>
      </c>
      <c r="J113" s="11">
        <v>54.0</v>
      </c>
      <c r="K113" s="11" t="s">
        <v>602</v>
      </c>
      <c r="L113" s="11" t="s">
        <v>603</v>
      </c>
      <c r="M113" s="10">
        <v>6.0</v>
      </c>
      <c r="N113" s="11">
        <v>76.0</v>
      </c>
      <c r="O113" s="11">
        <v>1.0</v>
      </c>
      <c r="P113" s="10">
        <v>5.0</v>
      </c>
      <c r="Q113" s="11">
        <v>29.0</v>
      </c>
      <c r="R113" s="11">
        <v>2.0</v>
      </c>
      <c r="S113" s="13">
        <v>0.0798611111111111</v>
      </c>
      <c r="T113" s="11">
        <v>13.0</v>
      </c>
      <c r="U113" s="11">
        <v>12.0</v>
      </c>
      <c r="V113" s="14">
        <f>+1</f>
        <v>1</v>
      </c>
      <c r="W113" s="14" t="str">
        <f>+0.15</f>
        <v>#ERROR!</v>
      </c>
      <c r="X113" s="14" t="str">
        <f>+0.07</f>
        <v>#ERROR!</v>
      </c>
      <c r="Y113" s="16" t="s">
        <v>604</v>
      </c>
    </row>
    <row r="114">
      <c r="A114" s="6">
        <v>109.0</v>
      </c>
      <c r="B114" s="7" t="s">
        <v>605</v>
      </c>
      <c r="C114" s="8" t="s">
        <v>606</v>
      </c>
      <c r="D114" s="9" t="s">
        <v>59</v>
      </c>
      <c r="E114" s="7" t="s">
        <v>607</v>
      </c>
      <c r="F114" s="9">
        <v>28.0</v>
      </c>
      <c r="G114" s="9">
        <v>1995.0</v>
      </c>
      <c r="H114" s="10">
        <v>25.0</v>
      </c>
      <c r="I114" s="11">
        <v>1.595</v>
      </c>
      <c r="J114" s="11">
        <v>64.0</v>
      </c>
      <c r="K114" s="11" t="s">
        <v>608</v>
      </c>
      <c r="L114" s="11" t="s">
        <v>609</v>
      </c>
      <c r="M114" s="10">
        <v>19.0</v>
      </c>
      <c r="N114" s="11">
        <v>76.0</v>
      </c>
      <c r="O114" s="11">
        <v>5.0</v>
      </c>
      <c r="P114" s="10">
        <v>6.0</v>
      </c>
      <c r="Q114" s="11">
        <v>26.0</v>
      </c>
      <c r="R114" s="12">
        <v>0.0</v>
      </c>
      <c r="S114" s="13">
        <v>0.05555555555555555</v>
      </c>
      <c r="T114" s="11">
        <v>32.0</v>
      </c>
      <c r="U114" s="11">
        <v>34.0</v>
      </c>
      <c r="V114" s="17">
        <v>-2.0</v>
      </c>
      <c r="W114" s="15">
        <v>-0.007638888888888889</v>
      </c>
      <c r="X114" s="14" t="str">
        <f>+0.29</f>
        <v>#ERROR!</v>
      </c>
      <c r="Y114" s="16" t="s">
        <v>610</v>
      </c>
    </row>
    <row r="115">
      <c r="A115" s="6">
        <v>110.0</v>
      </c>
      <c r="B115" s="7" t="s">
        <v>611</v>
      </c>
      <c r="C115" s="8" t="s">
        <v>612</v>
      </c>
      <c r="D115" s="9" t="s">
        <v>59</v>
      </c>
      <c r="E115" s="7" t="s">
        <v>613</v>
      </c>
      <c r="F115" s="9">
        <v>33.0</v>
      </c>
      <c r="G115" s="9">
        <v>1990.0</v>
      </c>
      <c r="H115" s="10">
        <v>19.0</v>
      </c>
      <c r="I115" s="11">
        <v>755.0</v>
      </c>
      <c r="J115" s="11">
        <v>40.0</v>
      </c>
      <c r="K115" s="11" t="s">
        <v>483</v>
      </c>
      <c r="L115" s="11" t="s">
        <v>484</v>
      </c>
      <c r="M115" s="10">
        <v>9.0</v>
      </c>
      <c r="N115" s="11">
        <v>61.0</v>
      </c>
      <c r="O115" s="12">
        <v>0.0</v>
      </c>
      <c r="P115" s="10">
        <v>10.0</v>
      </c>
      <c r="Q115" s="11">
        <v>20.0</v>
      </c>
      <c r="R115" s="12">
        <v>0.0</v>
      </c>
      <c r="S115" s="13">
        <v>0.10138888888888889</v>
      </c>
      <c r="T115" s="11">
        <v>17.0</v>
      </c>
      <c r="U115" s="11">
        <v>9.0</v>
      </c>
      <c r="V115" s="14">
        <f>+8</f>
        <v>8</v>
      </c>
      <c r="W115" s="14" t="str">
        <f>+0.95</f>
        <v>#ERROR!</v>
      </c>
      <c r="X115" s="15">
        <v>-0.043055555555555555</v>
      </c>
      <c r="Y115" s="16" t="s">
        <v>614</v>
      </c>
    </row>
    <row r="116">
      <c r="A116" s="6">
        <v>111.0</v>
      </c>
      <c r="B116" s="7" t="s">
        <v>615</v>
      </c>
      <c r="C116" s="8" t="s">
        <v>616</v>
      </c>
      <c r="D116" s="9" t="s">
        <v>52</v>
      </c>
      <c r="E116" s="7" t="s">
        <v>617</v>
      </c>
      <c r="F116" s="9">
        <v>20.0</v>
      </c>
      <c r="G116" s="9">
        <v>2003.0</v>
      </c>
      <c r="H116" s="10">
        <v>3.0</v>
      </c>
      <c r="I116" s="11">
        <v>74.0</v>
      </c>
      <c r="J116" s="11">
        <v>25.0</v>
      </c>
      <c r="K116" s="11" t="s">
        <v>618</v>
      </c>
      <c r="L116" s="11" t="s">
        <v>245</v>
      </c>
      <c r="M116" s="10">
        <v>1.0</v>
      </c>
      <c r="N116" s="11">
        <v>62.0</v>
      </c>
      <c r="O116" s="12">
        <v>0.0</v>
      </c>
      <c r="P116" s="10">
        <v>2.0</v>
      </c>
      <c r="Q116" s="11">
        <v>6.0</v>
      </c>
      <c r="R116" s="11">
        <v>7.0</v>
      </c>
      <c r="S116" s="13">
        <v>0.06458333333333334</v>
      </c>
      <c r="T116" s="12">
        <v>0.0</v>
      </c>
      <c r="U116" s="12">
        <v>0.0</v>
      </c>
      <c r="V116" s="12">
        <v>0.0</v>
      </c>
      <c r="W116" s="21">
        <v>0.0</v>
      </c>
      <c r="X116" s="15">
        <v>-0.05486111111111111</v>
      </c>
      <c r="Y116" s="16" t="s">
        <v>619</v>
      </c>
    </row>
    <row r="117">
      <c r="A117" s="6">
        <v>112.0</v>
      </c>
      <c r="B117" s="7" t="s">
        <v>620</v>
      </c>
      <c r="C117" s="8" t="s">
        <v>621</v>
      </c>
      <c r="D117" s="9" t="s">
        <v>66</v>
      </c>
      <c r="E117" s="7" t="s">
        <v>622</v>
      </c>
      <c r="F117" s="9">
        <v>21.0</v>
      </c>
      <c r="G117" s="9">
        <v>2002.0</v>
      </c>
      <c r="H117" s="10">
        <v>7.0</v>
      </c>
      <c r="I117" s="11">
        <v>121.0</v>
      </c>
      <c r="J117" s="11">
        <v>17.0</v>
      </c>
      <c r="K117" s="11" t="s">
        <v>623</v>
      </c>
      <c r="L117" s="11" t="s">
        <v>624</v>
      </c>
      <c r="M117" s="10">
        <v>1.0</v>
      </c>
      <c r="N117" s="11">
        <v>57.0</v>
      </c>
      <c r="O117" s="12">
        <v>0.0</v>
      </c>
      <c r="P117" s="10">
        <v>6.0</v>
      </c>
      <c r="Q117" s="11">
        <v>11.0</v>
      </c>
      <c r="R117" s="11">
        <v>5.0</v>
      </c>
      <c r="S117" s="13">
        <v>0.08333333333333333</v>
      </c>
      <c r="T117" s="11">
        <v>4.0</v>
      </c>
      <c r="U117" s="11">
        <v>2.0</v>
      </c>
      <c r="V117" s="14">
        <f>+2</f>
        <v>2</v>
      </c>
      <c r="W117" s="14" t="str">
        <f>+1.49</f>
        <v>#ERROR!</v>
      </c>
      <c r="X117" s="14" t="str">
        <f>+0.75</f>
        <v>#ERROR!</v>
      </c>
      <c r="Y117" s="16" t="s">
        <v>625</v>
      </c>
    </row>
    <row r="118">
      <c r="A118" s="6">
        <v>113.0</v>
      </c>
      <c r="B118" s="7" t="s">
        <v>626</v>
      </c>
      <c r="C118" s="8" t="s">
        <v>627</v>
      </c>
      <c r="D118" s="9" t="s">
        <v>32</v>
      </c>
      <c r="E118" s="7" t="s">
        <v>628</v>
      </c>
      <c r="F118" s="9">
        <v>22.0</v>
      </c>
      <c r="G118" s="9">
        <v>2001.0</v>
      </c>
      <c r="H118" s="10">
        <v>9.0</v>
      </c>
      <c r="I118" s="11">
        <v>304.0</v>
      </c>
      <c r="J118" s="11">
        <v>34.0</v>
      </c>
      <c r="K118" s="11" t="s">
        <v>111</v>
      </c>
      <c r="L118" s="11" t="s">
        <v>112</v>
      </c>
      <c r="M118" s="10">
        <v>3.0</v>
      </c>
      <c r="N118" s="11">
        <v>63.0</v>
      </c>
      <c r="O118" s="12">
        <v>0.0</v>
      </c>
      <c r="P118" s="10">
        <v>6.0</v>
      </c>
      <c r="Q118" s="11">
        <v>19.0</v>
      </c>
      <c r="R118" s="12">
        <v>0.0</v>
      </c>
      <c r="S118" s="13">
        <v>0.08333333333333333</v>
      </c>
      <c r="T118" s="11">
        <v>8.0</v>
      </c>
      <c r="U118" s="11">
        <v>4.0</v>
      </c>
      <c r="V118" s="14">
        <f>+4</f>
        <v>4</v>
      </c>
      <c r="W118" s="14" t="str">
        <f>+1.18</f>
        <v>#ERROR!</v>
      </c>
      <c r="X118" s="14" t="str">
        <f>+1.26</f>
        <v>#ERROR!</v>
      </c>
      <c r="Y118" s="16" t="s">
        <v>629</v>
      </c>
    </row>
    <row r="119">
      <c r="A119" s="6">
        <v>114.0</v>
      </c>
      <c r="B119" s="7" t="s">
        <v>630</v>
      </c>
      <c r="C119" s="8" t="s">
        <v>631</v>
      </c>
      <c r="D119" s="9" t="s">
        <v>66</v>
      </c>
      <c r="E119" s="7" t="s">
        <v>632</v>
      </c>
      <c r="F119" s="9">
        <v>26.0</v>
      </c>
      <c r="G119" s="9">
        <v>1997.0</v>
      </c>
      <c r="H119" s="10">
        <v>12.0</v>
      </c>
      <c r="I119" s="11">
        <v>1.057</v>
      </c>
      <c r="J119" s="11">
        <v>88.0</v>
      </c>
      <c r="K119" s="11" t="s">
        <v>633</v>
      </c>
      <c r="L119" s="11" t="s">
        <v>634</v>
      </c>
      <c r="M119" s="10">
        <v>12.0</v>
      </c>
      <c r="N119" s="11">
        <v>88.0</v>
      </c>
      <c r="O119" s="11">
        <v>10.0</v>
      </c>
      <c r="P119" s="18">
        <v>0.0</v>
      </c>
      <c r="Q119" s="19"/>
      <c r="R119" s="11">
        <v>1.0</v>
      </c>
      <c r="S119" s="13">
        <v>0.12986111111111112</v>
      </c>
      <c r="T119" s="11">
        <v>33.0</v>
      </c>
      <c r="U119" s="11">
        <v>6.0</v>
      </c>
      <c r="V119" s="14">
        <f>+27</f>
        <v>27</v>
      </c>
      <c r="W119" s="14" t="str">
        <f>+2.30</f>
        <v>#ERROR!</v>
      </c>
      <c r="X119" s="14" t="str">
        <f>+1.48</f>
        <v>#ERROR!</v>
      </c>
      <c r="Y119" s="16" t="s">
        <v>635</v>
      </c>
    </row>
    <row r="120">
      <c r="A120" s="6">
        <v>115.0</v>
      </c>
      <c r="B120" s="7" t="s">
        <v>636</v>
      </c>
      <c r="C120" s="8" t="s">
        <v>637</v>
      </c>
      <c r="D120" s="9" t="s">
        <v>52</v>
      </c>
      <c r="E120" s="7" t="s">
        <v>638</v>
      </c>
      <c r="F120" s="9">
        <v>27.0</v>
      </c>
      <c r="G120" s="9">
        <v>1996.0</v>
      </c>
      <c r="H120" s="18">
        <v>0.0</v>
      </c>
      <c r="I120" s="19"/>
      <c r="J120" s="19"/>
      <c r="K120" s="19"/>
      <c r="L120" s="19"/>
      <c r="M120" s="18">
        <v>0.0</v>
      </c>
      <c r="N120" s="19"/>
      <c r="O120" s="12">
        <v>0.0</v>
      </c>
      <c r="P120" s="18">
        <v>0.0</v>
      </c>
      <c r="Q120" s="19"/>
      <c r="R120" s="11">
        <v>3.0</v>
      </c>
      <c r="S120" s="24"/>
      <c r="T120" s="19"/>
      <c r="U120" s="19"/>
      <c r="V120" s="19"/>
      <c r="W120" s="19"/>
      <c r="X120" s="19"/>
      <c r="Y120" s="16" t="s">
        <v>639</v>
      </c>
    </row>
    <row r="121">
      <c r="A121" s="6">
        <v>116.0</v>
      </c>
      <c r="B121" s="7" t="s">
        <v>640</v>
      </c>
      <c r="C121" s="8" t="s">
        <v>641</v>
      </c>
      <c r="D121" s="9" t="s">
        <v>59</v>
      </c>
      <c r="E121" s="7" t="s">
        <v>642</v>
      </c>
      <c r="F121" s="9">
        <v>18.0</v>
      </c>
      <c r="G121" s="9">
        <v>2005.0</v>
      </c>
      <c r="H121" s="10">
        <v>25.0</v>
      </c>
      <c r="I121" s="11">
        <v>647.0</v>
      </c>
      <c r="J121" s="11">
        <v>26.0</v>
      </c>
      <c r="K121" s="11" t="s">
        <v>643</v>
      </c>
      <c r="L121" s="11" t="s">
        <v>644</v>
      </c>
      <c r="M121" s="10">
        <v>5.0</v>
      </c>
      <c r="N121" s="11">
        <v>73.0</v>
      </c>
      <c r="O121" s="11">
        <v>2.0</v>
      </c>
      <c r="P121" s="10">
        <v>20.0</v>
      </c>
      <c r="Q121" s="11">
        <v>14.0</v>
      </c>
      <c r="R121" s="11">
        <v>5.0</v>
      </c>
      <c r="S121" s="13">
        <v>0.06944444444444445</v>
      </c>
      <c r="T121" s="11">
        <v>9.0</v>
      </c>
      <c r="U121" s="11">
        <v>16.0</v>
      </c>
      <c r="V121" s="17">
        <v>-7.0</v>
      </c>
      <c r="W121" s="15">
        <v>-0.06736111111111111</v>
      </c>
      <c r="X121" s="15">
        <v>-0.07013888888888889</v>
      </c>
      <c r="Y121" s="16" t="s">
        <v>645</v>
      </c>
    </row>
    <row r="122">
      <c r="A122" s="6">
        <v>117.0</v>
      </c>
      <c r="B122" s="7" t="s">
        <v>646</v>
      </c>
      <c r="C122" s="8" t="s">
        <v>647</v>
      </c>
      <c r="D122" s="9" t="s">
        <v>66</v>
      </c>
      <c r="E122" s="7" t="s">
        <v>648</v>
      </c>
      <c r="F122" s="9">
        <v>20.0</v>
      </c>
      <c r="G122" s="9">
        <v>2003.0</v>
      </c>
      <c r="H122" s="10">
        <v>15.0</v>
      </c>
      <c r="I122" s="11">
        <v>1.35</v>
      </c>
      <c r="J122" s="11">
        <v>90.0</v>
      </c>
      <c r="K122" s="11" t="s">
        <v>174</v>
      </c>
      <c r="L122" s="11" t="s">
        <v>175</v>
      </c>
      <c r="M122" s="10">
        <v>15.0</v>
      </c>
      <c r="N122" s="11">
        <v>90.0</v>
      </c>
      <c r="O122" s="11">
        <v>15.0</v>
      </c>
      <c r="P122" s="18">
        <v>0.0</v>
      </c>
      <c r="Q122" s="19"/>
      <c r="R122" s="12">
        <v>0.0</v>
      </c>
      <c r="S122" s="13">
        <v>0.08819444444444445</v>
      </c>
      <c r="T122" s="11">
        <v>29.0</v>
      </c>
      <c r="U122" s="11">
        <v>14.0</v>
      </c>
      <c r="V122" s="14">
        <f>+15</f>
        <v>15</v>
      </c>
      <c r="W122" s="14" t="str">
        <f>+1.00</f>
        <v>#ERROR!</v>
      </c>
      <c r="X122" s="14" t="str">
        <f>+1.33</f>
        <v>#ERROR!</v>
      </c>
      <c r="Y122" s="16" t="s">
        <v>649</v>
      </c>
    </row>
    <row r="123">
      <c r="A123" s="6">
        <v>118.0</v>
      </c>
      <c r="B123" s="7" t="s">
        <v>650</v>
      </c>
      <c r="C123" s="8" t="s">
        <v>651</v>
      </c>
      <c r="D123" s="9" t="s">
        <v>73</v>
      </c>
      <c r="E123" s="7" t="s">
        <v>652</v>
      </c>
      <c r="F123" s="9">
        <v>37.0</v>
      </c>
      <c r="G123" s="9">
        <v>1986.0</v>
      </c>
      <c r="H123" s="10">
        <v>20.0</v>
      </c>
      <c r="I123" s="11">
        <v>1.8</v>
      </c>
      <c r="J123" s="11">
        <v>90.0</v>
      </c>
      <c r="K123" s="11" t="s">
        <v>653</v>
      </c>
      <c r="L123" s="11" t="s">
        <v>654</v>
      </c>
      <c r="M123" s="10">
        <v>20.0</v>
      </c>
      <c r="N123" s="11">
        <v>90.0</v>
      </c>
      <c r="O123" s="11">
        <v>20.0</v>
      </c>
      <c r="P123" s="18">
        <v>0.0</v>
      </c>
      <c r="Q123" s="19"/>
      <c r="R123" s="11">
        <v>6.0</v>
      </c>
      <c r="S123" s="13">
        <v>0.10416666666666667</v>
      </c>
      <c r="T123" s="11">
        <v>50.0</v>
      </c>
      <c r="U123" s="11">
        <v>14.0</v>
      </c>
      <c r="V123" s="14">
        <f>+36</f>
        <v>36</v>
      </c>
      <c r="W123" s="14" t="str">
        <f>+1.80</f>
        <v>#ERROR!</v>
      </c>
      <c r="X123" s="14" t="str">
        <f>+1.20</f>
        <v>#ERROR!</v>
      </c>
      <c r="Y123" s="16" t="s">
        <v>655</v>
      </c>
    </row>
    <row r="124">
      <c r="A124" s="6">
        <v>119.0</v>
      </c>
      <c r="B124" s="7" t="s">
        <v>656</v>
      </c>
      <c r="C124" s="8" t="s">
        <v>657</v>
      </c>
      <c r="D124" s="9" t="s">
        <v>52</v>
      </c>
      <c r="E124" s="7" t="s">
        <v>658</v>
      </c>
      <c r="F124" s="9">
        <v>26.0</v>
      </c>
      <c r="G124" s="9">
        <v>1997.0</v>
      </c>
      <c r="H124" s="18">
        <v>0.0</v>
      </c>
      <c r="I124" s="19"/>
      <c r="J124" s="19"/>
      <c r="K124" s="19"/>
      <c r="L124" s="19"/>
      <c r="M124" s="18">
        <v>0.0</v>
      </c>
      <c r="N124" s="19"/>
      <c r="O124" s="12">
        <v>0.0</v>
      </c>
      <c r="P124" s="18">
        <v>0.0</v>
      </c>
      <c r="Q124" s="19"/>
      <c r="R124" s="11">
        <v>5.0</v>
      </c>
      <c r="S124" s="24"/>
      <c r="T124" s="19"/>
      <c r="U124" s="19"/>
      <c r="V124" s="19"/>
      <c r="W124" s="19"/>
      <c r="X124" s="19"/>
      <c r="Y124" s="16" t="s">
        <v>659</v>
      </c>
    </row>
    <row r="125">
      <c r="A125" s="6">
        <v>120.0</v>
      </c>
      <c r="B125" s="7" t="s">
        <v>660</v>
      </c>
      <c r="C125" s="8" t="s">
        <v>661</v>
      </c>
      <c r="D125" s="9" t="s">
        <v>66</v>
      </c>
      <c r="E125" s="7" t="s">
        <v>662</v>
      </c>
      <c r="F125" s="9">
        <v>34.0</v>
      </c>
      <c r="G125" s="9">
        <v>1989.0</v>
      </c>
      <c r="H125" s="10">
        <v>23.0</v>
      </c>
      <c r="I125" s="11">
        <v>1.909</v>
      </c>
      <c r="J125" s="11">
        <v>83.0</v>
      </c>
      <c r="K125" s="11" t="s">
        <v>663</v>
      </c>
      <c r="L125" s="11" t="s">
        <v>664</v>
      </c>
      <c r="M125" s="10">
        <v>22.0</v>
      </c>
      <c r="N125" s="11">
        <v>86.0</v>
      </c>
      <c r="O125" s="11">
        <v>21.0</v>
      </c>
      <c r="P125" s="10">
        <v>1.0</v>
      </c>
      <c r="Q125" s="11">
        <v>7.0</v>
      </c>
      <c r="R125" s="11">
        <v>3.0</v>
      </c>
      <c r="S125" s="13">
        <v>0.07777777777777778</v>
      </c>
      <c r="T125" s="11">
        <v>26.0</v>
      </c>
      <c r="U125" s="11">
        <v>28.0</v>
      </c>
      <c r="V125" s="17">
        <v>-2.0</v>
      </c>
      <c r="W125" s="15">
        <v>-0.00625</v>
      </c>
      <c r="X125" s="15">
        <v>-0.07361111111111111</v>
      </c>
      <c r="Y125" s="16" t="s">
        <v>665</v>
      </c>
    </row>
    <row r="126">
      <c r="A126" s="6">
        <v>121.0</v>
      </c>
      <c r="B126" s="7" t="s">
        <v>666</v>
      </c>
      <c r="C126" s="8" t="s">
        <v>667</v>
      </c>
      <c r="D126" s="9" t="s">
        <v>66</v>
      </c>
      <c r="E126" s="7" t="s">
        <v>668</v>
      </c>
      <c r="F126" s="9">
        <v>17.0</v>
      </c>
      <c r="G126" s="9">
        <v>2006.0</v>
      </c>
      <c r="H126" s="18">
        <v>0.0</v>
      </c>
      <c r="I126" s="19"/>
      <c r="J126" s="19"/>
      <c r="K126" s="19"/>
      <c r="L126" s="19"/>
      <c r="M126" s="18">
        <v>0.0</v>
      </c>
      <c r="N126" s="19"/>
      <c r="O126" s="12">
        <v>0.0</v>
      </c>
      <c r="P126" s="18">
        <v>0.0</v>
      </c>
      <c r="Q126" s="19"/>
      <c r="R126" s="11">
        <v>9.0</v>
      </c>
      <c r="S126" s="24"/>
      <c r="T126" s="19"/>
      <c r="U126" s="19"/>
      <c r="V126" s="19"/>
      <c r="W126" s="19"/>
      <c r="X126" s="19"/>
      <c r="Y126" s="16" t="s">
        <v>669</v>
      </c>
    </row>
    <row r="127">
      <c r="A127" s="6">
        <v>122.0</v>
      </c>
      <c r="B127" s="7" t="s">
        <v>670</v>
      </c>
      <c r="C127" s="8" t="s">
        <v>671</v>
      </c>
      <c r="D127" s="9" t="s">
        <v>32</v>
      </c>
      <c r="E127" s="7" t="s">
        <v>672</v>
      </c>
      <c r="F127" s="9">
        <v>24.0</v>
      </c>
      <c r="G127" s="9">
        <v>1999.0</v>
      </c>
      <c r="H127" s="10">
        <v>20.0</v>
      </c>
      <c r="I127" s="11">
        <v>809.0</v>
      </c>
      <c r="J127" s="11">
        <v>40.0</v>
      </c>
      <c r="K127" s="11" t="s">
        <v>673</v>
      </c>
      <c r="L127" s="11" t="s">
        <v>674</v>
      </c>
      <c r="M127" s="10">
        <v>9.0</v>
      </c>
      <c r="N127" s="11">
        <v>74.0</v>
      </c>
      <c r="O127" s="11">
        <v>2.0</v>
      </c>
      <c r="P127" s="10">
        <v>11.0</v>
      </c>
      <c r="Q127" s="11">
        <v>13.0</v>
      </c>
      <c r="R127" s="11">
        <v>8.0</v>
      </c>
      <c r="S127" s="13">
        <v>0.03125</v>
      </c>
      <c r="T127" s="11">
        <v>8.0</v>
      </c>
      <c r="U127" s="11">
        <v>14.0</v>
      </c>
      <c r="V127" s="17">
        <v>-6.0</v>
      </c>
      <c r="W127" s="15">
        <v>-0.04652777777777778</v>
      </c>
      <c r="X127" s="15">
        <v>-0.009722222222222222</v>
      </c>
      <c r="Y127" s="16" t="s">
        <v>675</v>
      </c>
    </row>
    <row r="128">
      <c r="A128" s="6">
        <v>123.0</v>
      </c>
      <c r="B128" s="7" t="s">
        <v>676</v>
      </c>
      <c r="C128" s="8" t="s">
        <v>677</v>
      </c>
      <c r="D128" s="9" t="s">
        <v>73</v>
      </c>
      <c r="E128" s="7" t="s">
        <v>678</v>
      </c>
      <c r="F128" s="9">
        <v>29.0</v>
      </c>
      <c r="G128" s="9">
        <v>1994.0</v>
      </c>
      <c r="H128" s="10">
        <v>3.0</v>
      </c>
      <c r="I128" s="11">
        <v>197.0</v>
      </c>
      <c r="J128" s="11">
        <v>66.0</v>
      </c>
      <c r="K128" s="11" t="s">
        <v>679</v>
      </c>
      <c r="L128" s="11" t="s">
        <v>680</v>
      </c>
      <c r="M128" s="10">
        <v>2.0</v>
      </c>
      <c r="N128" s="11">
        <v>90.0</v>
      </c>
      <c r="O128" s="11">
        <v>2.0</v>
      </c>
      <c r="P128" s="10">
        <v>1.0</v>
      </c>
      <c r="Q128" s="11">
        <v>17.0</v>
      </c>
      <c r="R128" s="11">
        <v>27.0</v>
      </c>
      <c r="S128" s="13">
        <v>0.08333333333333333</v>
      </c>
      <c r="T128" s="11">
        <v>2.0</v>
      </c>
      <c r="U128" s="11">
        <v>6.0</v>
      </c>
      <c r="V128" s="17">
        <v>-4.0</v>
      </c>
      <c r="W128" s="15">
        <v>-0.09930555555555555</v>
      </c>
      <c r="X128" s="15">
        <v>-0.09375</v>
      </c>
      <c r="Y128" s="16" t="s">
        <v>681</v>
      </c>
    </row>
    <row r="129">
      <c r="A129" s="6">
        <v>124.0</v>
      </c>
      <c r="B129" s="7" t="s">
        <v>682</v>
      </c>
      <c r="C129" s="8" t="s">
        <v>683</v>
      </c>
      <c r="D129" s="9" t="s">
        <v>66</v>
      </c>
      <c r="E129" s="7" t="s">
        <v>684</v>
      </c>
      <c r="F129" s="9">
        <v>22.0</v>
      </c>
      <c r="G129" s="9">
        <v>2001.0</v>
      </c>
      <c r="H129" s="10">
        <v>12.0</v>
      </c>
      <c r="I129" s="11">
        <v>1.019</v>
      </c>
      <c r="J129" s="11">
        <v>85.0</v>
      </c>
      <c r="K129" s="11" t="s">
        <v>685</v>
      </c>
      <c r="L129" s="11" t="s">
        <v>111</v>
      </c>
      <c r="M129" s="10">
        <v>12.0</v>
      </c>
      <c r="N129" s="11">
        <v>85.0</v>
      </c>
      <c r="O129" s="11">
        <v>7.0</v>
      </c>
      <c r="P129" s="18">
        <v>0.0</v>
      </c>
      <c r="Q129" s="19"/>
      <c r="R129" s="12">
        <v>0.0</v>
      </c>
      <c r="S129" s="13">
        <v>0.04652777777777778</v>
      </c>
      <c r="T129" s="11">
        <v>5.0</v>
      </c>
      <c r="U129" s="11">
        <v>14.0</v>
      </c>
      <c r="V129" s="17">
        <v>-9.0</v>
      </c>
      <c r="W129" s="15">
        <v>-0.05486111111111111</v>
      </c>
      <c r="X129" s="15">
        <v>-0.025694444444444443</v>
      </c>
      <c r="Y129" s="16" t="s">
        <v>686</v>
      </c>
    </row>
    <row r="130">
      <c r="A130" s="6">
        <v>125.0</v>
      </c>
      <c r="B130" s="7" t="s">
        <v>687</v>
      </c>
      <c r="C130" s="8" t="s">
        <v>688</v>
      </c>
      <c r="D130" s="9" t="s">
        <v>73</v>
      </c>
      <c r="E130" s="7" t="s">
        <v>689</v>
      </c>
      <c r="F130" s="9">
        <v>21.0</v>
      </c>
      <c r="G130" s="9">
        <v>2002.0</v>
      </c>
      <c r="H130" s="10">
        <v>13.0</v>
      </c>
      <c r="I130" s="11">
        <v>1.17</v>
      </c>
      <c r="J130" s="11">
        <v>90.0</v>
      </c>
      <c r="K130" s="11" t="s">
        <v>690</v>
      </c>
      <c r="L130" s="11" t="s">
        <v>691</v>
      </c>
      <c r="M130" s="10">
        <v>13.0</v>
      </c>
      <c r="N130" s="11">
        <v>90.0</v>
      </c>
      <c r="O130" s="11">
        <v>13.0</v>
      </c>
      <c r="P130" s="18">
        <v>0.0</v>
      </c>
      <c r="Q130" s="19"/>
      <c r="R130" s="12">
        <v>0.0</v>
      </c>
      <c r="S130" s="13">
        <v>0.08958333333333333</v>
      </c>
      <c r="T130" s="11">
        <v>21.0</v>
      </c>
      <c r="U130" s="11">
        <v>15.0</v>
      </c>
      <c r="V130" s="14">
        <f>+6</f>
        <v>6</v>
      </c>
      <c r="W130" s="14" t="str">
        <f>+0.46</f>
        <v>#ERROR!</v>
      </c>
      <c r="X130" s="15">
        <v>-0.0375</v>
      </c>
      <c r="Y130" s="16" t="s">
        <v>692</v>
      </c>
    </row>
    <row r="131">
      <c r="A131" s="25" t="s">
        <v>0</v>
      </c>
      <c r="B131" s="26" t="s">
        <v>1</v>
      </c>
      <c r="C131" s="27" t="s">
        <v>2</v>
      </c>
      <c r="D131" s="27" t="s">
        <v>3</v>
      </c>
      <c r="E131" s="27" t="s">
        <v>4</v>
      </c>
      <c r="F131" s="27" t="s">
        <v>5</v>
      </c>
      <c r="G131" s="27" t="s">
        <v>6</v>
      </c>
      <c r="H131" s="28" t="s">
        <v>7</v>
      </c>
      <c r="I131" s="27" t="s">
        <v>8</v>
      </c>
      <c r="J131" s="27" t="s">
        <v>9</v>
      </c>
      <c r="K131" s="27" t="s">
        <v>10</v>
      </c>
      <c r="L131" s="27" t="s">
        <v>11</v>
      </c>
      <c r="M131" s="28" t="s">
        <v>12</v>
      </c>
      <c r="N131" s="27" t="s">
        <v>13</v>
      </c>
      <c r="O131" s="27" t="s">
        <v>14</v>
      </c>
      <c r="P131" s="28" t="s">
        <v>15</v>
      </c>
      <c r="Q131" s="27" t="s">
        <v>16</v>
      </c>
      <c r="R131" s="27" t="s">
        <v>17</v>
      </c>
      <c r="S131" s="28" t="s">
        <v>18</v>
      </c>
      <c r="T131" s="27" t="s">
        <v>19</v>
      </c>
      <c r="U131" s="27" t="s">
        <v>20</v>
      </c>
      <c r="V131" s="29" t="str">
        <f>+/-</f>
        <v>#ERROR!</v>
      </c>
      <c r="W131" s="29" t="str">
        <f>+/-90</f>
        <v>#ERROR!</v>
      </c>
      <c r="X131" s="27" t="s">
        <v>21</v>
      </c>
      <c r="Y131" s="28" t="s">
        <v>22</v>
      </c>
    </row>
    <row r="132">
      <c r="A132" s="6">
        <v>126.0</v>
      </c>
      <c r="B132" s="7" t="s">
        <v>693</v>
      </c>
      <c r="C132" s="8" t="s">
        <v>694</v>
      </c>
      <c r="D132" s="9" t="s">
        <v>32</v>
      </c>
      <c r="E132" s="7" t="s">
        <v>695</v>
      </c>
      <c r="F132" s="9">
        <v>17.0</v>
      </c>
      <c r="G132" s="9">
        <v>2006.0</v>
      </c>
      <c r="H132" s="18">
        <v>0.0</v>
      </c>
      <c r="I132" s="19"/>
      <c r="J132" s="19"/>
      <c r="K132" s="19"/>
      <c r="L132" s="19"/>
      <c r="M132" s="18">
        <v>0.0</v>
      </c>
      <c r="N132" s="19"/>
      <c r="O132" s="12">
        <v>0.0</v>
      </c>
      <c r="P132" s="18">
        <v>0.0</v>
      </c>
      <c r="Q132" s="19"/>
      <c r="R132" s="11">
        <v>1.0</v>
      </c>
      <c r="S132" s="24"/>
      <c r="T132" s="19"/>
      <c r="U132" s="19"/>
      <c r="V132" s="19"/>
      <c r="W132" s="19"/>
      <c r="X132" s="19"/>
      <c r="Y132" s="16" t="s">
        <v>696</v>
      </c>
    </row>
    <row r="133">
      <c r="A133" s="6">
        <v>127.0</v>
      </c>
      <c r="B133" s="7" t="s">
        <v>697</v>
      </c>
      <c r="C133" s="8" t="s">
        <v>698</v>
      </c>
      <c r="D133" s="9" t="s">
        <v>284</v>
      </c>
      <c r="E133" s="7" t="s">
        <v>699</v>
      </c>
      <c r="F133" s="9">
        <v>26.0</v>
      </c>
      <c r="G133" s="9">
        <v>1997.0</v>
      </c>
      <c r="H133" s="10">
        <v>26.0</v>
      </c>
      <c r="I133" s="11">
        <v>2.239</v>
      </c>
      <c r="J133" s="11">
        <v>86.0</v>
      </c>
      <c r="K133" s="11" t="s">
        <v>700</v>
      </c>
      <c r="L133" s="11" t="s">
        <v>701</v>
      </c>
      <c r="M133" s="10">
        <v>26.0</v>
      </c>
      <c r="N133" s="11">
        <v>86.0</v>
      </c>
      <c r="O133" s="11">
        <v>13.0</v>
      </c>
      <c r="P133" s="18">
        <v>0.0</v>
      </c>
      <c r="Q133" s="19"/>
      <c r="R133" s="11">
        <v>2.0</v>
      </c>
      <c r="S133" s="13">
        <v>0.10069444444444445</v>
      </c>
      <c r="T133" s="11">
        <v>37.0</v>
      </c>
      <c r="U133" s="11">
        <v>35.0</v>
      </c>
      <c r="V133" s="14">
        <f>+2</f>
        <v>2</v>
      </c>
      <c r="W133" s="14" t="str">
        <f>+0.08</f>
        <v>#ERROR!</v>
      </c>
      <c r="X133" s="15">
        <v>-0.035416666666666666</v>
      </c>
      <c r="Y133" s="16" t="s">
        <v>702</v>
      </c>
    </row>
    <row r="134">
      <c r="A134" s="6">
        <v>128.0</v>
      </c>
      <c r="B134" s="7" t="s">
        <v>703</v>
      </c>
      <c r="C134" s="8" t="s">
        <v>704</v>
      </c>
      <c r="D134" s="9" t="s">
        <v>284</v>
      </c>
      <c r="E134" s="7" t="s">
        <v>705</v>
      </c>
      <c r="F134" s="9">
        <v>25.0</v>
      </c>
      <c r="G134" s="9">
        <v>1998.0</v>
      </c>
      <c r="H134" s="10">
        <v>12.0</v>
      </c>
      <c r="I134" s="11">
        <v>1.035</v>
      </c>
      <c r="J134" s="11">
        <v>86.0</v>
      </c>
      <c r="K134" s="11" t="s">
        <v>706</v>
      </c>
      <c r="L134" s="11" t="s">
        <v>707</v>
      </c>
      <c r="M134" s="10">
        <v>12.0</v>
      </c>
      <c r="N134" s="11">
        <v>86.0</v>
      </c>
      <c r="O134" s="11">
        <v>11.0</v>
      </c>
      <c r="P134" s="18">
        <v>0.0</v>
      </c>
      <c r="Q134" s="19"/>
      <c r="R134" s="12">
        <v>0.0</v>
      </c>
      <c r="S134" s="13">
        <v>0.06388888888888888</v>
      </c>
      <c r="T134" s="11">
        <v>15.0</v>
      </c>
      <c r="U134" s="11">
        <v>30.0</v>
      </c>
      <c r="V134" s="17">
        <v>-15.0</v>
      </c>
      <c r="W134" s="15">
        <v>-0.0625</v>
      </c>
      <c r="X134" s="15">
        <v>-0.06805555555555555</v>
      </c>
      <c r="Y134" s="16" t="s">
        <v>708</v>
      </c>
    </row>
    <row r="135">
      <c r="A135" s="6">
        <v>129.0</v>
      </c>
      <c r="B135" s="7" t="s">
        <v>709</v>
      </c>
      <c r="C135" s="8" t="s">
        <v>710</v>
      </c>
      <c r="D135" s="9" t="s">
        <v>52</v>
      </c>
      <c r="E135" s="7" t="s">
        <v>711</v>
      </c>
      <c r="F135" s="9">
        <v>34.0</v>
      </c>
      <c r="G135" s="9">
        <v>1989.0</v>
      </c>
      <c r="H135" s="10">
        <v>17.0</v>
      </c>
      <c r="I135" s="11">
        <v>681.0</v>
      </c>
      <c r="J135" s="11">
        <v>40.0</v>
      </c>
      <c r="K135" s="11" t="s">
        <v>712</v>
      </c>
      <c r="L135" s="11" t="s">
        <v>713</v>
      </c>
      <c r="M135" s="10">
        <v>5.0</v>
      </c>
      <c r="N135" s="11">
        <v>75.0</v>
      </c>
      <c r="O135" s="11">
        <v>1.0</v>
      </c>
      <c r="P135" s="10">
        <v>12.0</v>
      </c>
      <c r="Q135" s="11">
        <v>25.0</v>
      </c>
      <c r="R135" s="11">
        <v>3.0</v>
      </c>
      <c r="S135" s="13">
        <v>0.08333333333333333</v>
      </c>
      <c r="T135" s="11">
        <v>12.0</v>
      </c>
      <c r="U135" s="11">
        <v>8.0</v>
      </c>
      <c r="V135" s="14">
        <f>+4</f>
        <v>4</v>
      </c>
      <c r="W135" s="14" t="str">
        <f>+0.53</f>
        <v>#ERROR!</v>
      </c>
      <c r="X135" s="14" t="str">
        <f>+0.26</f>
        <v>#ERROR!</v>
      </c>
      <c r="Y135" s="16" t="s">
        <v>714</v>
      </c>
    </row>
    <row r="136">
      <c r="A136" s="6">
        <v>130.0</v>
      </c>
      <c r="B136" s="7" t="s">
        <v>715</v>
      </c>
      <c r="C136" s="8" t="s">
        <v>716</v>
      </c>
      <c r="D136" s="9" t="s">
        <v>73</v>
      </c>
      <c r="E136" s="7" t="s">
        <v>717</v>
      </c>
      <c r="F136" s="9">
        <v>19.0</v>
      </c>
      <c r="G136" s="9">
        <v>2004.0</v>
      </c>
      <c r="H136" s="10">
        <v>2.0</v>
      </c>
      <c r="I136" s="11">
        <v>180.0</v>
      </c>
      <c r="J136" s="11">
        <v>90.0</v>
      </c>
      <c r="K136" s="11" t="s">
        <v>412</v>
      </c>
      <c r="L136" s="11" t="s">
        <v>413</v>
      </c>
      <c r="M136" s="10">
        <v>2.0</v>
      </c>
      <c r="N136" s="11">
        <v>90.0</v>
      </c>
      <c r="O136" s="11">
        <v>2.0</v>
      </c>
      <c r="P136" s="18">
        <v>0.0</v>
      </c>
      <c r="Q136" s="19"/>
      <c r="R136" s="11">
        <v>16.0</v>
      </c>
      <c r="S136" s="13">
        <v>0.034722222222222224</v>
      </c>
      <c r="T136" s="11">
        <v>4.0</v>
      </c>
      <c r="U136" s="11">
        <v>5.0</v>
      </c>
      <c r="V136" s="17">
        <v>-1.0</v>
      </c>
      <c r="W136" s="15">
        <v>-0.034722222222222224</v>
      </c>
      <c r="X136" s="15">
        <v>-0.02013888888888889</v>
      </c>
      <c r="Y136" s="16" t="s">
        <v>718</v>
      </c>
    </row>
    <row r="137">
      <c r="A137" s="6">
        <v>131.0</v>
      </c>
      <c r="B137" s="7" t="s">
        <v>719</v>
      </c>
      <c r="C137" s="8" t="s">
        <v>720</v>
      </c>
      <c r="D137" s="9" t="s">
        <v>66</v>
      </c>
      <c r="E137" s="7" t="s">
        <v>721</v>
      </c>
      <c r="F137" s="9">
        <v>21.0</v>
      </c>
      <c r="G137" s="9">
        <v>2003.0</v>
      </c>
      <c r="H137" s="10">
        <v>6.0</v>
      </c>
      <c r="I137" s="11">
        <v>80.0</v>
      </c>
      <c r="J137" s="11">
        <v>13.0</v>
      </c>
      <c r="K137" s="11" t="s">
        <v>351</v>
      </c>
      <c r="L137" s="11" t="s">
        <v>194</v>
      </c>
      <c r="M137" s="10">
        <v>1.0</v>
      </c>
      <c r="N137" s="11">
        <v>66.0</v>
      </c>
      <c r="O137" s="12">
        <v>0.0</v>
      </c>
      <c r="P137" s="10">
        <v>5.0</v>
      </c>
      <c r="Q137" s="11">
        <v>3.0</v>
      </c>
      <c r="R137" s="11">
        <v>22.0</v>
      </c>
      <c r="S137" s="13">
        <v>0.08333333333333333</v>
      </c>
      <c r="T137" s="11">
        <v>1.0</v>
      </c>
      <c r="U137" s="11">
        <v>1.0</v>
      </c>
      <c r="V137" s="12">
        <v>0.0</v>
      </c>
      <c r="W137" s="21">
        <v>0.0</v>
      </c>
      <c r="X137" s="15">
        <v>-0.0020833333333333333</v>
      </c>
      <c r="Y137" s="16" t="s">
        <v>722</v>
      </c>
    </row>
    <row r="138">
      <c r="A138" s="6">
        <v>132.0</v>
      </c>
      <c r="B138" s="7" t="s">
        <v>723</v>
      </c>
      <c r="C138" s="8" t="s">
        <v>724</v>
      </c>
      <c r="D138" s="9" t="s">
        <v>66</v>
      </c>
      <c r="E138" s="7" t="s">
        <v>725</v>
      </c>
      <c r="F138" s="9">
        <v>18.0</v>
      </c>
      <c r="G138" s="9">
        <v>2005.0</v>
      </c>
      <c r="H138" s="10">
        <v>1.0</v>
      </c>
      <c r="I138" s="11">
        <v>1.0</v>
      </c>
      <c r="J138" s="11">
        <v>1.0</v>
      </c>
      <c r="K138" s="12" t="s">
        <v>470</v>
      </c>
      <c r="L138" s="12" t="s">
        <v>470</v>
      </c>
      <c r="M138" s="18">
        <v>0.0</v>
      </c>
      <c r="N138" s="19"/>
      <c r="O138" s="12">
        <v>0.0</v>
      </c>
      <c r="P138" s="10">
        <v>1.0</v>
      </c>
      <c r="Q138" s="11">
        <v>1.0</v>
      </c>
      <c r="R138" s="11">
        <v>7.0</v>
      </c>
      <c r="S138" s="13">
        <v>0.125</v>
      </c>
      <c r="T138" s="12">
        <v>0.0</v>
      </c>
      <c r="U138" s="12">
        <v>0.0</v>
      </c>
      <c r="V138" s="12">
        <v>0.0</v>
      </c>
      <c r="W138" s="21">
        <v>0.0</v>
      </c>
      <c r="X138" s="15">
        <v>-0.05347222222222222</v>
      </c>
      <c r="Y138" s="16" t="s">
        <v>726</v>
      </c>
    </row>
    <row r="139">
      <c r="A139" s="6">
        <v>133.0</v>
      </c>
      <c r="B139" s="7" t="s">
        <v>727</v>
      </c>
      <c r="C139" s="22"/>
      <c r="D139" s="9" t="s">
        <v>52</v>
      </c>
      <c r="E139" s="7" t="s">
        <v>728</v>
      </c>
      <c r="F139" s="23"/>
      <c r="G139" s="23"/>
      <c r="H139" s="18">
        <v>0.0</v>
      </c>
      <c r="I139" s="19"/>
      <c r="J139" s="19"/>
      <c r="K139" s="19"/>
      <c r="L139" s="19"/>
      <c r="M139" s="18">
        <v>0.0</v>
      </c>
      <c r="N139" s="19"/>
      <c r="O139" s="12">
        <v>0.0</v>
      </c>
      <c r="P139" s="18">
        <v>0.0</v>
      </c>
      <c r="Q139" s="19"/>
      <c r="R139" s="11">
        <v>1.0</v>
      </c>
      <c r="S139" s="24"/>
      <c r="T139" s="19"/>
      <c r="U139" s="19"/>
      <c r="V139" s="19"/>
      <c r="W139" s="19"/>
      <c r="X139" s="19"/>
      <c r="Y139" s="16" t="s">
        <v>729</v>
      </c>
    </row>
    <row r="140">
      <c r="A140" s="6">
        <v>134.0</v>
      </c>
      <c r="B140" s="7" t="s">
        <v>730</v>
      </c>
      <c r="C140" s="8" t="s">
        <v>731</v>
      </c>
      <c r="D140" s="9" t="s">
        <v>45</v>
      </c>
      <c r="E140" s="7" t="s">
        <v>732</v>
      </c>
      <c r="F140" s="9">
        <v>27.0</v>
      </c>
      <c r="G140" s="9">
        <v>1996.0</v>
      </c>
      <c r="H140" s="10">
        <v>26.0</v>
      </c>
      <c r="I140" s="11">
        <v>1.991</v>
      </c>
      <c r="J140" s="11">
        <v>77.0</v>
      </c>
      <c r="K140" s="11" t="s">
        <v>733</v>
      </c>
      <c r="L140" s="11" t="s">
        <v>602</v>
      </c>
      <c r="M140" s="10">
        <v>23.0</v>
      </c>
      <c r="N140" s="11">
        <v>82.0</v>
      </c>
      <c r="O140" s="11">
        <v>11.0</v>
      </c>
      <c r="P140" s="10">
        <v>3.0</v>
      </c>
      <c r="Q140" s="11">
        <v>34.0</v>
      </c>
      <c r="R140" s="12">
        <v>0.0</v>
      </c>
      <c r="S140" s="13">
        <v>0.044444444444444446</v>
      </c>
      <c r="T140" s="11">
        <v>24.0</v>
      </c>
      <c r="U140" s="11">
        <v>33.0</v>
      </c>
      <c r="V140" s="17">
        <v>-9.0</v>
      </c>
      <c r="W140" s="15">
        <v>-0.02847222222222222</v>
      </c>
      <c r="X140" s="15">
        <v>-0.019444444444444445</v>
      </c>
      <c r="Y140" s="16" t="s">
        <v>734</v>
      </c>
    </row>
    <row r="141">
      <c r="A141" s="6">
        <v>135.0</v>
      </c>
      <c r="B141" s="7" t="s">
        <v>735</v>
      </c>
      <c r="C141" s="8" t="s">
        <v>736</v>
      </c>
      <c r="D141" s="9" t="s">
        <v>66</v>
      </c>
      <c r="E141" s="7" t="s">
        <v>737</v>
      </c>
      <c r="F141" s="9">
        <v>18.0</v>
      </c>
      <c r="G141" s="9">
        <v>2005.0</v>
      </c>
      <c r="H141" s="18">
        <v>0.0</v>
      </c>
      <c r="I141" s="19"/>
      <c r="J141" s="19"/>
      <c r="K141" s="19"/>
      <c r="L141" s="19"/>
      <c r="M141" s="18">
        <v>0.0</v>
      </c>
      <c r="N141" s="19"/>
      <c r="O141" s="12">
        <v>0.0</v>
      </c>
      <c r="P141" s="18">
        <v>0.0</v>
      </c>
      <c r="Q141" s="19"/>
      <c r="R141" s="11">
        <v>1.0</v>
      </c>
      <c r="S141" s="24"/>
      <c r="T141" s="19"/>
      <c r="U141" s="19"/>
      <c r="V141" s="19"/>
      <c r="W141" s="19"/>
      <c r="X141" s="19"/>
      <c r="Y141" s="16" t="s">
        <v>738</v>
      </c>
    </row>
    <row r="142">
      <c r="A142" s="6">
        <v>136.0</v>
      </c>
      <c r="B142" s="7" t="s">
        <v>739</v>
      </c>
      <c r="C142" s="8" t="s">
        <v>740</v>
      </c>
      <c r="D142" s="9" t="s">
        <v>32</v>
      </c>
      <c r="E142" s="7" t="s">
        <v>741</v>
      </c>
      <c r="F142" s="9">
        <v>20.0</v>
      </c>
      <c r="G142" s="9">
        <v>2003.0</v>
      </c>
      <c r="H142" s="10">
        <v>23.0</v>
      </c>
      <c r="I142" s="11">
        <v>1.67</v>
      </c>
      <c r="J142" s="11">
        <v>73.0</v>
      </c>
      <c r="K142" s="11" t="s">
        <v>742</v>
      </c>
      <c r="L142" s="11" t="s">
        <v>743</v>
      </c>
      <c r="M142" s="10">
        <v>18.0</v>
      </c>
      <c r="N142" s="11">
        <v>86.0</v>
      </c>
      <c r="O142" s="11">
        <v>10.0</v>
      </c>
      <c r="P142" s="10">
        <v>5.0</v>
      </c>
      <c r="Q142" s="11">
        <v>26.0</v>
      </c>
      <c r="R142" s="12">
        <v>0.0</v>
      </c>
      <c r="S142" s="13">
        <v>0.09027777777777778</v>
      </c>
      <c r="T142" s="11">
        <v>25.0</v>
      </c>
      <c r="U142" s="11">
        <v>14.0</v>
      </c>
      <c r="V142" s="14">
        <f>+11</f>
        <v>11</v>
      </c>
      <c r="W142" s="14" t="str">
        <f>+0.59</f>
        <v>#ERROR!</v>
      </c>
      <c r="X142" s="15">
        <v>-0.03194444444444444</v>
      </c>
      <c r="Y142" s="16" t="s">
        <v>744</v>
      </c>
    </row>
    <row r="143">
      <c r="A143" s="6">
        <v>137.0</v>
      </c>
      <c r="B143" s="7" t="s">
        <v>745</v>
      </c>
      <c r="C143" s="8" t="s">
        <v>746</v>
      </c>
      <c r="D143" s="9" t="s">
        <v>66</v>
      </c>
      <c r="E143" s="7" t="s">
        <v>747</v>
      </c>
      <c r="F143" s="9">
        <v>23.0</v>
      </c>
      <c r="G143" s="9">
        <v>2000.0</v>
      </c>
      <c r="H143" s="10">
        <v>24.0</v>
      </c>
      <c r="I143" s="11">
        <v>1.641</v>
      </c>
      <c r="J143" s="11">
        <v>68.0</v>
      </c>
      <c r="K143" s="11" t="s">
        <v>748</v>
      </c>
      <c r="L143" s="11" t="s">
        <v>749</v>
      </c>
      <c r="M143" s="10">
        <v>18.0</v>
      </c>
      <c r="N143" s="11">
        <v>85.0</v>
      </c>
      <c r="O143" s="11">
        <v>13.0</v>
      </c>
      <c r="P143" s="10">
        <v>6.0</v>
      </c>
      <c r="Q143" s="11">
        <v>19.0</v>
      </c>
      <c r="R143" s="11">
        <v>3.0</v>
      </c>
      <c r="S143" s="13">
        <v>0.05625</v>
      </c>
      <c r="T143" s="11">
        <v>19.0</v>
      </c>
      <c r="U143" s="11">
        <v>39.0</v>
      </c>
      <c r="V143" s="17">
        <v>-20.0</v>
      </c>
      <c r="W143" s="15">
        <v>-0.04861111111111111</v>
      </c>
      <c r="X143" s="15">
        <v>-0.04236111111111111</v>
      </c>
      <c r="Y143" s="16" t="s">
        <v>750</v>
      </c>
    </row>
    <row r="144">
      <c r="A144" s="6">
        <v>138.0</v>
      </c>
      <c r="B144" s="7" t="s">
        <v>751</v>
      </c>
      <c r="C144" s="8" t="s">
        <v>752</v>
      </c>
      <c r="D144" s="9" t="s">
        <v>52</v>
      </c>
      <c r="E144" s="7" t="s">
        <v>753</v>
      </c>
      <c r="F144" s="9">
        <v>33.0</v>
      </c>
      <c r="G144" s="9">
        <v>1990.0</v>
      </c>
      <c r="H144" s="10">
        <v>16.0</v>
      </c>
      <c r="I144" s="11">
        <v>362.0</v>
      </c>
      <c r="J144" s="11">
        <v>23.0</v>
      </c>
      <c r="K144" s="11" t="s">
        <v>754</v>
      </c>
      <c r="L144" s="11" t="s">
        <v>755</v>
      </c>
      <c r="M144" s="10">
        <v>2.0</v>
      </c>
      <c r="N144" s="11">
        <v>65.0</v>
      </c>
      <c r="O144" s="12">
        <v>0.0</v>
      </c>
      <c r="P144" s="10">
        <v>14.0</v>
      </c>
      <c r="Q144" s="11">
        <v>17.0</v>
      </c>
      <c r="R144" s="11">
        <v>14.0</v>
      </c>
      <c r="S144" s="13">
        <v>0.09791666666666667</v>
      </c>
      <c r="T144" s="11">
        <v>9.0</v>
      </c>
      <c r="U144" s="11">
        <v>2.0</v>
      </c>
      <c r="V144" s="14">
        <f>+7</f>
        <v>7</v>
      </c>
      <c r="W144" s="14" t="str">
        <f>+1.74</f>
        <v>#ERROR!</v>
      </c>
      <c r="X144" s="14" t="str">
        <f>+1.62</f>
        <v>#ERROR!</v>
      </c>
      <c r="Y144" s="16" t="s">
        <v>756</v>
      </c>
    </row>
    <row r="145">
      <c r="A145" s="6">
        <v>139.0</v>
      </c>
      <c r="B145" s="7" t="s">
        <v>757</v>
      </c>
      <c r="C145" s="8" t="s">
        <v>758</v>
      </c>
      <c r="D145" s="9" t="s">
        <v>66</v>
      </c>
      <c r="E145" s="7" t="s">
        <v>759</v>
      </c>
      <c r="F145" s="9">
        <v>23.0</v>
      </c>
      <c r="G145" s="9">
        <v>2000.0</v>
      </c>
      <c r="H145" s="10">
        <v>17.0</v>
      </c>
      <c r="I145" s="11">
        <v>1.53</v>
      </c>
      <c r="J145" s="11">
        <v>90.0</v>
      </c>
      <c r="K145" s="11" t="s">
        <v>760</v>
      </c>
      <c r="L145" s="11" t="s">
        <v>124</v>
      </c>
      <c r="M145" s="10">
        <v>17.0</v>
      </c>
      <c r="N145" s="11">
        <v>90.0</v>
      </c>
      <c r="O145" s="11">
        <v>17.0</v>
      </c>
      <c r="P145" s="18">
        <v>0.0</v>
      </c>
      <c r="Q145" s="19"/>
      <c r="R145" s="12">
        <v>0.0</v>
      </c>
      <c r="S145" s="13">
        <v>0.09444444444444444</v>
      </c>
      <c r="T145" s="11">
        <v>25.0</v>
      </c>
      <c r="U145" s="11">
        <v>10.0</v>
      </c>
      <c r="V145" s="14">
        <f>+15</f>
        <v>15</v>
      </c>
      <c r="W145" s="14" t="str">
        <f>+0.88</f>
        <v>#ERROR!</v>
      </c>
      <c r="X145" s="14" t="str">
        <f>+0.27</f>
        <v>#ERROR!</v>
      </c>
      <c r="Y145" s="16" t="s">
        <v>761</v>
      </c>
    </row>
    <row r="146">
      <c r="A146" s="6">
        <v>140.0</v>
      </c>
      <c r="B146" s="7" t="s">
        <v>762</v>
      </c>
      <c r="C146" s="8" t="s">
        <v>763</v>
      </c>
      <c r="D146" s="9" t="s">
        <v>73</v>
      </c>
      <c r="E146" s="7" t="s">
        <v>764</v>
      </c>
      <c r="F146" s="9">
        <v>27.0</v>
      </c>
      <c r="G146" s="9">
        <v>1996.0</v>
      </c>
      <c r="H146" s="10">
        <v>15.0</v>
      </c>
      <c r="I146" s="11">
        <v>1.35</v>
      </c>
      <c r="J146" s="11">
        <v>90.0</v>
      </c>
      <c r="K146" s="11" t="s">
        <v>174</v>
      </c>
      <c r="L146" s="11" t="s">
        <v>175</v>
      </c>
      <c r="M146" s="10">
        <v>15.0</v>
      </c>
      <c r="N146" s="11">
        <v>90.0</v>
      </c>
      <c r="O146" s="11">
        <v>15.0</v>
      </c>
      <c r="P146" s="18">
        <v>0.0</v>
      </c>
      <c r="Q146" s="19"/>
      <c r="R146" s="11">
        <v>6.0</v>
      </c>
      <c r="S146" s="13">
        <v>0.05555555555555555</v>
      </c>
      <c r="T146" s="11">
        <v>14.0</v>
      </c>
      <c r="U146" s="11">
        <v>27.0</v>
      </c>
      <c r="V146" s="17">
        <v>-13.0</v>
      </c>
      <c r="W146" s="15">
        <v>-0.06041666666666667</v>
      </c>
      <c r="X146" s="15">
        <v>-0.03680555555555556</v>
      </c>
      <c r="Y146" s="16" t="s">
        <v>765</v>
      </c>
    </row>
    <row r="147">
      <c r="A147" s="6">
        <v>141.0</v>
      </c>
      <c r="B147" s="7" t="s">
        <v>766</v>
      </c>
      <c r="C147" s="8" t="s">
        <v>767</v>
      </c>
      <c r="D147" s="9" t="s">
        <v>284</v>
      </c>
      <c r="E147" s="7" t="s">
        <v>768</v>
      </c>
      <c r="F147" s="9">
        <v>25.0</v>
      </c>
      <c r="G147" s="9">
        <v>1998.0</v>
      </c>
      <c r="H147" s="10">
        <v>14.0</v>
      </c>
      <c r="I147" s="11">
        <v>978.0</v>
      </c>
      <c r="J147" s="11">
        <v>70.0</v>
      </c>
      <c r="K147" s="11" t="s">
        <v>769</v>
      </c>
      <c r="L147" s="11" t="s">
        <v>770</v>
      </c>
      <c r="M147" s="10">
        <v>11.0</v>
      </c>
      <c r="N147" s="11">
        <v>86.0</v>
      </c>
      <c r="O147" s="11">
        <v>9.0</v>
      </c>
      <c r="P147" s="10">
        <v>3.0</v>
      </c>
      <c r="Q147" s="11">
        <v>12.0</v>
      </c>
      <c r="R147" s="11">
        <v>1.0</v>
      </c>
      <c r="S147" s="13">
        <v>0.06458333333333334</v>
      </c>
      <c r="T147" s="11">
        <v>13.0</v>
      </c>
      <c r="U147" s="11">
        <v>14.0</v>
      </c>
      <c r="V147" s="17">
        <v>-1.0</v>
      </c>
      <c r="W147" s="15">
        <v>-0.00625</v>
      </c>
      <c r="X147" s="14" t="str">
        <f>+0.38</f>
        <v>#ERROR!</v>
      </c>
      <c r="Y147" s="16" t="s">
        <v>771</v>
      </c>
    </row>
    <row r="148">
      <c r="A148" s="6">
        <v>142.0</v>
      </c>
      <c r="B148" s="7" t="s">
        <v>772</v>
      </c>
      <c r="C148" s="8" t="s">
        <v>773</v>
      </c>
      <c r="D148" s="9" t="s">
        <v>59</v>
      </c>
      <c r="E148" s="7" t="s">
        <v>774</v>
      </c>
      <c r="F148" s="9">
        <v>29.0</v>
      </c>
      <c r="G148" s="9">
        <v>1994.0</v>
      </c>
      <c r="H148" s="10">
        <v>27.0</v>
      </c>
      <c r="I148" s="11">
        <v>1.559</v>
      </c>
      <c r="J148" s="11">
        <v>58.0</v>
      </c>
      <c r="K148" s="11" t="s">
        <v>775</v>
      </c>
      <c r="L148" s="11" t="s">
        <v>776</v>
      </c>
      <c r="M148" s="10">
        <v>17.0</v>
      </c>
      <c r="N148" s="11">
        <v>80.0</v>
      </c>
      <c r="O148" s="11">
        <v>7.0</v>
      </c>
      <c r="P148" s="10">
        <v>10.0</v>
      </c>
      <c r="Q148" s="11">
        <v>20.0</v>
      </c>
      <c r="R148" s="12">
        <v>0.0</v>
      </c>
      <c r="S148" s="13">
        <v>0.041666666666666664</v>
      </c>
      <c r="T148" s="11">
        <v>16.0</v>
      </c>
      <c r="U148" s="11">
        <v>31.0</v>
      </c>
      <c r="V148" s="17">
        <v>-15.0</v>
      </c>
      <c r="W148" s="15">
        <v>-0.06041666666666667</v>
      </c>
      <c r="X148" s="15">
        <v>-0.04375</v>
      </c>
      <c r="Y148" s="16" t="s">
        <v>777</v>
      </c>
    </row>
    <row r="149">
      <c r="A149" s="6">
        <v>143.0</v>
      </c>
      <c r="B149" s="7" t="s">
        <v>778</v>
      </c>
      <c r="C149" s="8" t="s">
        <v>779</v>
      </c>
      <c r="D149" s="9" t="s">
        <v>73</v>
      </c>
      <c r="E149" s="7" t="s">
        <v>780</v>
      </c>
      <c r="F149" s="9">
        <v>32.0</v>
      </c>
      <c r="G149" s="9">
        <v>1991.0</v>
      </c>
      <c r="H149" s="10">
        <v>15.0</v>
      </c>
      <c r="I149" s="11">
        <v>1.35</v>
      </c>
      <c r="J149" s="11">
        <v>90.0</v>
      </c>
      <c r="K149" s="11" t="s">
        <v>174</v>
      </c>
      <c r="L149" s="11" t="s">
        <v>175</v>
      </c>
      <c r="M149" s="10">
        <v>15.0</v>
      </c>
      <c r="N149" s="11">
        <v>90.0</v>
      </c>
      <c r="O149" s="11">
        <v>15.0</v>
      </c>
      <c r="P149" s="18">
        <v>0.0</v>
      </c>
      <c r="Q149" s="19"/>
      <c r="R149" s="11">
        <v>10.0</v>
      </c>
      <c r="S149" s="13">
        <v>0.04652777777777778</v>
      </c>
      <c r="T149" s="11">
        <v>12.0</v>
      </c>
      <c r="U149" s="11">
        <v>20.0</v>
      </c>
      <c r="V149" s="17">
        <v>-8.0</v>
      </c>
      <c r="W149" s="15">
        <v>-0.03680555555555556</v>
      </c>
      <c r="X149" s="14" t="str">
        <f>+0.07</f>
        <v>#ERROR!</v>
      </c>
      <c r="Y149" s="16" t="s">
        <v>781</v>
      </c>
    </row>
    <row r="150">
      <c r="A150" s="6">
        <v>144.0</v>
      </c>
      <c r="B150" s="7" t="s">
        <v>782</v>
      </c>
      <c r="C150" s="8" t="s">
        <v>783</v>
      </c>
      <c r="D150" s="9" t="s">
        <v>52</v>
      </c>
      <c r="E150" s="7" t="s">
        <v>784</v>
      </c>
      <c r="F150" s="9">
        <v>22.0</v>
      </c>
      <c r="G150" s="9">
        <v>2001.0</v>
      </c>
      <c r="H150" s="10">
        <v>23.0</v>
      </c>
      <c r="I150" s="11">
        <v>1.163</v>
      </c>
      <c r="J150" s="11">
        <v>51.0</v>
      </c>
      <c r="K150" s="11" t="s">
        <v>503</v>
      </c>
      <c r="L150" s="11" t="s">
        <v>504</v>
      </c>
      <c r="M150" s="10">
        <v>13.0</v>
      </c>
      <c r="N150" s="11">
        <v>73.0</v>
      </c>
      <c r="O150" s="11">
        <v>3.0</v>
      </c>
      <c r="P150" s="10">
        <v>10.0</v>
      </c>
      <c r="Q150" s="11">
        <v>22.0</v>
      </c>
      <c r="R150" s="11">
        <v>6.0</v>
      </c>
      <c r="S150" s="13">
        <v>0.08611111111111111</v>
      </c>
      <c r="T150" s="11">
        <v>22.0</v>
      </c>
      <c r="U150" s="11">
        <v>14.0</v>
      </c>
      <c r="V150" s="14">
        <f>+8</f>
        <v>8</v>
      </c>
      <c r="W150" s="14" t="str">
        <f>+0.62</f>
        <v>#ERROR!</v>
      </c>
      <c r="X150" s="14" t="str">
        <f>+0.50</f>
        <v>#ERROR!</v>
      </c>
      <c r="Y150" s="16" t="s">
        <v>785</v>
      </c>
    </row>
    <row r="151">
      <c r="A151" s="6">
        <v>145.0</v>
      </c>
      <c r="B151" s="7" t="s">
        <v>786</v>
      </c>
      <c r="C151" s="8" t="s">
        <v>787</v>
      </c>
      <c r="D151" s="9" t="s">
        <v>52</v>
      </c>
      <c r="E151" s="7" t="s">
        <v>788</v>
      </c>
      <c r="F151" s="9">
        <v>22.0</v>
      </c>
      <c r="G151" s="9">
        <v>2002.0</v>
      </c>
      <c r="H151" s="10">
        <v>24.0</v>
      </c>
      <c r="I151" s="11">
        <v>1.368</v>
      </c>
      <c r="J151" s="11">
        <v>57.0</v>
      </c>
      <c r="K151" s="11" t="s">
        <v>789</v>
      </c>
      <c r="L151" s="11" t="s">
        <v>790</v>
      </c>
      <c r="M151" s="10">
        <v>13.0</v>
      </c>
      <c r="N151" s="11">
        <v>85.0</v>
      </c>
      <c r="O151" s="11">
        <v>9.0</v>
      </c>
      <c r="P151" s="10">
        <v>11.0</v>
      </c>
      <c r="Q151" s="11">
        <v>24.0</v>
      </c>
      <c r="R151" s="11">
        <v>5.0</v>
      </c>
      <c r="S151" s="13">
        <v>0.06458333333333334</v>
      </c>
      <c r="T151" s="11">
        <v>29.0</v>
      </c>
      <c r="U151" s="11">
        <v>25.0</v>
      </c>
      <c r="V151" s="14">
        <f>+4</f>
        <v>4</v>
      </c>
      <c r="W151" s="14" t="str">
        <f>+0.26</f>
        <v>#ERROR!</v>
      </c>
      <c r="X151" s="15">
        <v>-6.944444444444445E-4</v>
      </c>
      <c r="Y151" s="16" t="s">
        <v>791</v>
      </c>
    </row>
    <row r="152">
      <c r="A152" s="6">
        <v>146.0</v>
      </c>
      <c r="B152" s="7" t="s">
        <v>792</v>
      </c>
      <c r="C152" s="8" t="s">
        <v>793</v>
      </c>
      <c r="D152" s="9" t="s">
        <v>52</v>
      </c>
      <c r="E152" s="7" t="s">
        <v>794</v>
      </c>
      <c r="F152" s="9">
        <v>20.0</v>
      </c>
      <c r="G152" s="9">
        <v>2004.0</v>
      </c>
      <c r="H152" s="10">
        <v>20.0</v>
      </c>
      <c r="I152" s="11">
        <v>1.551</v>
      </c>
      <c r="J152" s="11">
        <v>78.0</v>
      </c>
      <c r="K152" s="11" t="s">
        <v>795</v>
      </c>
      <c r="L152" s="11" t="s">
        <v>796</v>
      </c>
      <c r="M152" s="10">
        <v>17.0</v>
      </c>
      <c r="N152" s="11">
        <v>88.0</v>
      </c>
      <c r="O152" s="11">
        <v>13.0</v>
      </c>
      <c r="P152" s="10">
        <v>3.0</v>
      </c>
      <c r="Q152" s="11">
        <v>21.0</v>
      </c>
      <c r="R152" s="11">
        <v>9.0</v>
      </c>
      <c r="S152" s="13">
        <v>0.08333333333333333</v>
      </c>
      <c r="T152" s="11">
        <v>28.0</v>
      </c>
      <c r="U152" s="11">
        <v>15.0</v>
      </c>
      <c r="V152" s="14">
        <f>+13</f>
        <v>13</v>
      </c>
      <c r="W152" s="14" t="str">
        <f>+0.75</f>
        <v>#ERROR!</v>
      </c>
      <c r="X152" s="14" t="str">
        <f>+1.38</f>
        <v>#ERROR!</v>
      </c>
      <c r="Y152" s="16" t="s">
        <v>797</v>
      </c>
    </row>
    <row r="153">
      <c r="A153" s="6">
        <v>147.0</v>
      </c>
      <c r="B153" s="7" t="s">
        <v>798</v>
      </c>
      <c r="C153" s="8" t="s">
        <v>799</v>
      </c>
      <c r="D153" s="9" t="s">
        <v>66</v>
      </c>
      <c r="E153" s="7" t="s">
        <v>800</v>
      </c>
      <c r="F153" s="9">
        <v>21.0</v>
      </c>
      <c r="G153" s="9">
        <v>2003.0</v>
      </c>
      <c r="H153" s="10">
        <v>7.0</v>
      </c>
      <c r="I153" s="11">
        <v>58.0</v>
      </c>
      <c r="J153" s="11">
        <v>8.0</v>
      </c>
      <c r="K153" s="11" t="s">
        <v>801</v>
      </c>
      <c r="L153" s="11" t="s">
        <v>47</v>
      </c>
      <c r="M153" s="18">
        <v>0.0</v>
      </c>
      <c r="N153" s="19"/>
      <c r="O153" s="12">
        <v>0.0</v>
      </c>
      <c r="P153" s="10">
        <v>7.0</v>
      </c>
      <c r="Q153" s="11">
        <v>8.0</v>
      </c>
      <c r="R153" s="11">
        <v>20.0</v>
      </c>
      <c r="S153" s="13">
        <v>0.12291666666666666</v>
      </c>
      <c r="T153" s="12">
        <v>0.0</v>
      </c>
      <c r="U153" s="11">
        <v>2.0</v>
      </c>
      <c r="V153" s="17">
        <v>-2.0</v>
      </c>
      <c r="W153" s="15">
        <v>-0.13194444444444445</v>
      </c>
      <c r="X153" s="15">
        <v>-0.1486111111111111</v>
      </c>
      <c r="Y153" s="16" t="s">
        <v>802</v>
      </c>
    </row>
    <row r="154">
      <c r="A154" s="6">
        <v>148.0</v>
      </c>
      <c r="B154" s="7" t="s">
        <v>803</v>
      </c>
      <c r="C154" s="8" t="s">
        <v>804</v>
      </c>
      <c r="D154" s="9" t="s">
        <v>32</v>
      </c>
      <c r="E154" s="7" t="s">
        <v>805</v>
      </c>
      <c r="F154" s="9">
        <v>21.0</v>
      </c>
      <c r="G154" s="9">
        <v>2002.0</v>
      </c>
      <c r="H154" s="10">
        <v>13.0</v>
      </c>
      <c r="I154" s="11">
        <v>744.0</v>
      </c>
      <c r="J154" s="11">
        <v>57.0</v>
      </c>
      <c r="K154" s="11" t="s">
        <v>286</v>
      </c>
      <c r="L154" s="11" t="s">
        <v>287</v>
      </c>
      <c r="M154" s="10">
        <v>9.0</v>
      </c>
      <c r="N154" s="11">
        <v>78.0</v>
      </c>
      <c r="O154" s="11">
        <v>1.0</v>
      </c>
      <c r="P154" s="10">
        <v>4.0</v>
      </c>
      <c r="Q154" s="11">
        <v>10.0</v>
      </c>
      <c r="R154" s="11">
        <v>4.0</v>
      </c>
      <c r="S154" s="13">
        <v>0.09513888888888888</v>
      </c>
      <c r="T154" s="11">
        <v>12.0</v>
      </c>
      <c r="U154" s="11">
        <v>11.0</v>
      </c>
      <c r="V154" s="14">
        <f>+1</f>
        <v>1</v>
      </c>
      <c r="W154" s="14" t="str">
        <f>+0.12</f>
        <v>#ERROR!</v>
      </c>
      <c r="X154" s="15">
        <v>-0.004166666666666667</v>
      </c>
      <c r="Y154" s="16" t="s">
        <v>806</v>
      </c>
    </row>
    <row r="155">
      <c r="A155" s="6">
        <v>149.0</v>
      </c>
      <c r="B155" s="7" t="s">
        <v>807</v>
      </c>
      <c r="C155" s="8" t="s">
        <v>808</v>
      </c>
      <c r="D155" s="9" t="s">
        <v>66</v>
      </c>
      <c r="E155" s="7" t="s">
        <v>809</v>
      </c>
      <c r="F155" s="9">
        <v>33.0</v>
      </c>
      <c r="G155" s="9">
        <v>1990.0</v>
      </c>
      <c r="H155" s="10">
        <v>13.0</v>
      </c>
      <c r="I155" s="11">
        <v>480.0</v>
      </c>
      <c r="J155" s="11">
        <v>37.0</v>
      </c>
      <c r="K155" s="11" t="s">
        <v>810</v>
      </c>
      <c r="L155" s="11" t="s">
        <v>811</v>
      </c>
      <c r="M155" s="10">
        <v>5.0</v>
      </c>
      <c r="N155" s="11">
        <v>87.0</v>
      </c>
      <c r="O155" s="11">
        <v>4.0</v>
      </c>
      <c r="P155" s="10">
        <v>8.0</v>
      </c>
      <c r="Q155" s="11">
        <v>6.0</v>
      </c>
      <c r="R155" s="11">
        <v>8.0</v>
      </c>
      <c r="S155" s="13">
        <v>0.08888888888888889</v>
      </c>
      <c r="T155" s="11">
        <v>7.0</v>
      </c>
      <c r="U155" s="11">
        <v>10.0</v>
      </c>
      <c r="V155" s="17">
        <v>-3.0</v>
      </c>
      <c r="W155" s="15">
        <v>-0.03888888888888889</v>
      </c>
      <c r="X155" s="15">
        <v>-0.08472222222222223</v>
      </c>
      <c r="Y155" s="16" t="s">
        <v>812</v>
      </c>
    </row>
    <row r="156">
      <c r="A156" s="6">
        <v>150.0</v>
      </c>
      <c r="B156" s="7" t="s">
        <v>813</v>
      </c>
      <c r="C156" s="8" t="s">
        <v>814</v>
      </c>
      <c r="D156" s="9" t="s">
        <v>66</v>
      </c>
      <c r="E156" s="7" t="s">
        <v>815</v>
      </c>
      <c r="F156" s="9">
        <v>25.0</v>
      </c>
      <c r="G156" s="9">
        <v>1998.0</v>
      </c>
      <c r="H156" s="10">
        <v>15.0</v>
      </c>
      <c r="I156" s="11">
        <v>1.178</v>
      </c>
      <c r="J156" s="11">
        <v>79.0</v>
      </c>
      <c r="K156" s="11" t="s">
        <v>816</v>
      </c>
      <c r="L156" s="11" t="s">
        <v>817</v>
      </c>
      <c r="M156" s="10">
        <v>13.0</v>
      </c>
      <c r="N156" s="11">
        <v>89.0</v>
      </c>
      <c r="O156" s="11">
        <v>12.0</v>
      </c>
      <c r="P156" s="10">
        <v>2.0</v>
      </c>
      <c r="Q156" s="11">
        <v>14.0</v>
      </c>
      <c r="R156" s="11">
        <v>1.0</v>
      </c>
      <c r="S156" s="13">
        <v>0.09236111111111112</v>
      </c>
      <c r="T156" s="11">
        <v>17.0</v>
      </c>
      <c r="U156" s="11">
        <v>15.0</v>
      </c>
      <c r="V156" s="14">
        <f>+2</f>
        <v>2</v>
      </c>
      <c r="W156" s="14" t="str">
        <f>+0.15</f>
        <v>#ERROR!</v>
      </c>
      <c r="X156" s="14" t="str">
        <f>+0.15</f>
        <v>#ERROR!</v>
      </c>
      <c r="Y156" s="16" t="s">
        <v>818</v>
      </c>
    </row>
    <row r="157">
      <c r="A157" s="25" t="s">
        <v>0</v>
      </c>
      <c r="B157" s="26" t="s">
        <v>1</v>
      </c>
      <c r="C157" s="27" t="s">
        <v>2</v>
      </c>
      <c r="D157" s="27" t="s">
        <v>3</v>
      </c>
      <c r="E157" s="27" t="s">
        <v>4</v>
      </c>
      <c r="F157" s="27" t="s">
        <v>5</v>
      </c>
      <c r="G157" s="27" t="s">
        <v>6</v>
      </c>
      <c r="H157" s="28" t="s">
        <v>7</v>
      </c>
      <c r="I157" s="27" t="s">
        <v>8</v>
      </c>
      <c r="J157" s="27" t="s">
        <v>9</v>
      </c>
      <c r="K157" s="27" t="s">
        <v>10</v>
      </c>
      <c r="L157" s="27" t="s">
        <v>11</v>
      </c>
      <c r="M157" s="28" t="s">
        <v>12</v>
      </c>
      <c r="N157" s="27" t="s">
        <v>13</v>
      </c>
      <c r="O157" s="27" t="s">
        <v>14</v>
      </c>
      <c r="P157" s="28" t="s">
        <v>15</v>
      </c>
      <c r="Q157" s="27" t="s">
        <v>16</v>
      </c>
      <c r="R157" s="27" t="s">
        <v>17</v>
      </c>
      <c r="S157" s="28" t="s">
        <v>18</v>
      </c>
      <c r="T157" s="27" t="s">
        <v>19</v>
      </c>
      <c r="U157" s="27" t="s">
        <v>20</v>
      </c>
      <c r="V157" s="29" t="str">
        <f>+/-</f>
        <v>#ERROR!</v>
      </c>
      <c r="W157" s="29" t="str">
        <f>+/-90</f>
        <v>#ERROR!</v>
      </c>
      <c r="X157" s="27" t="s">
        <v>21</v>
      </c>
      <c r="Y157" s="28" t="s">
        <v>22</v>
      </c>
    </row>
    <row r="158">
      <c r="A158" s="6">
        <v>151.0</v>
      </c>
      <c r="B158" s="7" t="s">
        <v>819</v>
      </c>
      <c r="C158" s="8" t="s">
        <v>820</v>
      </c>
      <c r="D158" s="9" t="s">
        <v>284</v>
      </c>
      <c r="E158" s="7" t="s">
        <v>821</v>
      </c>
      <c r="F158" s="9">
        <v>19.0</v>
      </c>
      <c r="G158" s="9">
        <v>2004.0</v>
      </c>
      <c r="H158" s="10">
        <v>13.0</v>
      </c>
      <c r="I158" s="11">
        <v>871.0</v>
      </c>
      <c r="J158" s="11">
        <v>67.0</v>
      </c>
      <c r="K158" s="11" t="s">
        <v>822</v>
      </c>
      <c r="L158" s="11" t="s">
        <v>455</v>
      </c>
      <c r="M158" s="10">
        <v>9.0</v>
      </c>
      <c r="N158" s="11">
        <v>87.0</v>
      </c>
      <c r="O158" s="11">
        <v>8.0</v>
      </c>
      <c r="P158" s="10">
        <v>4.0</v>
      </c>
      <c r="Q158" s="11">
        <v>22.0</v>
      </c>
      <c r="R158" s="11">
        <v>3.0</v>
      </c>
      <c r="S158" s="13">
        <v>0.052083333333333336</v>
      </c>
      <c r="T158" s="11">
        <v>13.0</v>
      </c>
      <c r="U158" s="11">
        <v>13.0</v>
      </c>
      <c r="V158" s="12">
        <v>0.0</v>
      </c>
      <c r="W158" s="21">
        <v>0.0</v>
      </c>
      <c r="X158" s="14" t="str">
        <f>+0.34</f>
        <v>#ERROR!</v>
      </c>
      <c r="Y158" s="16" t="s">
        <v>823</v>
      </c>
    </row>
    <row r="159">
      <c r="A159" s="6">
        <v>152.0</v>
      </c>
      <c r="B159" s="7" t="s">
        <v>824</v>
      </c>
      <c r="C159" s="8" t="s">
        <v>825</v>
      </c>
      <c r="D159" s="9" t="s">
        <v>66</v>
      </c>
      <c r="E159" s="7" t="s">
        <v>826</v>
      </c>
      <c r="F159" s="9">
        <v>21.0</v>
      </c>
      <c r="G159" s="9">
        <v>2002.0</v>
      </c>
      <c r="H159" s="10">
        <v>1.0</v>
      </c>
      <c r="I159" s="11">
        <v>5.0</v>
      </c>
      <c r="J159" s="11">
        <v>5.0</v>
      </c>
      <c r="K159" s="11" t="s">
        <v>48</v>
      </c>
      <c r="L159" s="11" t="s">
        <v>155</v>
      </c>
      <c r="M159" s="18">
        <v>0.0</v>
      </c>
      <c r="N159" s="19"/>
      <c r="O159" s="12">
        <v>0.0</v>
      </c>
      <c r="P159" s="10">
        <v>1.0</v>
      </c>
      <c r="Q159" s="11">
        <v>5.0</v>
      </c>
      <c r="R159" s="11">
        <v>10.0</v>
      </c>
      <c r="S159" s="13">
        <v>0.125</v>
      </c>
      <c r="T159" s="11">
        <v>1.0</v>
      </c>
      <c r="U159" s="12">
        <v>0.0</v>
      </c>
      <c r="V159" s="14">
        <f>+1</f>
        <v>1</v>
      </c>
      <c r="W159" s="14" t="str">
        <f>+18.00</f>
        <v>#ERROR!</v>
      </c>
      <c r="X159" s="14" t="str">
        <f>+18.63</f>
        <v>#ERROR!</v>
      </c>
      <c r="Y159" s="16" t="s">
        <v>827</v>
      </c>
    </row>
    <row r="160">
      <c r="A160" s="6">
        <v>153.0</v>
      </c>
      <c r="B160" s="7" t="s">
        <v>828</v>
      </c>
      <c r="C160" s="8" t="s">
        <v>829</v>
      </c>
      <c r="D160" s="9" t="s">
        <v>32</v>
      </c>
      <c r="E160" s="7" t="s">
        <v>830</v>
      </c>
      <c r="F160" s="9">
        <v>31.0</v>
      </c>
      <c r="G160" s="9">
        <v>1992.0</v>
      </c>
      <c r="H160" s="10">
        <v>16.0</v>
      </c>
      <c r="I160" s="11">
        <v>555.0</v>
      </c>
      <c r="J160" s="11">
        <v>35.0</v>
      </c>
      <c r="K160" s="11" t="s">
        <v>831</v>
      </c>
      <c r="L160" s="11" t="s">
        <v>832</v>
      </c>
      <c r="M160" s="10">
        <v>7.0</v>
      </c>
      <c r="N160" s="11">
        <v>53.0</v>
      </c>
      <c r="O160" s="12">
        <v>0.0</v>
      </c>
      <c r="P160" s="10">
        <v>9.0</v>
      </c>
      <c r="Q160" s="11">
        <v>21.0</v>
      </c>
      <c r="R160" s="11">
        <v>3.0</v>
      </c>
      <c r="S160" s="13">
        <v>0.0763888888888889</v>
      </c>
      <c r="T160" s="11">
        <v>16.0</v>
      </c>
      <c r="U160" s="11">
        <v>9.0</v>
      </c>
      <c r="V160" s="14">
        <f>+7</f>
        <v>7</v>
      </c>
      <c r="W160" s="14" t="str">
        <f>+1.14</f>
        <v>#ERROR!</v>
      </c>
      <c r="X160" s="14" t="str">
        <f>+1.09</f>
        <v>#ERROR!</v>
      </c>
      <c r="Y160" s="16" t="s">
        <v>833</v>
      </c>
    </row>
    <row r="161">
      <c r="A161" s="6">
        <v>154.0</v>
      </c>
      <c r="B161" s="7" t="s">
        <v>834</v>
      </c>
      <c r="C161" s="8" t="s">
        <v>835</v>
      </c>
      <c r="D161" s="9" t="s">
        <v>32</v>
      </c>
      <c r="E161" s="7" t="s">
        <v>836</v>
      </c>
      <c r="F161" s="9">
        <v>23.0</v>
      </c>
      <c r="G161" s="9">
        <v>2000.0</v>
      </c>
      <c r="H161" s="10">
        <v>4.0</v>
      </c>
      <c r="I161" s="11">
        <v>114.0</v>
      </c>
      <c r="J161" s="11">
        <v>29.0</v>
      </c>
      <c r="K161" s="11" t="s">
        <v>837</v>
      </c>
      <c r="L161" s="11" t="s">
        <v>624</v>
      </c>
      <c r="M161" s="10">
        <v>1.0</v>
      </c>
      <c r="N161" s="11">
        <v>58.0</v>
      </c>
      <c r="O161" s="12">
        <v>0.0</v>
      </c>
      <c r="P161" s="10">
        <v>3.0</v>
      </c>
      <c r="Q161" s="11">
        <v>19.0</v>
      </c>
      <c r="R161" s="11">
        <v>10.0</v>
      </c>
      <c r="S161" s="13">
        <v>0.034722222222222224</v>
      </c>
      <c r="T161" s="12">
        <v>0.0</v>
      </c>
      <c r="U161" s="12">
        <v>0.0</v>
      </c>
      <c r="V161" s="12">
        <v>0.0</v>
      </c>
      <c r="W161" s="21">
        <v>0.0</v>
      </c>
      <c r="X161" s="15">
        <v>-0.004861111111111111</v>
      </c>
      <c r="Y161" s="16" t="s">
        <v>838</v>
      </c>
    </row>
    <row r="162">
      <c r="A162" s="6">
        <v>155.0</v>
      </c>
      <c r="B162" s="7" t="s">
        <v>839</v>
      </c>
      <c r="C162" s="8" t="s">
        <v>840</v>
      </c>
      <c r="D162" s="9" t="s">
        <v>52</v>
      </c>
      <c r="E162" s="7" t="s">
        <v>841</v>
      </c>
      <c r="F162" s="9">
        <v>28.0</v>
      </c>
      <c r="G162" s="9">
        <v>1995.0</v>
      </c>
      <c r="H162" s="10">
        <v>29.0</v>
      </c>
      <c r="I162" s="11">
        <v>2.56</v>
      </c>
      <c r="J162" s="11">
        <v>88.0</v>
      </c>
      <c r="K162" s="11" t="s">
        <v>842</v>
      </c>
      <c r="L162" s="11" t="s">
        <v>843</v>
      </c>
      <c r="M162" s="10">
        <v>29.0</v>
      </c>
      <c r="N162" s="11">
        <v>88.0</v>
      </c>
      <c r="O162" s="11">
        <v>27.0</v>
      </c>
      <c r="P162" s="18">
        <v>0.0</v>
      </c>
      <c r="Q162" s="19"/>
      <c r="R162" s="12">
        <v>0.0</v>
      </c>
      <c r="S162" s="13">
        <v>0.05347222222222222</v>
      </c>
      <c r="T162" s="11">
        <v>44.0</v>
      </c>
      <c r="U162" s="11">
        <v>50.0</v>
      </c>
      <c r="V162" s="17">
        <v>-6.0</v>
      </c>
      <c r="W162" s="15">
        <v>-0.014583333333333334</v>
      </c>
      <c r="X162" s="14" t="str">
        <f>+0.43</f>
        <v>#ERROR!</v>
      </c>
      <c r="Y162" s="16" t="s">
        <v>844</v>
      </c>
    </row>
    <row r="163">
      <c r="A163" s="6">
        <v>156.0</v>
      </c>
      <c r="B163" s="7" t="s">
        <v>845</v>
      </c>
      <c r="C163" s="8" t="s">
        <v>846</v>
      </c>
      <c r="D163" s="9" t="s">
        <v>66</v>
      </c>
      <c r="E163" s="7" t="s">
        <v>847</v>
      </c>
      <c r="F163" s="9">
        <v>17.0</v>
      </c>
      <c r="G163" s="9">
        <v>2006.0</v>
      </c>
      <c r="H163" s="18">
        <v>0.0</v>
      </c>
      <c r="I163" s="19"/>
      <c r="J163" s="19"/>
      <c r="K163" s="19"/>
      <c r="L163" s="19"/>
      <c r="M163" s="18">
        <v>0.0</v>
      </c>
      <c r="N163" s="19"/>
      <c r="O163" s="12">
        <v>0.0</v>
      </c>
      <c r="P163" s="18">
        <v>0.0</v>
      </c>
      <c r="Q163" s="19"/>
      <c r="R163" s="11">
        <v>1.0</v>
      </c>
      <c r="S163" s="24"/>
      <c r="T163" s="19"/>
      <c r="U163" s="19"/>
      <c r="V163" s="19"/>
      <c r="W163" s="19"/>
      <c r="X163" s="19"/>
      <c r="Y163" s="16" t="s">
        <v>848</v>
      </c>
    </row>
    <row r="164">
      <c r="A164" s="6">
        <v>157.0</v>
      </c>
      <c r="B164" s="7" t="s">
        <v>849</v>
      </c>
      <c r="C164" s="8" t="s">
        <v>850</v>
      </c>
      <c r="D164" s="9" t="s">
        <v>52</v>
      </c>
      <c r="E164" s="7" t="s">
        <v>851</v>
      </c>
      <c r="F164" s="9">
        <v>26.0</v>
      </c>
      <c r="G164" s="9">
        <v>1997.0</v>
      </c>
      <c r="H164" s="10">
        <v>10.0</v>
      </c>
      <c r="I164" s="11">
        <v>876.0</v>
      </c>
      <c r="J164" s="11">
        <v>88.0</v>
      </c>
      <c r="K164" s="11" t="s">
        <v>852</v>
      </c>
      <c r="L164" s="11" t="s">
        <v>455</v>
      </c>
      <c r="M164" s="10">
        <v>10.0</v>
      </c>
      <c r="N164" s="11">
        <v>88.0</v>
      </c>
      <c r="O164" s="11">
        <v>9.0</v>
      </c>
      <c r="P164" s="18">
        <v>0.0</v>
      </c>
      <c r="Q164" s="19"/>
      <c r="R164" s="12">
        <v>0.0</v>
      </c>
      <c r="S164" s="13">
        <v>0.027777777777777776</v>
      </c>
      <c r="T164" s="11">
        <v>3.0</v>
      </c>
      <c r="U164" s="11">
        <v>13.0</v>
      </c>
      <c r="V164" s="17">
        <v>-10.0</v>
      </c>
      <c r="W164" s="15">
        <v>-0.04375</v>
      </c>
      <c r="X164" s="15">
        <v>-0.04722222222222222</v>
      </c>
      <c r="Y164" s="16" t="s">
        <v>853</v>
      </c>
    </row>
    <row r="165">
      <c r="A165" s="6">
        <v>158.0</v>
      </c>
      <c r="B165" s="7" t="s">
        <v>854</v>
      </c>
      <c r="C165" s="8" t="s">
        <v>855</v>
      </c>
      <c r="D165" s="9" t="s">
        <v>284</v>
      </c>
      <c r="E165" s="7" t="s">
        <v>856</v>
      </c>
      <c r="F165" s="9">
        <v>26.0</v>
      </c>
      <c r="G165" s="9">
        <v>1997.0</v>
      </c>
      <c r="H165" s="10">
        <v>19.0</v>
      </c>
      <c r="I165" s="11">
        <v>1.053</v>
      </c>
      <c r="J165" s="11">
        <v>55.0</v>
      </c>
      <c r="K165" s="11" t="s">
        <v>857</v>
      </c>
      <c r="L165" s="11" t="s">
        <v>634</v>
      </c>
      <c r="M165" s="10">
        <v>13.0</v>
      </c>
      <c r="N165" s="11">
        <v>70.0</v>
      </c>
      <c r="O165" s="11">
        <v>3.0</v>
      </c>
      <c r="P165" s="10">
        <v>6.0</v>
      </c>
      <c r="Q165" s="11">
        <v>23.0</v>
      </c>
      <c r="R165" s="11">
        <v>7.0</v>
      </c>
      <c r="S165" s="13">
        <v>0.04513888888888889</v>
      </c>
      <c r="T165" s="11">
        <v>7.0</v>
      </c>
      <c r="U165" s="11">
        <v>20.0</v>
      </c>
      <c r="V165" s="17">
        <v>-13.0</v>
      </c>
      <c r="W165" s="15">
        <v>-0.049305555555555554</v>
      </c>
      <c r="X165" s="15">
        <v>-0.050694444444444445</v>
      </c>
      <c r="Y165" s="16" t="s">
        <v>858</v>
      </c>
    </row>
    <row r="166">
      <c r="A166" s="6">
        <v>159.0</v>
      </c>
      <c r="B166" s="7" t="s">
        <v>859</v>
      </c>
      <c r="C166" s="8" t="s">
        <v>860</v>
      </c>
      <c r="D166" s="9" t="s">
        <v>52</v>
      </c>
      <c r="E166" s="7" t="s">
        <v>861</v>
      </c>
      <c r="F166" s="9">
        <v>31.0</v>
      </c>
      <c r="G166" s="9">
        <v>1992.0</v>
      </c>
      <c r="H166" s="10">
        <v>24.0</v>
      </c>
      <c r="I166" s="11">
        <v>1.949</v>
      </c>
      <c r="J166" s="11">
        <v>81.0</v>
      </c>
      <c r="K166" s="11" t="s">
        <v>862</v>
      </c>
      <c r="L166" s="11" t="s">
        <v>863</v>
      </c>
      <c r="M166" s="10">
        <v>23.0</v>
      </c>
      <c r="N166" s="11">
        <v>84.0</v>
      </c>
      <c r="O166" s="11">
        <v>18.0</v>
      </c>
      <c r="P166" s="10">
        <v>1.0</v>
      </c>
      <c r="Q166" s="11">
        <v>13.0</v>
      </c>
      <c r="R166" s="11">
        <v>1.0</v>
      </c>
      <c r="S166" s="13">
        <v>0.04722222222222222</v>
      </c>
      <c r="T166" s="11">
        <v>24.0</v>
      </c>
      <c r="U166" s="11">
        <v>42.0</v>
      </c>
      <c r="V166" s="17">
        <v>-18.0</v>
      </c>
      <c r="W166" s="15">
        <v>-0.05763888888888889</v>
      </c>
      <c r="X166" s="15">
        <v>-0.04097222222222222</v>
      </c>
      <c r="Y166" s="16" t="s">
        <v>864</v>
      </c>
    </row>
    <row r="167">
      <c r="A167" s="6">
        <v>160.0</v>
      </c>
      <c r="B167" s="7" t="s">
        <v>865</v>
      </c>
      <c r="C167" s="8" t="s">
        <v>866</v>
      </c>
      <c r="D167" s="9" t="s">
        <v>32</v>
      </c>
      <c r="E167" s="7" t="s">
        <v>867</v>
      </c>
      <c r="F167" s="9">
        <v>18.0</v>
      </c>
      <c r="G167" s="9">
        <v>2005.0</v>
      </c>
      <c r="H167" s="10">
        <v>1.0</v>
      </c>
      <c r="I167" s="11">
        <v>24.0</v>
      </c>
      <c r="J167" s="11">
        <v>24.0</v>
      </c>
      <c r="K167" s="11" t="s">
        <v>194</v>
      </c>
      <c r="L167" s="11" t="s">
        <v>195</v>
      </c>
      <c r="M167" s="18">
        <v>0.0</v>
      </c>
      <c r="N167" s="19"/>
      <c r="O167" s="12">
        <v>0.0</v>
      </c>
      <c r="P167" s="10">
        <v>1.0</v>
      </c>
      <c r="Q167" s="11">
        <v>24.0</v>
      </c>
      <c r="R167" s="11">
        <v>7.0</v>
      </c>
      <c r="S167" s="20">
        <v>0.0</v>
      </c>
      <c r="T167" s="11">
        <v>1.0</v>
      </c>
      <c r="U167" s="12">
        <v>0.0</v>
      </c>
      <c r="V167" s="14">
        <f>+1</f>
        <v>1</v>
      </c>
      <c r="W167" s="14" t="str">
        <f>+3.75</f>
        <v>#ERROR!</v>
      </c>
      <c r="X167" s="14" t="str">
        <f>+3.62</f>
        <v>#ERROR!</v>
      </c>
      <c r="Y167" s="16" t="s">
        <v>868</v>
      </c>
    </row>
    <row r="168">
      <c r="A168" s="6">
        <v>161.0</v>
      </c>
      <c r="B168" s="7" t="s">
        <v>869</v>
      </c>
      <c r="C168" s="8" t="s">
        <v>870</v>
      </c>
      <c r="D168" s="9" t="s">
        <v>66</v>
      </c>
      <c r="E168" s="7" t="s">
        <v>871</v>
      </c>
      <c r="F168" s="9">
        <v>26.0</v>
      </c>
      <c r="G168" s="9">
        <v>1997.0</v>
      </c>
      <c r="H168" s="10">
        <v>16.0</v>
      </c>
      <c r="I168" s="11">
        <v>1.347</v>
      </c>
      <c r="J168" s="11">
        <v>84.0</v>
      </c>
      <c r="K168" s="11" t="s">
        <v>407</v>
      </c>
      <c r="L168" s="11" t="s">
        <v>175</v>
      </c>
      <c r="M168" s="10">
        <v>15.0</v>
      </c>
      <c r="N168" s="11">
        <v>88.0</v>
      </c>
      <c r="O168" s="11">
        <v>13.0</v>
      </c>
      <c r="P168" s="10">
        <v>1.0</v>
      </c>
      <c r="Q168" s="11">
        <v>32.0</v>
      </c>
      <c r="R168" s="11">
        <v>1.0</v>
      </c>
      <c r="S168" s="13">
        <v>0.052083333333333336</v>
      </c>
      <c r="T168" s="11">
        <v>14.0</v>
      </c>
      <c r="U168" s="11">
        <v>25.0</v>
      </c>
      <c r="V168" s="17">
        <v>-11.0</v>
      </c>
      <c r="W168" s="15">
        <v>-0.050694444444444445</v>
      </c>
      <c r="X168" s="15">
        <v>-0.02361111111111111</v>
      </c>
      <c r="Y168" s="16" t="s">
        <v>872</v>
      </c>
    </row>
    <row r="169">
      <c r="A169" s="6">
        <v>162.0</v>
      </c>
      <c r="B169" s="7" t="s">
        <v>873</v>
      </c>
      <c r="C169" s="8" t="s">
        <v>874</v>
      </c>
      <c r="D169" s="9" t="s">
        <v>32</v>
      </c>
      <c r="E169" s="7" t="s">
        <v>875</v>
      </c>
      <c r="F169" s="9">
        <v>29.0</v>
      </c>
      <c r="G169" s="9">
        <v>1994.0</v>
      </c>
      <c r="H169" s="10">
        <v>10.0</v>
      </c>
      <c r="I169" s="11">
        <v>656.0</v>
      </c>
      <c r="J169" s="11">
        <v>66.0</v>
      </c>
      <c r="K169" s="11" t="s">
        <v>876</v>
      </c>
      <c r="L169" s="11" t="s">
        <v>679</v>
      </c>
      <c r="M169" s="10">
        <v>8.0</v>
      </c>
      <c r="N169" s="11">
        <v>74.0</v>
      </c>
      <c r="O169" s="11">
        <v>1.0</v>
      </c>
      <c r="P169" s="10">
        <v>2.0</v>
      </c>
      <c r="Q169" s="11">
        <v>32.0</v>
      </c>
      <c r="R169" s="11">
        <v>1.0</v>
      </c>
      <c r="S169" s="13">
        <v>0.05555555555555555</v>
      </c>
      <c r="T169" s="11">
        <v>11.0</v>
      </c>
      <c r="U169" s="11">
        <v>13.0</v>
      </c>
      <c r="V169" s="17">
        <v>-2.0</v>
      </c>
      <c r="W169" s="15">
        <v>-0.01875</v>
      </c>
      <c r="X169" s="14" t="str">
        <f>+0.43</f>
        <v>#ERROR!</v>
      </c>
      <c r="Y169" s="16" t="s">
        <v>877</v>
      </c>
    </row>
    <row r="170">
      <c r="A170" s="6">
        <v>163.0</v>
      </c>
      <c r="B170" s="7" t="s">
        <v>878</v>
      </c>
      <c r="C170" s="8" t="s">
        <v>879</v>
      </c>
      <c r="D170" s="9" t="s">
        <v>32</v>
      </c>
      <c r="E170" s="7" t="s">
        <v>880</v>
      </c>
      <c r="F170" s="9">
        <v>29.0</v>
      </c>
      <c r="G170" s="9">
        <v>1994.0</v>
      </c>
      <c r="H170" s="10">
        <v>17.0</v>
      </c>
      <c r="I170" s="11">
        <v>1.133</v>
      </c>
      <c r="J170" s="11">
        <v>67.0</v>
      </c>
      <c r="K170" s="11" t="s">
        <v>881</v>
      </c>
      <c r="L170" s="11" t="s">
        <v>882</v>
      </c>
      <c r="M170" s="10">
        <v>11.0</v>
      </c>
      <c r="N170" s="11">
        <v>90.0</v>
      </c>
      <c r="O170" s="11">
        <v>9.0</v>
      </c>
      <c r="P170" s="10">
        <v>6.0</v>
      </c>
      <c r="Q170" s="11">
        <v>25.0</v>
      </c>
      <c r="R170" s="11">
        <v>1.0</v>
      </c>
      <c r="S170" s="13">
        <v>0.06111111111111111</v>
      </c>
      <c r="T170" s="11">
        <v>16.0</v>
      </c>
      <c r="U170" s="11">
        <v>17.0</v>
      </c>
      <c r="V170" s="17">
        <v>-1.0</v>
      </c>
      <c r="W170" s="15">
        <v>-0.005555555555555556</v>
      </c>
      <c r="X170" s="14" t="str">
        <f>+0.84</f>
        <v>#ERROR!</v>
      </c>
      <c r="Y170" s="16" t="s">
        <v>883</v>
      </c>
    </row>
    <row r="171">
      <c r="A171" s="6">
        <v>164.0</v>
      </c>
      <c r="B171" s="7" t="s">
        <v>884</v>
      </c>
      <c r="C171" s="8" t="s">
        <v>885</v>
      </c>
      <c r="D171" s="9" t="s">
        <v>59</v>
      </c>
      <c r="E171" s="7" t="s">
        <v>886</v>
      </c>
      <c r="F171" s="9">
        <v>25.0</v>
      </c>
      <c r="G171" s="9">
        <v>1998.0</v>
      </c>
      <c r="H171" s="10">
        <v>29.0</v>
      </c>
      <c r="I171" s="11">
        <v>1.935</v>
      </c>
      <c r="J171" s="11">
        <v>67.0</v>
      </c>
      <c r="K171" s="11" t="s">
        <v>887</v>
      </c>
      <c r="L171" s="11" t="s">
        <v>888</v>
      </c>
      <c r="M171" s="10">
        <v>21.0</v>
      </c>
      <c r="N171" s="11">
        <v>83.0</v>
      </c>
      <c r="O171" s="11">
        <v>12.0</v>
      </c>
      <c r="P171" s="10">
        <v>8.0</v>
      </c>
      <c r="Q171" s="11">
        <v>25.0</v>
      </c>
      <c r="R171" s="11">
        <v>1.0</v>
      </c>
      <c r="S171" s="13">
        <v>0.05138888888888889</v>
      </c>
      <c r="T171" s="11">
        <v>21.0</v>
      </c>
      <c r="U171" s="11">
        <v>30.0</v>
      </c>
      <c r="V171" s="17">
        <v>-9.0</v>
      </c>
      <c r="W171" s="15">
        <v>-0.029166666666666667</v>
      </c>
      <c r="X171" s="14" t="str">
        <f>+0.64</f>
        <v>#ERROR!</v>
      </c>
      <c r="Y171" s="16" t="s">
        <v>889</v>
      </c>
    </row>
    <row r="172">
      <c r="A172" s="6">
        <v>165.0</v>
      </c>
      <c r="B172" s="7" t="s">
        <v>890</v>
      </c>
      <c r="C172" s="8" t="s">
        <v>891</v>
      </c>
      <c r="D172" s="9" t="s">
        <v>66</v>
      </c>
      <c r="E172" s="7" t="s">
        <v>892</v>
      </c>
      <c r="F172" s="9">
        <v>24.0</v>
      </c>
      <c r="G172" s="9">
        <v>1999.0</v>
      </c>
      <c r="H172" s="10">
        <v>20.0</v>
      </c>
      <c r="I172" s="11">
        <v>1.549</v>
      </c>
      <c r="J172" s="11">
        <v>77.0</v>
      </c>
      <c r="K172" s="11" t="s">
        <v>795</v>
      </c>
      <c r="L172" s="11" t="s">
        <v>796</v>
      </c>
      <c r="M172" s="10">
        <v>17.0</v>
      </c>
      <c r="N172" s="11">
        <v>87.0</v>
      </c>
      <c r="O172" s="11">
        <v>16.0</v>
      </c>
      <c r="P172" s="10">
        <v>3.0</v>
      </c>
      <c r="Q172" s="11">
        <v>21.0</v>
      </c>
      <c r="R172" s="11">
        <v>1.0</v>
      </c>
      <c r="S172" s="13">
        <v>0.041666666666666664</v>
      </c>
      <c r="T172" s="11">
        <v>16.0</v>
      </c>
      <c r="U172" s="11">
        <v>19.0</v>
      </c>
      <c r="V172" s="17">
        <v>-3.0</v>
      </c>
      <c r="W172" s="15">
        <v>-0.011805555555555555</v>
      </c>
      <c r="X172" s="14" t="str">
        <f>+0.37</f>
        <v>#ERROR!</v>
      </c>
      <c r="Y172" s="16" t="s">
        <v>893</v>
      </c>
    </row>
    <row r="173">
      <c r="A173" s="6">
        <v>166.0</v>
      </c>
      <c r="B173" s="7" t="s">
        <v>894</v>
      </c>
      <c r="C173" s="8" t="s">
        <v>895</v>
      </c>
      <c r="D173" s="9" t="s">
        <v>32</v>
      </c>
      <c r="E173" s="7" t="s">
        <v>896</v>
      </c>
      <c r="F173" s="9">
        <v>17.0</v>
      </c>
      <c r="G173" s="9">
        <v>2006.0</v>
      </c>
      <c r="H173" s="10">
        <v>1.0</v>
      </c>
      <c r="I173" s="11">
        <v>2.0</v>
      </c>
      <c r="J173" s="11">
        <v>2.0</v>
      </c>
      <c r="K173" s="11" t="s">
        <v>155</v>
      </c>
      <c r="L173" s="12" t="s">
        <v>470</v>
      </c>
      <c r="M173" s="18">
        <v>0.0</v>
      </c>
      <c r="N173" s="19"/>
      <c r="O173" s="12">
        <v>0.0</v>
      </c>
      <c r="P173" s="10">
        <v>1.0</v>
      </c>
      <c r="Q173" s="11">
        <v>2.0</v>
      </c>
      <c r="R173" s="12">
        <v>0.0</v>
      </c>
      <c r="S173" s="13">
        <v>0.041666666666666664</v>
      </c>
      <c r="T173" s="12">
        <v>0.0</v>
      </c>
      <c r="U173" s="12">
        <v>0.0</v>
      </c>
      <c r="V173" s="12">
        <v>0.0</v>
      </c>
      <c r="W173" s="21">
        <v>0.0</v>
      </c>
      <c r="X173" s="15">
        <v>-0.06944444444444445</v>
      </c>
      <c r="Y173" s="16" t="s">
        <v>897</v>
      </c>
    </row>
    <row r="174">
      <c r="A174" s="6">
        <v>167.0</v>
      </c>
      <c r="B174" s="7" t="s">
        <v>898</v>
      </c>
      <c r="C174" s="8" t="s">
        <v>899</v>
      </c>
      <c r="D174" s="9" t="s">
        <v>32</v>
      </c>
      <c r="E174" s="7" t="s">
        <v>900</v>
      </c>
      <c r="F174" s="9">
        <v>31.0</v>
      </c>
      <c r="G174" s="9">
        <v>1992.0</v>
      </c>
      <c r="H174" s="10">
        <v>17.0</v>
      </c>
      <c r="I174" s="11">
        <v>286.0</v>
      </c>
      <c r="J174" s="11">
        <v>17.0</v>
      </c>
      <c r="K174" s="11" t="s">
        <v>901</v>
      </c>
      <c r="L174" s="11" t="s">
        <v>902</v>
      </c>
      <c r="M174" s="10">
        <v>2.0</v>
      </c>
      <c r="N174" s="11">
        <v>73.0</v>
      </c>
      <c r="O174" s="12">
        <v>0.0</v>
      </c>
      <c r="P174" s="10">
        <v>15.0</v>
      </c>
      <c r="Q174" s="11">
        <v>9.0</v>
      </c>
      <c r="R174" s="11">
        <v>5.0</v>
      </c>
      <c r="S174" s="13">
        <v>0.08333333333333333</v>
      </c>
      <c r="T174" s="11">
        <v>4.0</v>
      </c>
      <c r="U174" s="11">
        <v>2.0</v>
      </c>
      <c r="V174" s="14">
        <f>+2</f>
        <v>2</v>
      </c>
      <c r="W174" s="14" t="str">
        <f>+0.63</f>
        <v>#ERROR!</v>
      </c>
      <c r="X174" s="14" t="str">
        <f>+0.52</f>
        <v>#ERROR!</v>
      </c>
      <c r="Y174" s="16" t="s">
        <v>903</v>
      </c>
    </row>
    <row r="175">
      <c r="A175" s="6">
        <v>168.0</v>
      </c>
      <c r="B175" s="7" t="s">
        <v>904</v>
      </c>
      <c r="C175" s="8" t="s">
        <v>905</v>
      </c>
      <c r="D175" s="9" t="s">
        <v>45</v>
      </c>
      <c r="E175" s="7" t="s">
        <v>906</v>
      </c>
      <c r="F175" s="9">
        <v>19.0</v>
      </c>
      <c r="G175" s="9">
        <v>2004.0</v>
      </c>
      <c r="H175" s="10">
        <v>18.0</v>
      </c>
      <c r="I175" s="11">
        <v>943.0</v>
      </c>
      <c r="J175" s="11">
        <v>52.0</v>
      </c>
      <c r="K175" s="11" t="s">
        <v>907</v>
      </c>
      <c r="L175" s="11" t="s">
        <v>908</v>
      </c>
      <c r="M175" s="10">
        <v>12.0</v>
      </c>
      <c r="N175" s="11">
        <v>71.0</v>
      </c>
      <c r="O175" s="11">
        <v>1.0</v>
      </c>
      <c r="P175" s="10">
        <v>6.0</v>
      </c>
      <c r="Q175" s="11">
        <v>16.0</v>
      </c>
      <c r="R175" s="11">
        <v>1.0</v>
      </c>
      <c r="S175" s="13">
        <v>0.10694444444444444</v>
      </c>
      <c r="T175" s="11">
        <v>19.0</v>
      </c>
      <c r="U175" s="11">
        <v>13.0</v>
      </c>
      <c r="V175" s="14">
        <f>+6</f>
        <v>6</v>
      </c>
      <c r="W175" s="14" t="str">
        <f>+0.57</f>
        <v>#ERROR!</v>
      </c>
      <c r="X175" s="15">
        <v>-0.020833333333333332</v>
      </c>
      <c r="Y175" s="16" t="s">
        <v>909</v>
      </c>
    </row>
    <row r="176">
      <c r="A176" s="6">
        <v>169.0</v>
      </c>
      <c r="B176" s="7" t="s">
        <v>910</v>
      </c>
      <c r="C176" s="8" t="s">
        <v>911</v>
      </c>
      <c r="D176" s="9" t="s">
        <v>52</v>
      </c>
      <c r="E176" s="7" t="s">
        <v>912</v>
      </c>
      <c r="F176" s="9">
        <v>20.0</v>
      </c>
      <c r="G176" s="9">
        <v>2003.0</v>
      </c>
      <c r="H176" s="10">
        <v>26.0</v>
      </c>
      <c r="I176" s="11">
        <v>1.96</v>
      </c>
      <c r="J176" s="11">
        <v>75.0</v>
      </c>
      <c r="K176" s="11" t="s">
        <v>493</v>
      </c>
      <c r="L176" s="11" t="s">
        <v>494</v>
      </c>
      <c r="M176" s="10">
        <v>22.0</v>
      </c>
      <c r="N176" s="11">
        <v>82.0</v>
      </c>
      <c r="O176" s="11">
        <v>13.0</v>
      </c>
      <c r="P176" s="10">
        <v>4.0</v>
      </c>
      <c r="Q176" s="11">
        <v>39.0</v>
      </c>
      <c r="R176" s="11">
        <v>2.0</v>
      </c>
      <c r="S176" s="13">
        <v>0.08958333333333333</v>
      </c>
      <c r="T176" s="11">
        <v>35.0</v>
      </c>
      <c r="U176" s="11">
        <v>21.0</v>
      </c>
      <c r="V176" s="14">
        <f>+14</f>
        <v>14</v>
      </c>
      <c r="W176" s="14" t="str">
        <f>+0.64</f>
        <v>#ERROR!</v>
      </c>
      <c r="X176" s="14" t="str">
        <f>+1.13</f>
        <v>#ERROR!</v>
      </c>
      <c r="Y176" s="16" t="s">
        <v>913</v>
      </c>
    </row>
    <row r="177">
      <c r="A177" s="6">
        <v>170.0</v>
      </c>
      <c r="B177" s="7" t="s">
        <v>914</v>
      </c>
      <c r="C177" s="8" t="s">
        <v>915</v>
      </c>
      <c r="D177" s="9" t="s">
        <v>52</v>
      </c>
      <c r="E177" s="7" t="s">
        <v>916</v>
      </c>
      <c r="F177" s="9">
        <v>18.0</v>
      </c>
      <c r="G177" s="9">
        <v>2005.0</v>
      </c>
      <c r="H177" s="10">
        <v>7.0</v>
      </c>
      <c r="I177" s="11">
        <v>305.0</v>
      </c>
      <c r="J177" s="11">
        <v>44.0</v>
      </c>
      <c r="K177" s="11" t="s">
        <v>111</v>
      </c>
      <c r="L177" s="11" t="s">
        <v>112</v>
      </c>
      <c r="M177" s="10">
        <v>3.0</v>
      </c>
      <c r="N177" s="11">
        <v>65.0</v>
      </c>
      <c r="O177" s="11">
        <v>1.0</v>
      </c>
      <c r="P177" s="10">
        <v>4.0</v>
      </c>
      <c r="Q177" s="11">
        <v>28.0</v>
      </c>
      <c r="R177" s="11">
        <v>8.0</v>
      </c>
      <c r="S177" s="13">
        <v>0.02013888888888889</v>
      </c>
      <c r="T177" s="11">
        <v>2.0</v>
      </c>
      <c r="U177" s="11">
        <v>5.0</v>
      </c>
      <c r="V177" s="17">
        <v>-3.0</v>
      </c>
      <c r="W177" s="15">
        <v>-0.06180555555555556</v>
      </c>
      <c r="X177" s="15">
        <v>-0.025</v>
      </c>
      <c r="Y177" s="16" t="s">
        <v>917</v>
      </c>
    </row>
    <row r="178">
      <c r="A178" s="6">
        <v>171.0</v>
      </c>
      <c r="B178" s="7" t="s">
        <v>918</v>
      </c>
      <c r="C178" s="8" t="s">
        <v>919</v>
      </c>
      <c r="D178" s="9" t="s">
        <v>52</v>
      </c>
      <c r="E178" s="7" t="s">
        <v>920</v>
      </c>
      <c r="F178" s="9">
        <v>29.0</v>
      </c>
      <c r="G178" s="9">
        <v>1995.0</v>
      </c>
      <c r="H178" s="10">
        <v>28.0</v>
      </c>
      <c r="I178" s="11">
        <v>2.52</v>
      </c>
      <c r="J178" s="11">
        <v>90.0</v>
      </c>
      <c r="K178" s="11" t="s">
        <v>559</v>
      </c>
      <c r="L178" s="11" t="s">
        <v>483</v>
      </c>
      <c r="M178" s="10">
        <v>28.0</v>
      </c>
      <c r="N178" s="11">
        <v>90.0</v>
      </c>
      <c r="O178" s="11">
        <v>28.0</v>
      </c>
      <c r="P178" s="18">
        <v>0.0</v>
      </c>
      <c r="Q178" s="19"/>
      <c r="R178" s="12">
        <v>0.0</v>
      </c>
      <c r="S178" s="13">
        <v>0.06666666666666667</v>
      </c>
      <c r="T178" s="11">
        <v>49.0</v>
      </c>
      <c r="U178" s="11">
        <v>48.0</v>
      </c>
      <c r="V178" s="14">
        <f>+1</f>
        <v>1</v>
      </c>
      <c r="W178" s="14" t="str">
        <f>+0.04</f>
        <v>#ERROR!</v>
      </c>
      <c r="X178" s="15">
        <v>-0.06666666666666667</v>
      </c>
      <c r="Y178" s="16" t="s">
        <v>921</v>
      </c>
    </row>
    <row r="179">
      <c r="A179" s="6">
        <v>172.0</v>
      </c>
      <c r="B179" s="7" t="s">
        <v>922</v>
      </c>
      <c r="C179" s="8" t="s">
        <v>923</v>
      </c>
      <c r="D179" s="9" t="s">
        <v>52</v>
      </c>
      <c r="E179" s="7" t="s">
        <v>924</v>
      </c>
      <c r="F179" s="9">
        <v>21.0</v>
      </c>
      <c r="G179" s="9">
        <v>2002.0</v>
      </c>
      <c r="H179" s="10">
        <v>14.0</v>
      </c>
      <c r="I179" s="11">
        <v>323.0</v>
      </c>
      <c r="J179" s="11">
        <v>23.0</v>
      </c>
      <c r="K179" s="11" t="s">
        <v>76</v>
      </c>
      <c r="L179" s="11" t="s">
        <v>367</v>
      </c>
      <c r="M179" s="10">
        <v>2.0</v>
      </c>
      <c r="N179" s="11">
        <v>77.0</v>
      </c>
      <c r="O179" s="11">
        <v>1.0</v>
      </c>
      <c r="P179" s="10">
        <v>12.0</v>
      </c>
      <c r="Q179" s="11">
        <v>14.0</v>
      </c>
      <c r="R179" s="11">
        <v>12.0</v>
      </c>
      <c r="S179" s="13">
        <v>0.08333333333333333</v>
      </c>
      <c r="T179" s="11">
        <v>6.0</v>
      </c>
      <c r="U179" s="11">
        <v>7.0</v>
      </c>
      <c r="V179" s="17">
        <v>-1.0</v>
      </c>
      <c r="W179" s="15">
        <v>-0.019444444444444445</v>
      </c>
      <c r="X179" s="15">
        <v>-0.027083333333333334</v>
      </c>
      <c r="Y179" s="16" t="s">
        <v>925</v>
      </c>
    </row>
    <row r="180">
      <c r="A180" s="6">
        <v>173.0</v>
      </c>
      <c r="B180" s="7" t="s">
        <v>926</v>
      </c>
      <c r="C180" s="8" t="s">
        <v>927</v>
      </c>
      <c r="D180" s="9" t="s">
        <v>45</v>
      </c>
      <c r="E180" s="7" t="s">
        <v>928</v>
      </c>
      <c r="F180" s="9">
        <v>28.0</v>
      </c>
      <c r="G180" s="9">
        <v>1995.0</v>
      </c>
      <c r="H180" s="10">
        <v>27.0</v>
      </c>
      <c r="I180" s="11">
        <v>1.925</v>
      </c>
      <c r="J180" s="11">
        <v>71.0</v>
      </c>
      <c r="K180" s="11" t="s">
        <v>929</v>
      </c>
      <c r="L180" s="11" t="s">
        <v>930</v>
      </c>
      <c r="M180" s="10">
        <v>24.0</v>
      </c>
      <c r="N180" s="11">
        <v>77.0</v>
      </c>
      <c r="O180" s="11">
        <v>3.0</v>
      </c>
      <c r="P180" s="10">
        <v>3.0</v>
      </c>
      <c r="Q180" s="11">
        <v>28.0</v>
      </c>
      <c r="R180" s="12">
        <v>0.0</v>
      </c>
      <c r="S180" s="13">
        <v>0.07777777777777778</v>
      </c>
      <c r="T180" s="11">
        <v>35.0</v>
      </c>
      <c r="U180" s="11">
        <v>25.0</v>
      </c>
      <c r="V180" s="14">
        <f>+10</f>
        <v>10</v>
      </c>
      <c r="W180" s="14" t="str">
        <f>+0.47</f>
        <v>#ERROR!</v>
      </c>
      <c r="X180" s="14" t="str">
        <f>+0.58</f>
        <v>#ERROR!</v>
      </c>
      <c r="Y180" s="16" t="s">
        <v>931</v>
      </c>
    </row>
    <row r="181">
      <c r="A181" s="6">
        <v>174.0</v>
      </c>
      <c r="B181" s="7" t="s">
        <v>932</v>
      </c>
      <c r="C181" s="8" t="s">
        <v>933</v>
      </c>
      <c r="D181" s="9" t="s">
        <v>52</v>
      </c>
      <c r="E181" s="7" t="s">
        <v>934</v>
      </c>
      <c r="F181" s="9">
        <v>29.0</v>
      </c>
      <c r="G181" s="9">
        <v>1994.0</v>
      </c>
      <c r="H181" s="10">
        <v>29.0</v>
      </c>
      <c r="I181" s="11">
        <v>2.591</v>
      </c>
      <c r="J181" s="11">
        <v>89.0</v>
      </c>
      <c r="K181" s="11" t="s">
        <v>935</v>
      </c>
      <c r="L181" s="11" t="s">
        <v>936</v>
      </c>
      <c r="M181" s="10">
        <v>29.0</v>
      </c>
      <c r="N181" s="11">
        <v>89.0</v>
      </c>
      <c r="O181" s="11">
        <v>27.0</v>
      </c>
      <c r="P181" s="18">
        <v>0.0</v>
      </c>
      <c r="Q181" s="19"/>
      <c r="R181" s="12">
        <v>0.0</v>
      </c>
      <c r="S181" s="13">
        <v>0.08472222222222223</v>
      </c>
      <c r="T181" s="11">
        <v>42.0</v>
      </c>
      <c r="U181" s="11">
        <v>34.0</v>
      </c>
      <c r="V181" s="14">
        <f>+8</f>
        <v>8</v>
      </c>
      <c r="W181" s="14" t="str">
        <f>+0.28</f>
        <v>#ERROR!</v>
      </c>
      <c r="X181" s="15">
        <v>-0.03819444444444445</v>
      </c>
      <c r="Y181" s="16" t="s">
        <v>937</v>
      </c>
    </row>
    <row r="182">
      <c r="A182" s="6">
        <v>175.0</v>
      </c>
      <c r="B182" s="7" t="s">
        <v>938</v>
      </c>
      <c r="C182" s="8" t="s">
        <v>939</v>
      </c>
      <c r="D182" s="9" t="s">
        <v>66</v>
      </c>
      <c r="E182" s="7" t="s">
        <v>940</v>
      </c>
      <c r="F182" s="9">
        <v>21.0</v>
      </c>
      <c r="G182" s="9">
        <v>2002.0</v>
      </c>
      <c r="H182" s="10">
        <v>4.0</v>
      </c>
      <c r="I182" s="11">
        <v>37.0</v>
      </c>
      <c r="J182" s="11">
        <v>9.0</v>
      </c>
      <c r="K182" s="11" t="s">
        <v>941</v>
      </c>
      <c r="L182" s="11" t="s">
        <v>318</v>
      </c>
      <c r="M182" s="18">
        <v>0.0</v>
      </c>
      <c r="N182" s="19"/>
      <c r="O182" s="12">
        <v>0.0</v>
      </c>
      <c r="P182" s="10">
        <v>4.0</v>
      </c>
      <c r="Q182" s="11">
        <v>9.0</v>
      </c>
      <c r="R182" s="11">
        <v>10.0</v>
      </c>
      <c r="S182" s="13">
        <v>0.0763888888888889</v>
      </c>
      <c r="T182" s="12">
        <v>0.0</v>
      </c>
      <c r="U182" s="12">
        <v>0.0</v>
      </c>
      <c r="V182" s="12">
        <v>0.0</v>
      </c>
      <c r="W182" s="21">
        <v>0.0</v>
      </c>
      <c r="X182" s="15">
        <v>-0.05416666666666667</v>
      </c>
      <c r="Y182" s="16" t="s">
        <v>942</v>
      </c>
    </row>
    <row r="183">
      <c r="A183" s="25" t="s">
        <v>0</v>
      </c>
      <c r="B183" s="26" t="s">
        <v>1</v>
      </c>
      <c r="C183" s="27" t="s">
        <v>2</v>
      </c>
      <c r="D183" s="27" t="s">
        <v>3</v>
      </c>
      <c r="E183" s="27" t="s">
        <v>4</v>
      </c>
      <c r="F183" s="27" t="s">
        <v>5</v>
      </c>
      <c r="G183" s="27" t="s">
        <v>6</v>
      </c>
      <c r="H183" s="28" t="s">
        <v>7</v>
      </c>
      <c r="I183" s="27" t="s">
        <v>8</v>
      </c>
      <c r="J183" s="27" t="s">
        <v>9</v>
      </c>
      <c r="K183" s="27" t="s">
        <v>10</v>
      </c>
      <c r="L183" s="27" t="s">
        <v>11</v>
      </c>
      <c r="M183" s="28" t="s">
        <v>12</v>
      </c>
      <c r="N183" s="27" t="s">
        <v>13</v>
      </c>
      <c r="O183" s="27" t="s">
        <v>14</v>
      </c>
      <c r="P183" s="28" t="s">
        <v>15</v>
      </c>
      <c r="Q183" s="27" t="s">
        <v>16</v>
      </c>
      <c r="R183" s="27" t="s">
        <v>17</v>
      </c>
      <c r="S183" s="28" t="s">
        <v>18</v>
      </c>
      <c r="T183" s="27" t="s">
        <v>19</v>
      </c>
      <c r="U183" s="27" t="s">
        <v>20</v>
      </c>
      <c r="V183" s="29" t="str">
        <f>+/-</f>
        <v>#ERROR!</v>
      </c>
      <c r="W183" s="29" t="str">
        <f>+/-90</f>
        <v>#ERROR!</v>
      </c>
      <c r="X183" s="27" t="s">
        <v>21</v>
      </c>
      <c r="Y183" s="28" t="s">
        <v>22</v>
      </c>
    </row>
    <row r="184">
      <c r="A184" s="6">
        <v>176.0</v>
      </c>
      <c r="B184" s="7" t="s">
        <v>943</v>
      </c>
      <c r="C184" s="8" t="s">
        <v>944</v>
      </c>
      <c r="D184" s="9" t="s">
        <v>59</v>
      </c>
      <c r="E184" s="7" t="s">
        <v>945</v>
      </c>
      <c r="F184" s="9">
        <v>24.0</v>
      </c>
      <c r="G184" s="9">
        <v>1999.0</v>
      </c>
      <c r="H184" s="10">
        <v>11.0</v>
      </c>
      <c r="I184" s="11">
        <v>745.0</v>
      </c>
      <c r="J184" s="11">
        <v>68.0</v>
      </c>
      <c r="K184" s="11" t="s">
        <v>286</v>
      </c>
      <c r="L184" s="11" t="s">
        <v>287</v>
      </c>
      <c r="M184" s="10">
        <v>8.0</v>
      </c>
      <c r="N184" s="11">
        <v>82.0</v>
      </c>
      <c r="O184" s="11">
        <v>4.0</v>
      </c>
      <c r="P184" s="10">
        <v>3.0</v>
      </c>
      <c r="Q184" s="11">
        <v>29.0</v>
      </c>
      <c r="R184" s="11">
        <v>1.0</v>
      </c>
      <c r="S184" s="13">
        <v>0.06666666666666667</v>
      </c>
      <c r="T184" s="11">
        <v>8.0</v>
      </c>
      <c r="U184" s="11">
        <v>11.0</v>
      </c>
      <c r="V184" s="17">
        <v>-3.0</v>
      </c>
      <c r="W184" s="15">
        <v>-0.025</v>
      </c>
      <c r="X184" s="15">
        <v>-0.06666666666666667</v>
      </c>
      <c r="Y184" s="16" t="s">
        <v>946</v>
      </c>
    </row>
    <row r="185">
      <c r="A185" s="6">
        <v>177.0</v>
      </c>
      <c r="B185" s="7" t="s">
        <v>947</v>
      </c>
      <c r="C185" s="8" t="s">
        <v>948</v>
      </c>
      <c r="D185" s="9" t="s">
        <v>73</v>
      </c>
      <c r="E185" s="7" t="s">
        <v>949</v>
      </c>
      <c r="F185" s="9">
        <v>29.0</v>
      </c>
      <c r="G185" s="9">
        <v>1994.0</v>
      </c>
      <c r="H185" s="10">
        <v>8.0</v>
      </c>
      <c r="I185" s="11">
        <v>720.0</v>
      </c>
      <c r="J185" s="11">
        <v>90.0</v>
      </c>
      <c r="K185" s="11" t="s">
        <v>950</v>
      </c>
      <c r="L185" s="11" t="s">
        <v>951</v>
      </c>
      <c r="M185" s="10">
        <v>8.0</v>
      </c>
      <c r="N185" s="11">
        <v>90.0</v>
      </c>
      <c r="O185" s="11">
        <v>8.0</v>
      </c>
      <c r="P185" s="18">
        <v>0.0</v>
      </c>
      <c r="Q185" s="19"/>
      <c r="R185" s="11">
        <v>2.0</v>
      </c>
      <c r="S185" s="13">
        <v>0.041666666666666664</v>
      </c>
      <c r="T185" s="11">
        <v>9.0</v>
      </c>
      <c r="U185" s="11">
        <v>10.0</v>
      </c>
      <c r="V185" s="17">
        <v>-1.0</v>
      </c>
      <c r="W185" s="15">
        <v>-0.008333333333333333</v>
      </c>
      <c r="X185" s="14" t="str">
        <f>+0.15</f>
        <v>#ERROR!</v>
      </c>
      <c r="Y185" s="16" t="s">
        <v>952</v>
      </c>
    </row>
    <row r="186">
      <c r="A186" s="6">
        <v>178.0</v>
      </c>
      <c r="B186" s="7" t="s">
        <v>953</v>
      </c>
      <c r="C186" s="8" t="s">
        <v>954</v>
      </c>
      <c r="D186" s="9" t="s">
        <v>73</v>
      </c>
      <c r="E186" s="7" t="s">
        <v>955</v>
      </c>
      <c r="F186" s="9">
        <v>31.0</v>
      </c>
      <c r="G186" s="9">
        <v>1992.0</v>
      </c>
      <c r="H186" s="10">
        <v>15.0</v>
      </c>
      <c r="I186" s="11">
        <v>1.35</v>
      </c>
      <c r="J186" s="11">
        <v>90.0</v>
      </c>
      <c r="K186" s="11" t="s">
        <v>174</v>
      </c>
      <c r="L186" s="11" t="s">
        <v>175</v>
      </c>
      <c r="M186" s="10">
        <v>15.0</v>
      </c>
      <c r="N186" s="11">
        <v>90.0</v>
      </c>
      <c r="O186" s="11">
        <v>15.0</v>
      </c>
      <c r="P186" s="18">
        <v>0.0</v>
      </c>
      <c r="Q186" s="19"/>
      <c r="R186" s="12">
        <v>0.0</v>
      </c>
      <c r="S186" s="13">
        <v>0.09236111111111112</v>
      </c>
      <c r="T186" s="11">
        <v>27.0</v>
      </c>
      <c r="U186" s="11">
        <v>8.0</v>
      </c>
      <c r="V186" s="14">
        <f>+19</f>
        <v>19</v>
      </c>
      <c r="W186" s="14" t="str">
        <f>+1.27</f>
        <v>#ERROR!</v>
      </c>
      <c r="X186" s="14" t="str">
        <f>+1.00</f>
        <v>#ERROR!</v>
      </c>
      <c r="Y186" s="16" t="s">
        <v>956</v>
      </c>
    </row>
    <row r="187">
      <c r="A187" s="6">
        <v>179.0</v>
      </c>
      <c r="B187" s="7" t="s">
        <v>957</v>
      </c>
      <c r="C187" s="8" t="s">
        <v>958</v>
      </c>
      <c r="D187" s="9" t="s">
        <v>45</v>
      </c>
      <c r="E187" s="7" t="s">
        <v>959</v>
      </c>
      <c r="F187" s="9">
        <v>24.0</v>
      </c>
      <c r="G187" s="9">
        <v>1999.0</v>
      </c>
      <c r="H187" s="10">
        <v>3.0</v>
      </c>
      <c r="I187" s="11">
        <v>29.0</v>
      </c>
      <c r="J187" s="11">
        <v>10.0</v>
      </c>
      <c r="K187" s="11" t="s">
        <v>443</v>
      </c>
      <c r="L187" s="11" t="s">
        <v>195</v>
      </c>
      <c r="M187" s="18">
        <v>0.0</v>
      </c>
      <c r="N187" s="19"/>
      <c r="O187" s="12">
        <v>0.0</v>
      </c>
      <c r="P187" s="10">
        <v>3.0</v>
      </c>
      <c r="Q187" s="11">
        <v>10.0</v>
      </c>
      <c r="R187" s="12">
        <v>0.0</v>
      </c>
      <c r="S187" s="13">
        <v>0.10625</v>
      </c>
      <c r="T187" s="12">
        <v>0.0</v>
      </c>
      <c r="U187" s="12">
        <v>0.0</v>
      </c>
      <c r="V187" s="12">
        <v>0.0</v>
      </c>
      <c r="W187" s="21">
        <v>0.0</v>
      </c>
      <c r="X187" s="15">
        <v>-0.07083333333333333</v>
      </c>
      <c r="Y187" s="16" t="s">
        <v>960</v>
      </c>
    </row>
    <row r="188">
      <c r="A188" s="6">
        <v>180.0</v>
      </c>
      <c r="B188" s="7" t="s">
        <v>961</v>
      </c>
      <c r="C188" s="8" t="s">
        <v>962</v>
      </c>
      <c r="D188" s="9" t="s">
        <v>32</v>
      </c>
      <c r="E188" s="7" t="s">
        <v>963</v>
      </c>
      <c r="F188" s="9">
        <v>18.0</v>
      </c>
      <c r="G188" s="9">
        <v>2005.0</v>
      </c>
      <c r="H188" s="10">
        <v>3.0</v>
      </c>
      <c r="I188" s="11">
        <v>47.0</v>
      </c>
      <c r="J188" s="11">
        <v>16.0</v>
      </c>
      <c r="K188" s="11" t="s">
        <v>200</v>
      </c>
      <c r="L188" s="11" t="s">
        <v>201</v>
      </c>
      <c r="M188" s="18">
        <v>0.0</v>
      </c>
      <c r="N188" s="19"/>
      <c r="O188" s="12">
        <v>0.0</v>
      </c>
      <c r="P188" s="10">
        <v>3.0</v>
      </c>
      <c r="Q188" s="11">
        <v>16.0</v>
      </c>
      <c r="R188" s="11">
        <v>5.0</v>
      </c>
      <c r="S188" s="13">
        <v>0.08333333333333333</v>
      </c>
      <c r="T188" s="12">
        <v>0.0</v>
      </c>
      <c r="U188" s="11">
        <v>1.0</v>
      </c>
      <c r="V188" s="17">
        <v>-1.0</v>
      </c>
      <c r="W188" s="15">
        <v>-0.10486111111111111</v>
      </c>
      <c r="X188" s="15">
        <v>-0.06527777777777778</v>
      </c>
      <c r="Y188" s="16" t="s">
        <v>964</v>
      </c>
    </row>
    <row r="189">
      <c r="A189" s="6">
        <v>181.0</v>
      </c>
      <c r="B189" s="7" t="s">
        <v>965</v>
      </c>
      <c r="C189" s="8" t="s">
        <v>966</v>
      </c>
      <c r="D189" s="9" t="s">
        <v>25</v>
      </c>
      <c r="E189" s="7" t="s">
        <v>967</v>
      </c>
      <c r="F189" s="9">
        <v>28.0</v>
      </c>
      <c r="G189" s="9">
        <v>1995.0</v>
      </c>
      <c r="H189" s="10">
        <v>27.0</v>
      </c>
      <c r="I189" s="11">
        <v>2.03</v>
      </c>
      <c r="J189" s="11">
        <v>75.0</v>
      </c>
      <c r="K189" s="11" t="s">
        <v>968</v>
      </c>
      <c r="L189" s="11" t="s">
        <v>969</v>
      </c>
      <c r="M189" s="10">
        <v>24.0</v>
      </c>
      <c r="N189" s="11">
        <v>80.0</v>
      </c>
      <c r="O189" s="11">
        <v>13.0</v>
      </c>
      <c r="P189" s="10">
        <v>3.0</v>
      </c>
      <c r="Q189" s="11">
        <v>35.0</v>
      </c>
      <c r="R189" s="11">
        <v>2.0</v>
      </c>
      <c r="S189" s="13">
        <v>0.049305555555555554</v>
      </c>
      <c r="T189" s="11">
        <v>28.0</v>
      </c>
      <c r="U189" s="11">
        <v>42.0</v>
      </c>
      <c r="V189" s="17">
        <v>-14.0</v>
      </c>
      <c r="W189" s="15">
        <v>-0.043055555555555555</v>
      </c>
      <c r="X189" s="14" t="str">
        <f>+0.19</f>
        <v>#ERROR!</v>
      </c>
      <c r="Y189" s="16" t="s">
        <v>970</v>
      </c>
    </row>
    <row r="190">
      <c r="A190" s="6">
        <v>182.0</v>
      </c>
      <c r="B190" s="7" t="s">
        <v>971</v>
      </c>
      <c r="C190" s="8" t="s">
        <v>972</v>
      </c>
      <c r="D190" s="9" t="s">
        <v>66</v>
      </c>
      <c r="E190" s="7" t="s">
        <v>973</v>
      </c>
      <c r="F190" s="9">
        <v>29.0</v>
      </c>
      <c r="G190" s="9">
        <v>1994.0</v>
      </c>
      <c r="H190" s="10">
        <v>18.0</v>
      </c>
      <c r="I190" s="11">
        <v>855.0</v>
      </c>
      <c r="J190" s="11">
        <v>48.0</v>
      </c>
      <c r="K190" s="11" t="s">
        <v>974</v>
      </c>
      <c r="L190" s="11" t="s">
        <v>975</v>
      </c>
      <c r="M190" s="10">
        <v>10.0</v>
      </c>
      <c r="N190" s="11">
        <v>80.0</v>
      </c>
      <c r="O190" s="11">
        <v>4.0</v>
      </c>
      <c r="P190" s="10">
        <v>8.0</v>
      </c>
      <c r="Q190" s="11">
        <v>7.0</v>
      </c>
      <c r="R190" s="11">
        <v>3.0</v>
      </c>
      <c r="S190" s="13">
        <v>0.05694444444444444</v>
      </c>
      <c r="T190" s="11">
        <v>10.0</v>
      </c>
      <c r="U190" s="11">
        <v>21.0</v>
      </c>
      <c r="V190" s="17">
        <v>-11.0</v>
      </c>
      <c r="W190" s="15">
        <v>-0.05277777777777778</v>
      </c>
      <c r="X190" s="15">
        <v>-0.1</v>
      </c>
      <c r="Y190" s="16" t="s">
        <v>976</v>
      </c>
    </row>
    <row r="191">
      <c r="A191" s="6">
        <v>183.0</v>
      </c>
      <c r="B191" s="7" t="s">
        <v>977</v>
      </c>
      <c r="C191" s="8" t="s">
        <v>978</v>
      </c>
      <c r="D191" s="9" t="s">
        <v>52</v>
      </c>
      <c r="E191" s="7" t="s">
        <v>979</v>
      </c>
      <c r="F191" s="9">
        <v>22.0</v>
      </c>
      <c r="G191" s="9">
        <v>2001.0</v>
      </c>
      <c r="H191" s="10">
        <v>25.0</v>
      </c>
      <c r="I191" s="11">
        <v>1.458</v>
      </c>
      <c r="J191" s="11">
        <v>58.0</v>
      </c>
      <c r="K191" s="11" t="s">
        <v>980</v>
      </c>
      <c r="L191" s="11" t="s">
        <v>981</v>
      </c>
      <c r="M191" s="10">
        <v>15.0</v>
      </c>
      <c r="N191" s="11">
        <v>85.0</v>
      </c>
      <c r="O191" s="11">
        <v>10.0</v>
      </c>
      <c r="P191" s="10">
        <v>10.0</v>
      </c>
      <c r="Q191" s="11">
        <v>19.0</v>
      </c>
      <c r="R191" s="11">
        <v>4.0</v>
      </c>
      <c r="S191" s="13">
        <v>0.09444444444444444</v>
      </c>
      <c r="T191" s="11">
        <v>21.0</v>
      </c>
      <c r="U191" s="11">
        <v>13.0</v>
      </c>
      <c r="V191" s="14">
        <f>+8</f>
        <v>8</v>
      </c>
      <c r="W191" s="14" t="str">
        <f>+0.49</f>
        <v>#ERROR!</v>
      </c>
      <c r="X191" s="15">
        <v>-0.04097222222222222</v>
      </c>
      <c r="Y191" s="16" t="s">
        <v>982</v>
      </c>
    </row>
    <row r="192">
      <c r="A192" s="6">
        <v>184.0</v>
      </c>
      <c r="B192" s="7" t="s">
        <v>983</v>
      </c>
      <c r="C192" s="8" t="s">
        <v>984</v>
      </c>
      <c r="D192" s="9" t="s">
        <v>52</v>
      </c>
      <c r="E192" s="7" t="s">
        <v>985</v>
      </c>
      <c r="F192" s="9">
        <v>31.0</v>
      </c>
      <c r="G192" s="9">
        <v>1992.0</v>
      </c>
      <c r="H192" s="10">
        <v>21.0</v>
      </c>
      <c r="I192" s="11">
        <v>974.0</v>
      </c>
      <c r="J192" s="11">
        <v>46.0</v>
      </c>
      <c r="K192" s="11" t="s">
        <v>986</v>
      </c>
      <c r="L192" s="11" t="s">
        <v>987</v>
      </c>
      <c r="M192" s="10">
        <v>9.0</v>
      </c>
      <c r="N192" s="11">
        <v>76.0</v>
      </c>
      <c r="O192" s="12">
        <v>0.0</v>
      </c>
      <c r="P192" s="10">
        <v>12.0</v>
      </c>
      <c r="Q192" s="11">
        <v>24.0</v>
      </c>
      <c r="R192" s="11">
        <v>3.0</v>
      </c>
      <c r="S192" s="13">
        <v>0.06597222222222222</v>
      </c>
      <c r="T192" s="11">
        <v>12.0</v>
      </c>
      <c r="U192" s="11">
        <v>23.0</v>
      </c>
      <c r="V192" s="17">
        <v>-11.0</v>
      </c>
      <c r="W192" s="15">
        <v>-0.043055555555555555</v>
      </c>
      <c r="X192" s="15">
        <v>-0.034027777777777775</v>
      </c>
      <c r="Y192" s="16" t="s">
        <v>988</v>
      </c>
    </row>
    <row r="193">
      <c r="A193" s="6">
        <v>185.0</v>
      </c>
      <c r="B193" s="7" t="s">
        <v>989</v>
      </c>
      <c r="C193" s="8" t="s">
        <v>990</v>
      </c>
      <c r="D193" s="9" t="s">
        <v>66</v>
      </c>
      <c r="E193" s="7" t="s">
        <v>991</v>
      </c>
      <c r="F193" s="9">
        <v>29.0</v>
      </c>
      <c r="G193" s="9">
        <v>1994.0</v>
      </c>
      <c r="H193" s="10">
        <v>30.0</v>
      </c>
      <c r="I193" s="11">
        <v>2.655</v>
      </c>
      <c r="J193" s="11">
        <v>89.0</v>
      </c>
      <c r="K193" s="11" t="s">
        <v>992</v>
      </c>
      <c r="L193" s="11" t="s">
        <v>993</v>
      </c>
      <c r="M193" s="10">
        <v>30.0</v>
      </c>
      <c r="N193" s="11">
        <v>89.0</v>
      </c>
      <c r="O193" s="11">
        <v>29.0</v>
      </c>
      <c r="P193" s="18">
        <v>0.0</v>
      </c>
      <c r="Q193" s="19"/>
      <c r="R193" s="12">
        <v>0.0</v>
      </c>
      <c r="S193" s="13">
        <v>0.09722222222222222</v>
      </c>
      <c r="T193" s="11">
        <v>46.0</v>
      </c>
      <c r="U193" s="11">
        <v>41.0</v>
      </c>
      <c r="V193" s="14">
        <f>+5</f>
        <v>5</v>
      </c>
      <c r="W193" s="14" t="str">
        <f>+0.17</f>
        <v>#ERROR!</v>
      </c>
      <c r="X193" s="14" t="str">
        <f>+0.17</f>
        <v>#ERROR!</v>
      </c>
      <c r="Y193" s="16" t="s">
        <v>994</v>
      </c>
    </row>
    <row r="194">
      <c r="A194" s="6">
        <v>186.0</v>
      </c>
      <c r="B194" s="7" t="s">
        <v>995</v>
      </c>
      <c r="C194" s="8" t="s">
        <v>996</v>
      </c>
      <c r="D194" s="9" t="s">
        <v>66</v>
      </c>
      <c r="E194" s="7" t="s">
        <v>997</v>
      </c>
      <c r="F194" s="9">
        <v>22.0</v>
      </c>
      <c r="G194" s="9">
        <v>2001.0</v>
      </c>
      <c r="H194" s="10">
        <v>1.0</v>
      </c>
      <c r="I194" s="11">
        <v>34.0</v>
      </c>
      <c r="J194" s="11">
        <v>34.0</v>
      </c>
      <c r="K194" s="11" t="s">
        <v>624</v>
      </c>
      <c r="L194" s="11" t="s">
        <v>318</v>
      </c>
      <c r="M194" s="18">
        <v>0.0</v>
      </c>
      <c r="N194" s="19"/>
      <c r="O194" s="12">
        <v>0.0</v>
      </c>
      <c r="P194" s="10">
        <v>1.0</v>
      </c>
      <c r="Q194" s="11">
        <v>34.0</v>
      </c>
      <c r="R194" s="11">
        <v>4.0</v>
      </c>
      <c r="S194" s="13">
        <v>0.125</v>
      </c>
      <c r="T194" s="11">
        <v>1.0</v>
      </c>
      <c r="U194" s="12">
        <v>0.0</v>
      </c>
      <c r="V194" s="14">
        <f>+1</f>
        <v>1</v>
      </c>
      <c r="W194" s="14" t="str">
        <f>+2.65</f>
        <v>#ERROR!</v>
      </c>
      <c r="X194" s="14" t="str">
        <f>+3.25</f>
        <v>#ERROR!</v>
      </c>
      <c r="Y194" s="16" t="s">
        <v>998</v>
      </c>
    </row>
    <row r="195">
      <c r="A195" s="6">
        <v>187.0</v>
      </c>
      <c r="B195" s="7" t="s">
        <v>999</v>
      </c>
      <c r="C195" s="8" t="s">
        <v>1000</v>
      </c>
      <c r="D195" s="9" t="s">
        <v>66</v>
      </c>
      <c r="E195" s="7" t="s">
        <v>1001</v>
      </c>
      <c r="F195" s="9">
        <v>20.0</v>
      </c>
      <c r="G195" s="9">
        <v>2003.0</v>
      </c>
      <c r="H195" s="10">
        <v>11.0</v>
      </c>
      <c r="I195" s="11">
        <v>749.0</v>
      </c>
      <c r="J195" s="11">
        <v>68.0</v>
      </c>
      <c r="K195" s="11" t="s">
        <v>402</v>
      </c>
      <c r="L195" s="11" t="s">
        <v>287</v>
      </c>
      <c r="M195" s="10">
        <v>7.0</v>
      </c>
      <c r="N195" s="11">
        <v>90.0</v>
      </c>
      <c r="O195" s="11">
        <v>7.0</v>
      </c>
      <c r="P195" s="10">
        <v>4.0</v>
      </c>
      <c r="Q195" s="11">
        <v>30.0</v>
      </c>
      <c r="R195" s="11">
        <v>5.0</v>
      </c>
      <c r="S195" s="13">
        <v>0.041666666666666664</v>
      </c>
      <c r="T195" s="11">
        <v>11.0</v>
      </c>
      <c r="U195" s="11">
        <v>11.0</v>
      </c>
      <c r="V195" s="12">
        <v>0.0</v>
      </c>
      <c r="W195" s="21">
        <v>0.0</v>
      </c>
      <c r="X195" s="14" t="str">
        <f>+0.46</f>
        <v>#ERROR!</v>
      </c>
      <c r="Y195" s="16" t="s">
        <v>1002</v>
      </c>
    </row>
    <row r="196">
      <c r="A196" s="6">
        <v>188.0</v>
      </c>
      <c r="B196" s="7" t="s">
        <v>1003</v>
      </c>
      <c r="C196" s="8" t="s">
        <v>1004</v>
      </c>
      <c r="D196" s="9" t="s">
        <v>66</v>
      </c>
      <c r="E196" s="7" t="s">
        <v>1005</v>
      </c>
      <c r="F196" s="9">
        <v>23.0</v>
      </c>
      <c r="G196" s="9">
        <v>2000.0</v>
      </c>
      <c r="H196" s="10">
        <v>13.0</v>
      </c>
      <c r="I196" s="11">
        <v>937.0</v>
      </c>
      <c r="J196" s="11">
        <v>72.0</v>
      </c>
      <c r="K196" s="11" t="s">
        <v>1006</v>
      </c>
      <c r="L196" s="11" t="s">
        <v>461</v>
      </c>
      <c r="M196" s="10">
        <v>11.0</v>
      </c>
      <c r="N196" s="11">
        <v>83.0</v>
      </c>
      <c r="O196" s="11">
        <v>8.0</v>
      </c>
      <c r="P196" s="10">
        <v>2.0</v>
      </c>
      <c r="Q196" s="11">
        <v>12.0</v>
      </c>
      <c r="R196" s="11">
        <v>1.0</v>
      </c>
      <c r="S196" s="13">
        <v>0.05763888888888889</v>
      </c>
      <c r="T196" s="11">
        <v>8.0</v>
      </c>
      <c r="U196" s="11">
        <v>15.0</v>
      </c>
      <c r="V196" s="17">
        <v>-7.0</v>
      </c>
      <c r="W196" s="15">
        <v>-0.04652777777777778</v>
      </c>
      <c r="X196" s="15">
        <v>-0.03611111111111111</v>
      </c>
      <c r="Y196" s="16" t="s">
        <v>1007</v>
      </c>
    </row>
    <row r="197">
      <c r="A197" s="6">
        <v>189.0</v>
      </c>
      <c r="B197" s="7" t="s">
        <v>1008</v>
      </c>
      <c r="C197" s="8" t="s">
        <v>1009</v>
      </c>
      <c r="D197" s="9" t="s">
        <v>32</v>
      </c>
      <c r="E197" s="7" t="s">
        <v>1010</v>
      </c>
      <c r="F197" s="9">
        <v>25.0</v>
      </c>
      <c r="G197" s="9">
        <v>1998.0</v>
      </c>
      <c r="H197" s="10">
        <v>11.0</v>
      </c>
      <c r="I197" s="11">
        <v>419.0</v>
      </c>
      <c r="J197" s="11">
        <v>38.0</v>
      </c>
      <c r="K197" s="11" t="s">
        <v>1011</v>
      </c>
      <c r="L197" s="11" t="s">
        <v>1012</v>
      </c>
      <c r="M197" s="10">
        <v>5.0</v>
      </c>
      <c r="N197" s="11">
        <v>61.0</v>
      </c>
      <c r="O197" s="12">
        <v>0.0</v>
      </c>
      <c r="P197" s="10">
        <v>6.0</v>
      </c>
      <c r="Q197" s="11">
        <v>19.0</v>
      </c>
      <c r="R197" s="11">
        <v>1.0</v>
      </c>
      <c r="S197" s="13">
        <v>0.041666666666666664</v>
      </c>
      <c r="T197" s="11">
        <v>2.0</v>
      </c>
      <c r="U197" s="11">
        <v>3.0</v>
      </c>
      <c r="V197" s="17">
        <v>-1.0</v>
      </c>
      <c r="W197" s="15">
        <v>-0.014583333333333334</v>
      </c>
      <c r="X197" s="15">
        <v>-0.022916666666666665</v>
      </c>
      <c r="Y197" s="16" t="s">
        <v>1013</v>
      </c>
    </row>
    <row r="198">
      <c r="A198" s="6">
        <v>190.0</v>
      </c>
      <c r="B198" s="7" t="s">
        <v>1014</v>
      </c>
      <c r="C198" s="8" t="s">
        <v>1015</v>
      </c>
      <c r="D198" s="9" t="s">
        <v>59</v>
      </c>
      <c r="E198" s="7" t="s">
        <v>1016</v>
      </c>
      <c r="F198" s="9">
        <v>30.0</v>
      </c>
      <c r="G198" s="9">
        <v>1993.0</v>
      </c>
      <c r="H198" s="10">
        <v>29.0</v>
      </c>
      <c r="I198" s="11">
        <v>2.005</v>
      </c>
      <c r="J198" s="11">
        <v>69.0</v>
      </c>
      <c r="K198" s="11" t="s">
        <v>1017</v>
      </c>
      <c r="L198" s="11" t="s">
        <v>1018</v>
      </c>
      <c r="M198" s="10">
        <v>23.0</v>
      </c>
      <c r="N198" s="11">
        <v>80.0</v>
      </c>
      <c r="O198" s="11">
        <v>12.0</v>
      </c>
      <c r="P198" s="10">
        <v>6.0</v>
      </c>
      <c r="Q198" s="11">
        <v>26.0</v>
      </c>
      <c r="R198" s="12">
        <v>0.0</v>
      </c>
      <c r="S198" s="13">
        <v>0.07291666666666667</v>
      </c>
      <c r="T198" s="11">
        <v>35.0</v>
      </c>
      <c r="U198" s="11">
        <v>27.0</v>
      </c>
      <c r="V198" s="14">
        <f>+8</f>
        <v>8</v>
      </c>
      <c r="W198" s="14" t="str">
        <f>+0.36</f>
        <v>#ERROR!</v>
      </c>
      <c r="X198" s="14" t="str">
        <f>+0.36</f>
        <v>#ERROR!</v>
      </c>
      <c r="Y198" s="16" t="s">
        <v>1019</v>
      </c>
    </row>
    <row r="199">
      <c r="A199" s="6">
        <v>191.0</v>
      </c>
      <c r="B199" s="7" t="s">
        <v>1020</v>
      </c>
      <c r="C199" s="8" t="s">
        <v>1021</v>
      </c>
      <c r="D199" s="9" t="s">
        <v>66</v>
      </c>
      <c r="E199" s="7" t="s">
        <v>1022</v>
      </c>
      <c r="F199" s="9">
        <v>25.0</v>
      </c>
      <c r="G199" s="9">
        <v>1999.0</v>
      </c>
      <c r="H199" s="10">
        <v>12.0</v>
      </c>
      <c r="I199" s="11">
        <v>1.08</v>
      </c>
      <c r="J199" s="11">
        <v>90.0</v>
      </c>
      <c r="K199" s="11" t="s">
        <v>75</v>
      </c>
      <c r="L199" s="11" t="s">
        <v>76</v>
      </c>
      <c r="M199" s="10">
        <v>12.0</v>
      </c>
      <c r="N199" s="11">
        <v>90.0</v>
      </c>
      <c r="O199" s="11">
        <v>12.0</v>
      </c>
      <c r="P199" s="18">
        <v>0.0</v>
      </c>
      <c r="Q199" s="19"/>
      <c r="R199" s="12">
        <v>0.0</v>
      </c>
      <c r="S199" s="13">
        <v>0.059027777777777776</v>
      </c>
      <c r="T199" s="11">
        <v>19.0</v>
      </c>
      <c r="U199" s="11">
        <v>21.0</v>
      </c>
      <c r="V199" s="17">
        <v>-2.0</v>
      </c>
      <c r="W199" s="15">
        <v>-0.011805555555555555</v>
      </c>
      <c r="X199" s="14" t="str">
        <f>+0.11</f>
        <v>#ERROR!</v>
      </c>
      <c r="Y199" s="16" t="s">
        <v>1023</v>
      </c>
    </row>
    <row r="200">
      <c r="A200" s="6">
        <v>192.0</v>
      </c>
      <c r="B200" s="7" t="s">
        <v>1024</v>
      </c>
      <c r="C200" s="8" t="s">
        <v>1025</v>
      </c>
      <c r="D200" s="9" t="s">
        <v>52</v>
      </c>
      <c r="E200" s="7" t="s">
        <v>1026</v>
      </c>
      <c r="F200" s="9">
        <v>22.0</v>
      </c>
      <c r="G200" s="9">
        <v>2001.0</v>
      </c>
      <c r="H200" s="10">
        <v>30.0</v>
      </c>
      <c r="I200" s="11">
        <v>2.178</v>
      </c>
      <c r="J200" s="11">
        <v>73.0</v>
      </c>
      <c r="K200" s="11" t="s">
        <v>1027</v>
      </c>
      <c r="L200" s="11" t="s">
        <v>1028</v>
      </c>
      <c r="M200" s="10">
        <v>25.0</v>
      </c>
      <c r="N200" s="11">
        <v>82.0</v>
      </c>
      <c r="O200" s="11">
        <v>11.0</v>
      </c>
      <c r="P200" s="10">
        <v>5.0</v>
      </c>
      <c r="Q200" s="11">
        <v>24.0</v>
      </c>
      <c r="R200" s="12">
        <v>0.0</v>
      </c>
      <c r="S200" s="13">
        <v>0.06736111111111111</v>
      </c>
      <c r="T200" s="11">
        <v>35.0</v>
      </c>
      <c r="U200" s="11">
        <v>35.0</v>
      </c>
      <c r="V200" s="12">
        <v>0.0</v>
      </c>
      <c r="W200" s="21">
        <v>0.0</v>
      </c>
      <c r="X200" s="15">
        <v>-0.011805555555555555</v>
      </c>
      <c r="Y200" s="16" t="s">
        <v>1029</v>
      </c>
    </row>
    <row r="201">
      <c r="A201" s="6">
        <v>193.0</v>
      </c>
      <c r="B201" s="7" t="s">
        <v>1030</v>
      </c>
      <c r="C201" s="8" t="s">
        <v>1031</v>
      </c>
      <c r="D201" s="9" t="s">
        <v>52</v>
      </c>
      <c r="E201" s="7" t="s">
        <v>1032</v>
      </c>
      <c r="F201" s="9">
        <v>21.0</v>
      </c>
      <c r="G201" s="9">
        <v>2002.0</v>
      </c>
      <c r="H201" s="10">
        <v>26.0</v>
      </c>
      <c r="I201" s="11">
        <v>1.566</v>
      </c>
      <c r="J201" s="11">
        <v>60.0</v>
      </c>
      <c r="K201" s="11" t="s">
        <v>1033</v>
      </c>
      <c r="L201" s="11" t="s">
        <v>1034</v>
      </c>
      <c r="M201" s="10">
        <v>19.0</v>
      </c>
      <c r="N201" s="11">
        <v>73.0</v>
      </c>
      <c r="O201" s="11">
        <v>4.0</v>
      </c>
      <c r="P201" s="10">
        <v>7.0</v>
      </c>
      <c r="Q201" s="11">
        <v>26.0</v>
      </c>
      <c r="R201" s="11">
        <v>1.0</v>
      </c>
      <c r="S201" s="13">
        <v>0.07361111111111111</v>
      </c>
      <c r="T201" s="11">
        <v>21.0</v>
      </c>
      <c r="U201" s="11">
        <v>22.0</v>
      </c>
      <c r="V201" s="17">
        <v>-1.0</v>
      </c>
      <c r="W201" s="15">
        <v>-0.004166666666666667</v>
      </c>
      <c r="X201" s="15">
        <v>-0.020833333333333332</v>
      </c>
      <c r="Y201" s="16" t="s">
        <v>1035</v>
      </c>
    </row>
    <row r="202">
      <c r="A202" s="6">
        <v>194.0</v>
      </c>
      <c r="B202" s="7" t="s">
        <v>1036</v>
      </c>
      <c r="C202" s="8" t="s">
        <v>1037</v>
      </c>
      <c r="D202" s="9" t="s">
        <v>66</v>
      </c>
      <c r="E202" s="7" t="s">
        <v>1038</v>
      </c>
      <c r="F202" s="9">
        <v>25.0</v>
      </c>
      <c r="G202" s="9">
        <v>1998.0</v>
      </c>
      <c r="H202" s="10">
        <v>21.0</v>
      </c>
      <c r="I202" s="11">
        <v>1.725</v>
      </c>
      <c r="J202" s="11">
        <v>82.0</v>
      </c>
      <c r="K202" s="11" t="s">
        <v>1039</v>
      </c>
      <c r="L202" s="11" t="s">
        <v>1040</v>
      </c>
      <c r="M202" s="10">
        <v>18.0</v>
      </c>
      <c r="N202" s="11">
        <v>87.0</v>
      </c>
      <c r="O202" s="11">
        <v>14.0</v>
      </c>
      <c r="P202" s="10">
        <v>3.0</v>
      </c>
      <c r="Q202" s="11">
        <v>53.0</v>
      </c>
      <c r="R202" s="11">
        <v>2.0</v>
      </c>
      <c r="S202" s="13">
        <v>0.075</v>
      </c>
      <c r="T202" s="11">
        <v>31.0</v>
      </c>
      <c r="U202" s="11">
        <v>27.0</v>
      </c>
      <c r="V202" s="14">
        <f>+4</f>
        <v>4</v>
      </c>
      <c r="W202" s="14" t="str">
        <f>+0.21</f>
        <v>#ERROR!</v>
      </c>
      <c r="X202" s="15">
        <v>-0.011111111111111112</v>
      </c>
      <c r="Y202" s="16" t="s">
        <v>1041</v>
      </c>
    </row>
    <row r="203">
      <c r="A203" s="6">
        <v>195.0</v>
      </c>
      <c r="B203" s="7" t="s">
        <v>1042</v>
      </c>
      <c r="C203" s="8" t="s">
        <v>1043</v>
      </c>
      <c r="D203" s="9" t="s">
        <v>52</v>
      </c>
      <c r="E203" s="7" t="s">
        <v>1044</v>
      </c>
      <c r="F203" s="9">
        <v>18.0</v>
      </c>
      <c r="G203" s="9">
        <v>2005.0</v>
      </c>
      <c r="H203" s="18">
        <v>0.0</v>
      </c>
      <c r="I203" s="19"/>
      <c r="J203" s="19"/>
      <c r="K203" s="19"/>
      <c r="L203" s="19"/>
      <c r="M203" s="18">
        <v>0.0</v>
      </c>
      <c r="N203" s="19"/>
      <c r="O203" s="12">
        <v>0.0</v>
      </c>
      <c r="P203" s="18">
        <v>0.0</v>
      </c>
      <c r="Q203" s="19"/>
      <c r="R203" s="11">
        <v>1.0</v>
      </c>
      <c r="S203" s="24"/>
      <c r="T203" s="19"/>
      <c r="U203" s="19"/>
      <c r="V203" s="19"/>
      <c r="W203" s="19"/>
      <c r="X203" s="19"/>
      <c r="Y203" s="16" t="s">
        <v>1045</v>
      </c>
    </row>
    <row r="204">
      <c r="A204" s="6">
        <v>196.0</v>
      </c>
      <c r="B204" s="7" t="s">
        <v>1046</v>
      </c>
      <c r="C204" s="8" t="s">
        <v>1047</v>
      </c>
      <c r="D204" s="9" t="s">
        <v>52</v>
      </c>
      <c r="E204" s="7" t="s">
        <v>1048</v>
      </c>
      <c r="F204" s="9">
        <v>26.0</v>
      </c>
      <c r="G204" s="9">
        <v>1997.0</v>
      </c>
      <c r="H204" s="10">
        <v>10.0</v>
      </c>
      <c r="I204" s="11">
        <v>629.0</v>
      </c>
      <c r="J204" s="11">
        <v>63.0</v>
      </c>
      <c r="K204" s="11" t="s">
        <v>280</v>
      </c>
      <c r="L204" s="11" t="s">
        <v>1049</v>
      </c>
      <c r="M204" s="10">
        <v>7.0</v>
      </c>
      <c r="N204" s="11">
        <v>81.0</v>
      </c>
      <c r="O204" s="11">
        <v>2.0</v>
      </c>
      <c r="P204" s="10">
        <v>3.0</v>
      </c>
      <c r="Q204" s="11">
        <v>21.0</v>
      </c>
      <c r="R204" s="11">
        <v>2.0</v>
      </c>
      <c r="S204" s="13">
        <v>0.05555555555555555</v>
      </c>
      <c r="T204" s="11">
        <v>9.0</v>
      </c>
      <c r="U204" s="11">
        <v>11.0</v>
      </c>
      <c r="V204" s="17">
        <v>-2.0</v>
      </c>
      <c r="W204" s="15">
        <v>-0.02013888888888889</v>
      </c>
      <c r="X204" s="15">
        <v>-0.034722222222222224</v>
      </c>
      <c r="Y204" s="16" t="s">
        <v>1050</v>
      </c>
    </row>
    <row r="205">
      <c r="A205" s="6">
        <v>197.0</v>
      </c>
      <c r="B205" s="7" t="s">
        <v>1051</v>
      </c>
      <c r="C205" s="8" t="s">
        <v>1052</v>
      </c>
      <c r="D205" s="9" t="s">
        <v>52</v>
      </c>
      <c r="E205" s="7" t="s">
        <v>1053</v>
      </c>
      <c r="F205" s="9">
        <v>26.0</v>
      </c>
      <c r="G205" s="9">
        <v>1997.0</v>
      </c>
      <c r="H205" s="10">
        <v>16.0</v>
      </c>
      <c r="I205" s="11">
        <v>936.0</v>
      </c>
      <c r="J205" s="11">
        <v>59.0</v>
      </c>
      <c r="K205" s="11" t="s">
        <v>1006</v>
      </c>
      <c r="L205" s="11" t="s">
        <v>461</v>
      </c>
      <c r="M205" s="10">
        <v>12.0</v>
      </c>
      <c r="N205" s="11">
        <v>71.0</v>
      </c>
      <c r="O205" s="11">
        <v>3.0</v>
      </c>
      <c r="P205" s="10">
        <v>4.0</v>
      </c>
      <c r="Q205" s="11">
        <v>22.0</v>
      </c>
      <c r="R205" s="11">
        <v>1.0</v>
      </c>
      <c r="S205" s="13">
        <v>0.08333333333333333</v>
      </c>
      <c r="T205" s="11">
        <v>16.0</v>
      </c>
      <c r="U205" s="11">
        <v>6.0</v>
      </c>
      <c r="V205" s="14">
        <f>+10</f>
        <v>10</v>
      </c>
      <c r="W205" s="14" t="str">
        <f>+0.96</f>
        <v>#ERROR!</v>
      </c>
      <c r="X205" s="14" t="str">
        <f>+0.96</f>
        <v>#ERROR!</v>
      </c>
      <c r="Y205" s="16" t="s">
        <v>1054</v>
      </c>
    </row>
    <row r="206">
      <c r="A206" s="6">
        <v>198.0</v>
      </c>
      <c r="B206" s="7" t="s">
        <v>1055</v>
      </c>
      <c r="C206" s="8" t="s">
        <v>1056</v>
      </c>
      <c r="D206" s="9" t="s">
        <v>66</v>
      </c>
      <c r="E206" s="7" t="s">
        <v>1057</v>
      </c>
      <c r="F206" s="9">
        <v>31.0</v>
      </c>
      <c r="G206" s="9">
        <v>1992.0</v>
      </c>
      <c r="H206" s="10">
        <v>24.0</v>
      </c>
      <c r="I206" s="11">
        <v>1.958</v>
      </c>
      <c r="J206" s="11">
        <v>82.0</v>
      </c>
      <c r="K206" s="11" t="s">
        <v>1058</v>
      </c>
      <c r="L206" s="11" t="s">
        <v>494</v>
      </c>
      <c r="M206" s="10">
        <v>24.0</v>
      </c>
      <c r="N206" s="11">
        <v>82.0</v>
      </c>
      <c r="O206" s="11">
        <v>20.0</v>
      </c>
      <c r="P206" s="18">
        <v>0.0</v>
      </c>
      <c r="Q206" s="19"/>
      <c r="R206" s="12">
        <v>0.0</v>
      </c>
      <c r="S206" s="13">
        <v>0.07916666666666666</v>
      </c>
      <c r="T206" s="11">
        <v>36.0</v>
      </c>
      <c r="U206" s="11">
        <v>30.0</v>
      </c>
      <c r="V206" s="14">
        <f>+6</f>
        <v>6</v>
      </c>
      <c r="W206" s="14" t="str">
        <f>+0.28</f>
        <v>#ERROR!</v>
      </c>
      <c r="X206" s="14" t="str">
        <f>+0.03</f>
        <v>#ERROR!</v>
      </c>
      <c r="Y206" s="16" t="s">
        <v>1059</v>
      </c>
    </row>
    <row r="207">
      <c r="A207" s="6">
        <v>199.0</v>
      </c>
      <c r="B207" s="7" t="s">
        <v>1060</v>
      </c>
      <c r="C207" s="8" t="s">
        <v>1061</v>
      </c>
      <c r="D207" s="9" t="s">
        <v>45</v>
      </c>
      <c r="E207" s="7" t="s">
        <v>1062</v>
      </c>
      <c r="F207" s="9">
        <v>27.0</v>
      </c>
      <c r="G207" s="9">
        <v>1996.0</v>
      </c>
      <c r="H207" s="10">
        <v>8.0</v>
      </c>
      <c r="I207" s="11">
        <v>454.0</v>
      </c>
      <c r="J207" s="11">
        <v>57.0</v>
      </c>
      <c r="K207" s="11" t="s">
        <v>433</v>
      </c>
      <c r="L207" s="11" t="s">
        <v>1063</v>
      </c>
      <c r="M207" s="10">
        <v>6.0</v>
      </c>
      <c r="N207" s="11">
        <v>68.0</v>
      </c>
      <c r="O207" s="11">
        <v>1.0</v>
      </c>
      <c r="P207" s="10">
        <v>2.0</v>
      </c>
      <c r="Q207" s="11">
        <v>24.0</v>
      </c>
      <c r="R207" s="11">
        <v>2.0</v>
      </c>
      <c r="S207" s="13">
        <v>0.0763888888888889</v>
      </c>
      <c r="T207" s="11">
        <v>7.0</v>
      </c>
      <c r="U207" s="11">
        <v>6.0</v>
      </c>
      <c r="V207" s="14">
        <f>+1</f>
        <v>1</v>
      </c>
      <c r="W207" s="14" t="str">
        <f>+0.20</f>
        <v>#ERROR!</v>
      </c>
      <c r="X207" s="15">
        <v>-0.005555555555555556</v>
      </c>
      <c r="Y207" s="16" t="s">
        <v>1064</v>
      </c>
    </row>
    <row r="208">
      <c r="A208" s="6">
        <v>200.0</v>
      </c>
      <c r="B208" s="7" t="s">
        <v>1065</v>
      </c>
      <c r="C208" s="8" t="s">
        <v>1066</v>
      </c>
      <c r="D208" s="9" t="s">
        <v>25</v>
      </c>
      <c r="E208" s="7" t="s">
        <v>1067</v>
      </c>
      <c r="F208" s="9">
        <v>23.0</v>
      </c>
      <c r="G208" s="9">
        <v>2000.0</v>
      </c>
      <c r="H208" s="10">
        <v>14.0</v>
      </c>
      <c r="I208" s="11">
        <v>653.0</v>
      </c>
      <c r="J208" s="11">
        <v>47.0</v>
      </c>
      <c r="K208" s="11" t="s">
        <v>1028</v>
      </c>
      <c r="L208" s="11" t="s">
        <v>679</v>
      </c>
      <c r="M208" s="10">
        <v>6.0</v>
      </c>
      <c r="N208" s="11">
        <v>88.0</v>
      </c>
      <c r="O208" s="11">
        <v>4.0</v>
      </c>
      <c r="P208" s="10">
        <v>8.0</v>
      </c>
      <c r="Q208" s="11">
        <v>16.0</v>
      </c>
      <c r="R208" s="11">
        <v>2.0</v>
      </c>
      <c r="S208" s="13">
        <v>0.05138888888888889</v>
      </c>
      <c r="T208" s="11">
        <v>9.0</v>
      </c>
      <c r="U208" s="11">
        <v>21.0</v>
      </c>
      <c r="V208" s="17">
        <v>-12.0</v>
      </c>
      <c r="W208" s="15">
        <v>-0.08680555555555555</v>
      </c>
      <c r="X208" s="15">
        <v>-0.059722222222222225</v>
      </c>
      <c r="Y208" s="16" t="s">
        <v>1068</v>
      </c>
    </row>
    <row r="209">
      <c r="A209" s="25" t="s">
        <v>0</v>
      </c>
      <c r="B209" s="26" t="s">
        <v>1</v>
      </c>
      <c r="C209" s="27" t="s">
        <v>2</v>
      </c>
      <c r="D209" s="27" t="s">
        <v>3</v>
      </c>
      <c r="E209" s="27" t="s">
        <v>4</v>
      </c>
      <c r="F209" s="27" t="s">
        <v>5</v>
      </c>
      <c r="G209" s="27" t="s">
        <v>6</v>
      </c>
      <c r="H209" s="28" t="s">
        <v>7</v>
      </c>
      <c r="I209" s="27" t="s">
        <v>8</v>
      </c>
      <c r="J209" s="27" t="s">
        <v>9</v>
      </c>
      <c r="K209" s="27" t="s">
        <v>10</v>
      </c>
      <c r="L209" s="27" t="s">
        <v>11</v>
      </c>
      <c r="M209" s="28" t="s">
        <v>12</v>
      </c>
      <c r="N209" s="27" t="s">
        <v>13</v>
      </c>
      <c r="O209" s="27" t="s">
        <v>14</v>
      </c>
      <c r="P209" s="28" t="s">
        <v>15</v>
      </c>
      <c r="Q209" s="27" t="s">
        <v>16</v>
      </c>
      <c r="R209" s="27" t="s">
        <v>17</v>
      </c>
      <c r="S209" s="28" t="s">
        <v>18</v>
      </c>
      <c r="T209" s="27" t="s">
        <v>19</v>
      </c>
      <c r="U209" s="27" t="s">
        <v>20</v>
      </c>
      <c r="V209" s="29" t="str">
        <f>+/-</f>
        <v>#ERROR!</v>
      </c>
      <c r="W209" s="29" t="str">
        <f>+/-90</f>
        <v>#ERROR!</v>
      </c>
      <c r="X209" s="27" t="s">
        <v>21</v>
      </c>
      <c r="Y209" s="28" t="s">
        <v>22</v>
      </c>
    </row>
    <row r="210">
      <c r="A210" s="6">
        <v>201.0</v>
      </c>
      <c r="B210" s="7" t="s">
        <v>1069</v>
      </c>
      <c r="C210" s="8" t="s">
        <v>1070</v>
      </c>
      <c r="D210" s="9" t="s">
        <v>66</v>
      </c>
      <c r="E210" s="7" t="s">
        <v>1071</v>
      </c>
      <c r="F210" s="9">
        <v>34.0</v>
      </c>
      <c r="G210" s="9">
        <v>1989.0</v>
      </c>
      <c r="H210" s="10">
        <v>26.0</v>
      </c>
      <c r="I210" s="11">
        <v>1.87</v>
      </c>
      <c r="J210" s="11">
        <v>72.0</v>
      </c>
      <c r="K210" s="11" t="s">
        <v>1072</v>
      </c>
      <c r="L210" s="11" t="s">
        <v>1073</v>
      </c>
      <c r="M210" s="10">
        <v>21.0</v>
      </c>
      <c r="N210" s="11">
        <v>85.0</v>
      </c>
      <c r="O210" s="11">
        <v>19.0</v>
      </c>
      <c r="P210" s="10">
        <v>5.0</v>
      </c>
      <c r="Q210" s="11">
        <v>17.0</v>
      </c>
      <c r="R210" s="11">
        <v>1.0</v>
      </c>
      <c r="S210" s="13">
        <v>0.0763888888888889</v>
      </c>
      <c r="T210" s="11">
        <v>43.0</v>
      </c>
      <c r="U210" s="11">
        <v>37.0</v>
      </c>
      <c r="V210" s="14">
        <f>+6</f>
        <v>6</v>
      </c>
      <c r="W210" s="14" t="str">
        <f>+0.29</f>
        <v>#ERROR!</v>
      </c>
      <c r="X210" s="14" t="str">
        <f>+0.61</f>
        <v>#ERROR!</v>
      </c>
      <c r="Y210" s="16" t="s">
        <v>1074</v>
      </c>
    </row>
    <row r="211">
      <c r="A211" s="6">
        <v>202.0</v>
      </c>
      <c r="B211" s="7" t="s">
        <v>1075</v>
      </c>
      <c r="C211" s="8" t="s">
        <v>1076</v>
      </c>
      <c r="D211" s="9" t="s">
        <v>32</v>
      </c>
      <c r="E211" s="7" t="s">
        <v>1077</v>
      </c>
      <c r="F211" s="9">
        <v>20.0</v>
      </c>
      <c r="G211" s="9">
        <v>2003.0</v>
      </c>
      <c r="H211" s="10">
        <v>25.0</v>
      </c>
      <c r="I211" s="11">
        <v>878.0</v>
      </c>
      <c r="J211" s="11">
        <v>35.0</v>
      </c>
      <c r="K211" s="11" t="s">
        <v>454</v>
      </c>
      <c r="L211" s="11" t="s">
        <v>1078</v>
      </c>
      <c r="M211" s="10">
        <v>8.0</v>
      </c>
      <c r="N211" s="11">
        <v>75.0</v>
      </c>
      <c r="O211" s="11">
        <v>3.0</v>
      </c>
      <c r="P211" s="10">
        <v>17.0</v>
      </c>
      <c r="Q211" s="11">
        <v>16.0</v>
      </c>
      <c r="R211" s="11">
        <v>4.0</v>
      </c>
      <c r="S211" s="13">
        <v>0.06111111111111111</v>
      </c>
      <c r="T211" s="11">
        <v>16.0</v>
      </c>
      <c r="U211" s="11">
        <v>19.0</v>
      </c>
      <c r="V211" s="17">
        <v>-3.0</v>
      </c>
      <c r="W211" s="15">
        <v>-0.021527777777777778</v>
      </c>
      <c r="X211" s="15">
        <v>-0.041666666666666664</v>
      </c>
      <c r="Y211" s="16" t="s">
        <v>1079</v>
      </c>
    </row>
    <row r="212">
      <c r="A212" s="6">
        <v>203.0</v>
      </c>
      <c r="B212" s="7" t="s">
        <v>1080</v>
      </c>
      <c r="C212" s="8" t="s">
        <v>1081</v>
      </c>
      <c r="D212" s="9" t="s">
        <v>25</v>
      </c>
      <c r="E212" s="7" t="s">
        <v>1082</v>
      </c>
      <c r="F212" s="9">
        <v>33.0</v>
      </c>
      <c r="G212" s="9">
        <v>1990.0</v>
      </c>
      <c r="H212" s="10">
        <v>25.0</v>
      </c>
      <c r="I212" s="11">
        <v>1.972</v>
      </c>
      <c r="J212" s="11">
        <v>79.0</v>
      </c>
      <c r="K212" s="11" t="s">
        <v>1083</v>
      </c>
      <c r="L212" s="11" t="s">
        <v>1084</v>
      </c>
      <c r="M212" s="10">
        <v>22.0</v>
      </c>
      <c r="N212" s="11">
        <v>87.0</v>
      </c>
      <c r="O212" s="11">
        <v>19.0</v>
      </c>
      <c r="P212" s="10">
        <v>3.0</v>
      </c>
      <c r="Q212" s="11">
        <v>17.0</v>
      </c>
      <c r="R212" s="11">
        <v>1.0</v>
      </c>
      <c r="S212" s="13">
        <v>0.07777777777777778</v>
      </c>
      <c r="T212" s="11">
        <v>39.0</v>
      </c>
      <c r="U212" s="11">
        <v>35.0</v>
      </c>
      <c r="V212" s="14">
        <f>+4</f>
        <v>4</v>
      </c>
      <c r="W212" s="14" t="str">
        <f>+0.18</f>
        <v>#ERROR!</v>
      </c>
      <c r="X212" s="15">
        <v>-0.021527777777777778</v>
      </c>
      <c r="Y212" s="16" t="s">
        <v>1085</v>
      </c>
    </row>
    <row r="213">
      <c r="A213" s="6">
        <v>204.0</v>
      </c>
      <c r="B213" s="7" t="s">
        <v>1086</v>
      </c>
      <c r="C213" s="8" t="s">
        <v>1087</v>
      </c>
      <c r="D213" s="9" t="s">
        <v>32</v>
      </c>
      <c r="E213" s="7" t="s">
        <v>1088</v>
      </c>
      <c r="F213" s="9">
        <v>27.0</v>
      </c>
      <c r="G213" s="9">
        <v>1996.0</v>
      </c>
      <c r="H213" s="10">
        <v>30.0</v>
      </c>
      <c r="I213" s="11">
        <v>2.252</v>
      </c>
      <c r="J213" s="11">
        <v>75.0</v>
      </c>
      <c r="K213" s="11" t="s">
        <v>1089</v>
      </c>
      <c r="L213" s="11" t="s">
        <v>1090</v>
      </c>
      <c r="M213" s="10">
        <v>25.0</v>
      </c>
      <c r="N213" s="11">
        <v>84.0</v>
      </c>
      <c r="O213" s="11">
        <v>15.0</v>
      </c>
      <c r="P213" s="10">
        <v>5.0</v>
      </c>
      <c r="Q213" s="11">
        <v>33.0</v>
      </c>
      <c r="R213" s="12">
        <v>0.0</v>
      </c>
      <c r="S213" s="13">
        <v>0.09513888888888888</v>
      </c>
      <c r="T213" s="11">
        <v>35.0</v>
      </c>
      <c r="U213" s="11">
        <v>26.0</v>
      </c>
      <c r="V213" s="14">
        <f>+9</f>
        <v>9</v>
      </c>
      <c r="W213" s="14" t="str">
        <f>+0.36</f>
        <v>#ERROR!</v>
      </c>
      <c r="X213" s="14" t="str">
        <f>+0.16</f>
        <v>#ERROR!</v>
      </c>
      <c r="Y213" s="16" t="s">
        <v>1091</v>
      </c>
    </row>
    <row r="214">
      <c r="A214" s="6">
        <v>205.0</v>
      </c>
      <c r="B214" s="7" t="s">
        <v>1092</v>
      </c>
      <c r="C214" s="8" t="s">
        <v>1093</v>
      </c>
      <c r="D214" s="9" t="s">
        <v>284</v>
      </c>
      <c r="E214" s="7" t="s">
        <v>1094</v>
      </c>
      <c r="F214" s="9">
        <v>20.0</v>
      </c>
      <c r="G214" s="9">
        <v>2003.0</v>
      </c>
      <c r="H214" s="10">
        <v>27.0</v>
      </c>
      <c r="I214" s="11">
        <v>1.893</v>
      </c>
      <c r="J214" s="11">
        <v>70.0</v>
      </c>
      <c r="K214" s="11" t="s">
        <v>1095</v>
      </c>
      <c r="L214" s="11" t="s">
        <v>1096</v>
      </c>
      <c r="M214" s="10">
        <v>20.0</v>
      </c>
      <c r="N214" s="11">
        <v>86.0</v>
      </c>
      <c r="O214" s="11">
        <v>13.0</v>
      </c>
      <c r="P214" s="10">
        <v>7.0</v>
      </c>
      <c r="Q214" s="11">
        <v>26.0</v>
      </c>
      <c r="R214" s="11">
        <v>1.0</v>
      </c>
      <c r="S214" s="13">
        <v>0.08263888888888889</v>
      </c>
      <c r="T214" s="11">
        <v>24.0</v>
      </c>
      <c r="U214" s="11">
        <v>25.0</v>
      </c>
      <c r="V214" s="17">
        <v>-1.0</v>
      </c>
      <c r="W214" s="15">
        <v>-0.003472222222222222</v>
      </c>
      <c r="X214" s="15">
        <v>-0.02638888888888889</v>
      </c>
      <c r="Y214" s="16" t="s">
        <v>1097</v>
      </c>
    </row>
    <row r="215">
      <c r="A215" s="6">
        <v>206.0</v>
      </c>
      <c r="B215" s="7" t="s">
        <v>1098</v>
      </c>
      <c r="C215" s="8" t="s">
        <v>1099</v>
      </c>
      <c r="D215" s="9" t="s">
        <v>45</v>
      </c>
      <c r="E215" s="7" t="s">
        <v>1100</v>
      </c>
      <c r="F215" s="9">
        <v>27.0</v>
      </c>
      <c r="G215" s="9">
        <v>1996.0</v>
      </c>
      <c r="H215" s="10">
        <v>26.0</v>
      </c>
      <c r="I215" s="11">
        <v>1.35</v>
      </c>
      <c r="J215" s="11">
        <v>52.0</v>
      </c>
      <c r="K215" s="11" t="s">
        <v>174</v>
      </c>
      <c r="L215" s="11" t="s">
        <v>175</v>
      </c>
      <c r="M215" s="10">
        <v>16.0</v>
      </c>
      <c r="N215" s="11">
        <v>71.0</v>
      </c>
      <c r="O215" s="11">
        <v>2.0</v>
      </c>
      <c r="P215" s="10">
        <v>10.0</v>
      </c>
      <c r="Q215" s="11">
        <v>22.0</v>
      </c>
      <c r="R215" s="11">
        <v>4.0</v>
      </c>
      <c r="S215" s="13">
        <v>0.06388888888888888</v>
      </c>
      <c r="T215" s="11">
        <v>13.0</v>
      </c>
      <c r="U215" s="11">
        <v>24.0</v>
      </c>
      <c r="V215" s="17">
        <v>-11.0</v>
      </c>
      <c r="W215" s="15">
        <v>-0.050694444444444445</v>
      </c>
      <c r="X215" s="15">
        <v>-0.01875</v>
      </c>
      <c r="Y215" s="16" t="s">
        <v>1101</v>
      </c>
    </row>
    <row r="216">
      <c r="A216" s="6">
        <v>207.0</v>
      </c>
      <c r="B216" s="7" t="s">
        <v>1102</v>
      </c>
      <c r="C216" s="8" t="s">
        <v>1103</v>
      </c>
      <c r="D216" s="9" t="s">
        <v>52</v>
      </c>
      <c r="E216" s="7" t="s">
        <v>1104</v>
      </c>
      <c r="F216" s="9">
        <v>30.0</v>
      </c>
      <c r="G216" s="9">
        <v>1993.0</v>
      </c>
      <c r="H216" s="10">
        <v>26.0</v>
      </c>
      <c r="I216" s="11">
        <v>2.211</v>
      </c>
      <c r="J216" s="11">
        <v>85.0</v>
      </c>
      <c r="K216" s="11" t="s">
        <v>1105</v>
      </c>
      <c r="L216" s="11" t="s">
        <v>1106</v>
      </c>
      <c r="M216" s="10">
        <v>26.0</v>
      </c>
      <c r="N216" s="11">
        <v>85.0</v>
      </c>
      <c r="O216" s="11">
        <v>19.0</v>
      </c>
      <c r="P216" s="18">
        <v>0.0</v>
      </c>
      <c r="Q216" s="19"/>
      <c r="R216" s="12">
        <v>0.0</v>
      </c>
      <c r="S216" s="13">
        <v>0.05763888888888889</v>
      </c>
      <c r="T216" s="11">
        <v>28.0</v>
      </c>
      <c r="U216" s="11">
        <v>42.0</v>
      </c>
      <c r="V216" s="17">
        <v>-14.0</v>
      </c>
      <c r="W216" s="15">
        <v>-0.03958333333333333</v>
      </c>
      <c r="X216" s="14" t="str">
        <f>+0.72</f>
        <v>#ERROR!</v>
      </c>
      <c r="Y216" s="16" t="s">
        <v>1107</v>
      </c>
    </row>
    <row r="217">
      <c r="A217" s="6">
        <v>208.0</v>
      </c>
      <c r="B217" s="7" t="s">
        <v>1108</v>
      </c>
      <c r="C217" s="8" t="s">
        <v>1109</v>
      </c>
      <c r="D217" s="9" t="s">
        <v>45</v>
      </c>
      <c r="E217" s="7" t="s">
        <v>1110</v>
      </c>
      <c r="F217" s="9">
        <v>21.0</v>
      </c>
      <c r="G217" s="9">
        <v>2002.0</v>
      </c>
      <c r="H217" s="10">
        <v>22.0</v>
      </c>
      <c r="I217" s="11">
        <v>1.651</v>
      </c>
      <c r="J217" s="11">
        <v>75.0</v>
      </c>
      <c r="K217" s="11" t="s">
        <v>1111</v>
      </c>
      <c r="L217" s="11" t="s">
        <v>570</v>
      </c>
      <c r="M217" s="10">
        <v>18.0</v>
      </c>
      <c r="N217" s="11">
        <v>84.0</v>
      </c>
      <c r="O217" s="11">
        <v>10.0</v>
      </c>
      <c r="P217" s="10">
        <v>4.0</v>
      </c>
      <c r="Q217" s="11">
        <v>34.0</v>
      </c>
      <c r="R217" s="12">
        <v>0.0</v>
      </c>
      <c r="S217" s="13">
        <v>0.07291666666666667</v>
      </c>
      <c r="T217" s="11">
        <v>39.0</v>
      </c>
      <c r="U217" s="11">
        <v>32.0</v>
      </c>
      <c r="V217" s="14">
        <f>+7</f>
        <v>7</v>
      </c>
      <c r="W217" s="14" t="str">
        <f>+0.38</f>
        <v>#ERROR!</v>
      </c>
      <c r="X217" s="14" t="str">
        <f>+0.72</f>
        <v>#ERROR!</v>
      </c>
      <c r="Y217" s="16" t="s">
        <v>1112</v>
      </c>
    </row>
    <row r="218">
      <c r="A218" s="6">
        <v>209.0</v>
      </c>
      <c r="B218" s="7" t="s">
        <v>1113</v>
      </c>
      <c r="C218" s="8" t="s">
        <v>1114</v>
      </c>
      <c r="D218" s="9" t="s">
        <v>66</v>
      </c>
      <c r="E218" s="7" t="s">
        <v>1115</v>
      </c>
      <c r="F218" s="9">
        <v>27.0</v>
      </c>
      <c r="G218" s="9">
        <v>1996.0</v>
      </c>
      <c r="H218" s="10">
        <v>4.0</v>
      </c>
      <c r="I218" s="11">
        <v>97.0</v>
      </c>
      <c r="J218" s="11">
        <v>24.0</v>
      </c>
      <c r="K218" s="11" t="s">
        <v>367</v>
      </c>
      <c r="L218" s="11" t="s">
        <v>443</v>
      </c>
      <c r="M218" s="18">
        <v>0.0</v>
      </c>
      <c r="N218" s="19"/>
      <c r="O218" s="12">
        <v>0.0</v>
      </c>
      <c r="P218" s="10">
        <v>4.0</v>
      </c>
      <c r="Q218" s="11">
        <v>24.0</v>
      </c>
      <c r="R218" s="11">
        <v>8.0</v>
      </c>
      <c r="S218" s="13">
        <v>0.052083333333333336</v>
      </c>
      <c r="T218" s="11">
        <v>1.0</v>
      </c>
      <c r="U218" s="11">
        <v>1.0</v>
      </c>
      <c r="V218" s="12">
        <v>0.0</v>
      </c>
      <c r="W218" s="21">
        <v>0.0</v>
      </c>
      <c r="X218" s="14" t="str">
        <f>+0.69</f>
        <v>#ERROR!</v>
      </c>
      <c r="Y218" s="16" t="s">
        <v>1116</v>
      </c>
    </row>
    <row r="219">
      <c r="A219" s="6">
        <v>210.0</v>
      </c>
      <c r="B219" s="7" t="s">
        <v>1117</v>
      </c>
      <c r="C219" s="8" t="s">
        <v>1118</v>
      </c>
      <c r="D219" s="9" t="s">
        <v>66</v>
      </c>
      <c r="E219" s="7" t="s">
        <v>1119</v>
      </c>
      <c r="F219" s="9">
        <v>21.0</v>
      </c>
      <c r="G219" s="9">
        <v>2002.0</v>
      </c>
      <c r="H219" s="10">
        <v>3.0</v>
      </c>
      <c r="I219" s="11">
        <v>60.0</v>
      </c>
      <c r="J219" s="11">
        <v>20.0</v>
      </c>
      <c r="K219" s="11" t="s">
        <v>680</v>
      </c>
      <c r="L219" s="11" t="s">
        <v>180</v>
      </c>
      <c r="M219" s="18">
        <v>0.0</v>
      </c>
      <c r="N219" s="19"/>
      <c r="O219" s="12">
        <v>0.0</v>
      </c>
      <c r="P219" s="10">
        <v>3.0</v>
      </c>
      <c r="Q219" s="11">
        <v>20.0</v>
      </c>
      <c r="R219" s="11">
        <v>1.0</v>
      </c>
      <c r="S219" s="13">
        <v>0.08333333333333333</v>
      </c>
      <c r="T219" s="12">
        <v>0.0</v>
      </c>
      <c r="U219" s="11">
        <v>1.0</v>
      </c>
      <c r="V219" s="17">
        <v>-1.0</v>
      </c>
      <c r="W219" s="15">
        <v>-0.0763888888888889</v>
      </c>
      <c r="X219" s="15">
        <v>-0.1</v>
      </c>
      <c r="Y219" s="16" t="s">
        <v>1120</v>
      </c>
    </row>
    <row r="220">
      <c r="A220" s="6">
        <v>211.0</v>
      </c>
      <c r="B220" s="7" t="s">
        <v>1121</v>
      </c>
      <c r="C220" s="8" t="s">
        <v>1122</v>
      </c>
      <c r="D220" s="9" t="s">
        <v>59</v>
      </c>
      <c r="E220" s="7" t="s">
        <v>1123</v>
      </c>
      <c r="F220" s="9">
        <v>25.0</v>
      </c>
      <c r="G220" s="9">
        <v>1998.0</v>
      </c>
      <c r="H220" s="10">
        <v>19.0</v>
      </c>
      <c r="I220" s="11">
        <v>749.0</v>
      </c>
      <c r="J220" s="11">
        <v>39.0</v>
      </c>
      <c r="K220" s="11" t="s">
        <v>402</v>
      </c>
      <c r="L220" s="11" t="s">
        <v>287</v>
      </c>
      <c r="M220" s="10">
        <v>7.0</v>
      </c>
      <c r="N220" s="11">
        <v>62.0</v>
      </c>
      <c r="O220" s="12">
        <v>0.0</v>
      </c>
      <c r="P220" s="10">
        <v>12.0</v>
      </c>
      <c r="Q220" s="11">
        <v>26.0</v>
      </c>
      <c r="R220" s="12">
        <v>0.0</v>
      </c>
      <c r="S220" s="13">
        <v>0.059722222222222225</v>
      </c>
      <c r="T220" s="11">
        <v>19.0</v>
      </c>
      <c r="U220" s="11">
        <v>14.0</v>
      </c>
      <c r="V220" s="14">
        <f>+5</f>
        <v>5</v>
      </c>
      <c r="W220" s="14" t="str">
        <f>+0.60</f>
        <v>#ERROR!</v>
      </c>
      <c r="X220" s="14" t="str">
        <f>+1.15</f>
        <v>#ERROR!</v>
      </c>
      <c r="Y220" s="16" t="s">
        <v>1124</v>
      </c>
    </row>
    <row r="221">
      <c r="A221" s="6">
        <v>212.0</v>
      </c>
      <c r="B221" s="7" t="s">
        <v>1125</v>
      </c>
      <c r="C221" s="8" t="s">
        <v>1126</v>
      </c>
      <c r="D221" s="9" t="s">
        <v>52</v>
      </c>
      <c r="E221" s="7" t="s">
        <v>1127</v>
      </c>
      <c r="F221" s="9">
        <v>18.0</v>
      </c>
      <c r="G221" s="9">
        <v>2005.0</v>
      </c>
      <c r="H221" s="10">
        <v>3.0</v>
      </c>
      <c r="I221" s="11">
        <v>16.0</v>
      </c>
      <c r="J221" s="11">
        <v>5.0</v>
      </c>
      <c r="K221" s="11" t="s">
        <v>47</v>
      </c>
      <c r="L221" s="11" t="s">
        <v>48</v>
      </c>
      <c r="M221" s="18">
        <v>0.0</v>
      </c>
      <c r="N221" s="19"/>
      <c r="O221" s="12">
        <v>0.0</v>
      </c>
      <c r="P221" s="10">
        <v>3.0</v>
      </c>
      <c r="Q221" s="11">
        <v>5.0</v>
      </c>
      <c r="R221" s="11">
        <v>9.0</v>
      </c>
      <c r="S221" s="13">
        <v>0.041666666666666664</v>
      </c>
      <c r="T221" s="11">
        <v>1.0</v>
      </c>
      <c r="U221" s="12">
        <v>0.0</v>
      </c>
      <c r="V221" s="14">
        <f>+1</f>
        <v>1</v>
      </c>
      <c r="W221" s="14" t="str">
        <f>+5.63</f>
        <v>#ERROR!</v>
      </c>
      <c r="X221" s="14" t="str">
        <f>+6.33</f>
        <v>#ERROR!</v>
      </c>
      <c r="Y221" s="16" t="s">
        <v>1128</v>
      </c>
    </row>
    <row r="222">
      <c r="A222" s="6">
        <v>213.0</v>
      </c>
      <c r="B222" s="7" t="s">
        <v>1129</v>
      </c>
      <c r="C222" s="8" t="s">
        <v>1130</v>
      </c>
      <c r="D222" s="9" t="s">
        <v>52</v>
      </c>
      <c r="E222" s="7" t="s">
        <v>1131</v>
      </c>
      <c r="F222" s="9">
        <v>21.0</v>
      </c>
      <c r="G222" s="9">
        <v>2002.0</v>
      </c>
      <c r="H222" s="10">
        <v>2.0</v>
      </c>
      <c r="I222" s="11">
        <v>33.0</v>
      </c>
      <c r="J222" s="11">
        <v>17.0</v>
      </c>
      <c r="K222" s="11" t="s">
        <v>118</v>
      </c>
      <c r="L222" s="11" t="s">
        <v>318</v>
      </c>
      <c r="M222" s="18">
        <v>0.0</v>
      </c>
      <c r="N222" s="19"/>
      <c r="O222" s="12">
        <v>0.0</v>
      </c>
      <c r="P222" s="10">
        <v>2.0</v>
      </c>
      <c r="Q222" s="11">
        <v>17.0</v>
      </c>
      <c r="R222" s="11">
        <v>4.0</v>
      </c>
      <c r="S222" s="13">
        <v>0.125</v>
      </c>
      <c r="T222" s="12">
        <v>0.0</v>
      </c>
      <c r="U222" s="12">
        <v>0.0</v>
      </c>
      <c r="V222" s="12">
        <v>0.0</v>
      </c>
      <c r="W222" s="21">
        <v>0.0</v>
      </c>
      <c r="X222" s="15">
        <v>-0.006944444444444444</v>
      </c>
      <c r="Y222" s="16" t="s">
        <v>1132</v>
      </c>
    </row>
    <row r="223">
      <c r="A223" s="6">
        <v>214.0</v>
      </c>
      <c r="B223" s="7" t="s">
        <v>1133</v>
      </c>
      <c r="C223" s="8" t="s">
        <v>1134</v>
      </c>
      <c r="D223" s="9" t="s">
        <v>66</v>
      </c>
      <c r="E223" s="7" t="s">
        <v>1135</v>
      </c>
      <c r="F223" s="9">
        <v>26.0</v>
      </c>
      <c r="G223" s="9">
        <v>1998.0</v>
      </c>
      <c r="H223" s="10">
        <v>4.0</v>
      </c>
      <c r="I223" s="11">
        <v>191.0</v>
      </c>
      <c r="J223" s="11">
        <v>48.0</v>
      </c>
      <c r="K223" s="11" t="s">
        <v>35</v>
      </c>
      <c r="L223" s="11" t="s">
        <v>801</v>
      </c>
      <c r="M223" s="10">
        <v>2.0</v>
      </c>
      <c r="N223" s="11">
        <v>87.0</v>
      </c>
      <c r="O223" s="11">
        <v>1.0</v>
      </c>
      <c r="P223" s="10">
        <v>2.0</v>
      </c>
      <c r="Q223" s="11">
        <v>9.0</v>
      </c>
      <c r="R223" s="11">
        <v>6.0</v>
      </c>
      <c r="S223" s="13">
        <v>0.125</v>
      </c>
      <c r="T223" s="11">
        <v>5.0</v>
      </c>
      <c r="U223" s="11">
        <v>2.0</v>
      </c>
      <c r="V223" s="14">
        <f>+3</f>
        <v>3</v>
      </c>
      <c r="W223" s="14" t="str">
        <f>+1.41</f>
        <v>#ERROR!</v>
      </c>
      <c r="X223" s="14" t="str">
        <f>+1.34</f>
        <v>#ERROR!</v>
      </c>
      <c r="Y223" s="16" t="s">
        <v>1136</v>
      </c>
    </row>
    <row r="224">
      <c r="A224" s="6">
        <v>215.0</v>
      </c>
      <c r="B224" s="7" t="s">
        <v>1137</v>
      </c>
      <c r="C224" s="8" t="s">
        <v>1138</v>
      </c>
      <c r="D224" s="9" t="s">
        <v>32</v>
      </c>
      <c r="E224" s="7" t="s">
        <v>1139</v>
      </c>
      <c r="F224" s="9">
        <v>30.0</v>
      </c>
      <c r="G224" s="9">
        <v>1994.0</v>
      </c>
      <c r="H224" s="10">
        <v>29.0</v>
      </c>
      <c r="I224" s="11">
        <v>2.266</v>
      </c>
      <c r="J224" s="11">
        <v>78.0</v>
      </c>
      <c r="K224" s="11" t="s">
        <v>1140</v>
      </c>
      <c r="L224" s="11" t="s">
        <v>712</v>
      </c>
      <c r="M224" s="10">
        <v>25.0</v>
      </c>
      <c r="N224" s="11">
        <v>88.0</v>
      </c>
      <c r="O224" s="11">
        <v>17.0</v>
      </c>
      <c r="P224" s="10">
        <v>4.0</v>
      </c>
      <c r="Q224" s="11">
        <v>19.0</v>
      </c>
      <c r="R224" s="12">
        <v>0.0</v>
      </c>
      <c r="S224" s="13">
        <v>0.041666666666666664</v>
      </c>
      <c r="T224" s="11">
        <v>29.0</v>
      </c>
      <c r="U224" s="11">
        <v>49.0</v>
      </c>
      <c r="V224" s="17">
        <v>-20.0</v>
      </c>
      <c r="W224" s="15">
        <v>-0.05486111111111111</v>
      </c>
      <c r="X224" s="15">
        <v>-0.05486111111111111</v>
      </c>
      <c r="Y224" s="16" t="s">
        <v>1141</v>
      </c>
    </row>
    <row r="225">
      <c r="A225" s="6">
        <v>216.0</v>
      </c>
      <c r="B225" s="7" t="s">
        <v>1142</v>
      </c>
      <c r="C225" s="8" t="s">
        <v>1143</v>
      </c>
      <c r="D225" s="9" t="s">
        <v>59</v>
      </c>
      <c r="E225" s="7" t="s">
        <v>1144</v>
      </c>
      <c r="F225" s="9">
        <v>20.0</v>
      </c>
      <c r="G225" s="9">
        <v>2003.0</v>
      </c>
      <c r="H225" s="10">
        <v>26.0</v>
      </c>
      <c r="I225" s="11">
        <v>1.29</v>
      </c>
      <c r="J225" s="11">
        <v>50.0</v>
      </c>
      <c r="K225" s="11" t="s">
        <v>1145</v>
      </c>
      <c r="L225" s="11" t="s">
        <v>1146</v>
      </c>
      <c r="M225" s="10">
        <v>13.0</v>
      </c>
      <c r="N225" s="11">
        <v>75.0</v>
      </c>
      <c r="O225" s="11">
        <v>2.0</v>
      </c>
      <c r="P225" s="10">
        <v>13.0</v>
      </c>
      <c r="Q225" s="11">
        <v>24.0</v>
      </c>
      <c r="R225" s="11">
        <v>3.0</v>
      </c>
      <c r="S225" s="13">
        <v>0.08472222222222223</v>
      </c>
      <c r="T225" s="11">
        <v>23.0</v>
      </c>
      <c r="U225" s="11">
        <v>16.0</v>
      </c>
      <c r="V225" s="14">
        <f>+7</f>
        <v>7</v>
      </c>
      <c r="W225" s="14" t="str">
        <f>+0.49</f>
        <v>#ERROR!</v>
      </c>
      <c r="X225" s="14" t="str">
        <f>+0.36</f>
        <v>#ERROR!</v>
      </c>
      <c r="Y225" s="16" t="s">
        <v>1147</v>
      </c>
    </row>
    <row r="226">
      <c r="A226" s="6">
        <v>217.0</v>
      </c>
      <c r="B226" s="7" t="s">
        <v>1148</v>
      </c>
      <c r="C226" s="8" t="s">
        <v>1149</v>
      </c>
      <c r="D226" s="9" t="s">
        <v>52</v>
      </c>
      <c r="E226" s="7" t="s">
        <v>1150</v>
      </c>
      <c r="F226" s="9">
        <v>27.0</v>
      </c>
      <c r="G226" s="9">
        <v>1996.0</v>
      </c>
      <c r="H226" s="10">
        <v>16.0</v>
      </c>
      <c r="I226" s="11">
        <v>798.0</v>
      </c>
      <c r="J226" s="11">
        <v>50.0</v>
      </c>
      <c r="K226" s="11" t="s">
        <v>1151</v>
      </c>
      <c r="L226" s="11" t="s">
        <v>1152</v>
      </c>
      <c r="M226" s="10">
        <v>10.0</v>
      </c>
      <c r="N226" s="11">
        <v>61.0</v>
      </c>
      <c r="O226" s="11">
        <v>1.0</v>
      </c>
      <c r="P226" s="10">
        <v>6.0</v>
      </c>
      <c r="Q226" s="11">
        <v>32.0</v>
      </c>
      <c r="R226" s="11">
        <v>6.0</v>
      </c>
      <c r="S226" s="13">
        <v>0.05486111111111111</v>
      </c>
      <c r="T226" s="11">
        <v>8.0</v>
      </c>
      <c r="U226" s="11">
        <v>12.0</v>
      </c>
      <c r="V226" s="17">
        <v>-4.0</v>
      </c>
      <c r="W226" s="15">
        <v>-0.03125</v>
      </c>
      <c r="X226" s="15">
        <v>-0.043055555555555555</v>
      </c>
      <c r="Y226" s="16" t="s">
        <v>1153</v>
      </c>
    </row>
    <row r="227">
      <c r="A227" s="6">
        <v>218.0</v>
      </c>
      <c r="B227" s="7" t="s">
        <v>1154</v>
      </c>
      <c r="C227" s="8" t="s">
        <v>1155</v>
      </c>
      <c r="D227" s="9" t="s">
        <v>59</v>
      </c>
      <c r="E227" s="7" t="s">
        <v>1156</v>
      </c>
      <c r="F227" s="9">
        <v>24.0</v>
      </c>
      <c r="G227" s="9">
        <v>1999.0</v>
      </c>
      <c r="H227" s="10">
        <v>18.0</v>
      </c>
      <c r="I227" s="11">
        <v>1.453</v>
      </c>
      <c r="J227" s="11">
        <v>81.0</v>
      </c>
      <c r="K227" s="11" t="s">
        <v>1157</v>
      </c>
      <c r="L227" s="11" t="s">
        <v>521</v>
      </c>
      <c r="M227" s="10">
        <v>16.0</v>
      </c>
      <c r="N227" s="11">
        <v>88.0</v>
      </c>
      <c r="O227" s="11">
        <v>11.0</v>
      </c>
      <c r="P227" s="10">
        <v>2.0</v>
      </c>
      <c r="Q227" s="11">
        <v>25.0</v>
      </c>
      <c r="R227" s="11">
        <v>1.0</v>
      </c>
      <c r="S227" s="13">
        <v>0.06458333333333334</v>
      </c>
      <c r="T227" s="11">
        <v>30.0</v>
      </c>
      <c r="U227" s="11">
        <v>27.0</v>
      </c>
      <c r="V227" s="14">
        <f>+3</f>
        <v>3</v>
      </c>
      <c r="W227" s="14" t="str">
        <f>+0.19</f>
        <v>#ERROR!</v>
      </c>
      <c r="X227" s="14" t="str">
        <f>+0.91</f>
        <v>#ERROR!</v>
      </c>
      <c r="Y227" s="16" t="s">
        <v>1158</v>
      </c>
    </row>
    <row r="228">
      <c r="A228" s="6">
        <v>219.0</v>
      </c>
      <c r="B228" s="7" t="s">
        <v>1159</v>
      </c>
      <c r="C228" s="8" t="s">
        <v>1160</v>
      </c>
      <c r="D228" s="9" t="s">
        <v>73</v>
      </c>
      <c r="E228" s="7" t="s">
        <v>1161</v>
      </c>
      <c r="F228" s="9">
        <v>34.0</v>
      </c>
      <c r="G228" s="9">
        <v>1989.0</v>
      </c>
      <c r="H228" s="18">
        <v>0.0</v>
      </c>
      <c r="I228" s="19"/>
      <c r="J228" s="19"/>
      <c r="K228" s="19"/>
      <c r="L228" s="19"/>
      <c r="M228" s="18">
        <v>0.0</v>
      </c>
      <c r="N228" s="19"/>
      <c r="O228" s="12">
        <v>0.0</v>
      </c>
      <c r="P228" s="18">
        <v>0.0</v>
      </c>
      <c r="Q228" s="19"/>
      <c r="R228" s="11">
        <v>1.0</v>
      </c>
      <c r="S228" s="24"/>
      <c r="T228" s="19"/>
      <c r="U228" s="19"/>
      <c r="V228" s="19"/>
      <c r="W228" s="19"/>
      <c r="X228" s="19"/>
      <c r="Y228" s="16" t="s">
        <v>1162</v>
      </c>
    </row>
    <row r="229">
      <c r="A229" s="6">
        <v>220.0</v>
      </c>
      <c r="B229" s="7" t="s">
        <v>1163</v>
      </c>
      <c r="C229" s="8" t="s">
        <v>1164</v>
      </c>
      <c r="D229" s="9" t="s">
        <v>73</v>
      </c>
      <c r="E229" s="7" t="s">
        <v>1165</v>
      </c>
      <c r="F229" s="9">
        <v>33.0</v>
      </c>
      <c r="G229" s="9">
        <v>1990.0</v>
      </c>
      <c r="H229" s="10">
        <v>12.0</v>
      </c>
      <c r="I229" s="11">
        <v>1.08</v>
      </c>
      <c r="J229" s="11">
        <v>90.0</v>
      </c>
      <c r="K229" s="11" t="s">
        <v>75</v>
      </c>
      <c r="L229" s="11" t="s">
        <v>76</v>
      </c>
      <c r="M229" s="10">
        <v>12.0</v>
      </c>
      <c r="N229" s="11">
        <v>90.0</v>
      </c>
      <c r="O229" s="11">
        <v>12.0</v>
      </c>
      <c r="P229" s="18">
        <v>0.0</v>
      </c>
      <c r="Q229" s="19"/>
      <c r="R229" s="12">
        <v>0.0</v>
      </c>
      <c r="S229" s="13">
        <v>0.06388888888888888</v>
      </c>
      <c r="T229" s="11">
        <v>15.0</v>
      </c>
      <c r="U229" s="11">
        <v>32.0</v>
      </c>
      <c r="V229" s="17">
        <v>-17.0</v>
      </c>
      <c r="W229" s="15">
        <v>-0.07083333333333333</v>
      </c>
      <c r="X229" s="15">
        <v>-0.05486111111111111</v>
      </c>
      <c r="Y229" s="16" t="s">
        <v>1166</v>
      </c>
    </row>
    <row r="230">
      <c r="A230" s="6">
        <v>221.0</v>
      </c>
      <c r="B230" s="7" t="s">
        <v>1167</v>
      </c>
      <c r="C230" s="8" t="s">
        <v>1168</v>
      </c>
      <c r="D230" s="9" t="s">
        <v>73</v>
      </c>
      <c r="E230" s="7" t="s">
        <v>1169</v>
      </c>
      <c r="F230" s="9">
        <v>33.0</v>
      </c>
      <c r="G230" s="9">
        <v>1990.0</v>
      </c>
      <c r="H230" s="10">
        <v>6.0</v>
      </c>
      <c r="I230" s="11">
        <v>450.0</v>
      </c>
      <c r="J230" s="11">
        <v>75.0</v>
      </c>
      <c r="K230" s="11" t="s">
        <v>293</v>
      </c>
      <c r="L230" s="11" t="s">
        <v>1063</v>
      </c>
      <c r="M230" s="10">
        <v>4.0</v>
      </c>
      <c r="N230" s="11">
        <v>90.0</v>
      </c>
      <c r="O230" s="11">
        <v>4.0</v>
      </c>
      <c r="P230" s="10">
        <v>2.0</v>
      </c>
      <c r="Q230" s="11">
        <v>45.0</v>
      </c>
      <c r="R230" s="11">
        <v>6.0</v>
      </c>
      <c r="S230" s="13">
        <v>0.09930555555555555</v>
      </c>
      <c r="T230" s="11">
        <v>8.0</v>
      </c>
      <c r="U230" s="11">
        <v>5.0</v>
      </c>
      <c r="V230" s="14">
        <f>+3</f>
        <v>3</v>
      </c>
      <c r="W230" s="14" t="str">
        <f>+0.60</f>
        <v>#ERROR!</v>
      </c>
      <c r="X230" s="14" t="str">
        <f>+0.32</f>
        <v>#ERROR!</v>
      </c>
      <c r="Y230" s="16" t="s">
        <v>1170</v>
      </c>
    </row>
    <row r="231">
      <c r="A231" s="6">
        <v>222.0</v>
      </c>
      <c r="B231" s="7" t="s">
        <v>1171</v>
      </c>
      <c r="C231" s="8" t="s">
        <v>1172</v>
      </c>
      <c r="D231" s="9" t="s">
        <v>66</v>
      </c>
      <c r="E231" s="7" t="s">
        <v>1173</v>
      </c>
      <c r="F231" s="9">
        <v>32.0</v>
      </c>
      <c r="G231" s="9">
        <v>1991.0</v>
      </c>
      <c r="H231" s="10">
        <v>26.0</v>
      </c>
      <c r="I231" s="11">
        <v>2.332</v>
      </c>
      <c r="J231" s="11">
        <v>90.0</v>
      </c>
      <c r="K231" s="11" t="s">
        <v>323</v>
      </c>
      <c r="L231" s="11" t="s">
        <v>324</v>
      </c>
      <c r="M231" s="10">
        <v>26.0</v>
      </c>
      <c r="N231" s="11">
        <v>90.0</v>
      </c>
      <c r="O231" s="11">
        <v>25.0</v>
      </c>
      <c r="P231" s="18">
        <v>0.0</v>
      </c>
      <c r="Q231" s="19"/>
      <c r="R231" s="11">
        <v>1.0</v>
      </c>
      <c r="S231" s="13">
        <v>0.09652777777777778</v>
      </c>
      <c r="T231" s="11">
        <v>56.0</v>
      </c>
      <c r="U231" s="11">
        <v>20.0</v>
      </c>
      <c r="V231" s="14">
        <f>+36</f>
        <v>36</v>
      </c>
      <c r="W231" s="14" t="str">
        <f>+1.39</f>
        <v>#ERROR!</v>
      </c>
      <c r="X231" s="15">
        <v>-0.005555555555555556</v>
      </c>
      <c r="Y231" s="16" t="s">
        <v>1174</v>
      </c>
    </row>
    <row r="232">
      <c r="A232" s="6">
        <v>223.0</v>
      </c>
      <c r="B232" s="7" t="s">
        <v>1175</v>
      </c>
      <c r="C232" s="8" t="s">
        <v>1176</v>
      </c>
      <c r="D232" s="9" t="s">
        <v>66</v>
      </c>
      <c r="E232" s="7" t="s">
        <v>1177</v>
      </c>
      <c r="F232" s="9">
        <v>20.0</v>
      </c>
      <c r="G232" s="9">
        <v>2004.0</v>
      </c>
      <c r="H232" s="10">
        <v>16.0</v>
      </c>
      <c r="I232" s="11">
        <v>860.0</v>
      </c>
      <c r="J232" s="11">
        <v>54.0</v>
      </c>
      <c r="K232" s="11" t="s">
        <v>1178</v>
      </c>
      <c r="L232" s="11" t="s">
        <v>438</v>
      </c>
      <c r="M232" s="10">
        <v>10.0</v>
      </c>
      <c r="N232" s="11">
        <v>72.0</v>
      </c>
      <c r="O232" s="11">
        <v>3.0</v>
      </c>
      <c r="P232" s="10">
        <v>6.0</v>
      </c>
      <c r="Q232" s="11">
        <v>23.0</v>
      </c>
      <c r="R232" s="11">
        <v>5.0</v>
      </c>
      <c r="S232" s="13">
        <v>0.041666666666666664</v>
      </c>
      <c r="T232" s="11">
        <v>15.0</v>
      </c>
      <c r="U232" s="11">
        <v>24.0</v>
      </c>
      <c r="V232" s="17">
        <v>-9.0</v>
      </c>
      <c r="W232" s="15">
        <v>-0.06527777777777778</v>
      </c>
      <c r="X232" s="15">
        <v>-0.027777777777777776</v>
      </c>
      <c r="Y232" s="16" t="s">
        <v>1179</v>
      </c>
    </row>
    <row r="233">
      <c r="A233" s="6">
        <v>224.0</v>
      </c>
      <c r="B233" s="7" t="s">
        <v>1180</v>
      </c>
      <c r="C233" s="8" t="s">
        <v>1181</v>
      </c>
      <c r="D233" s="9" t="s">
        <v>66</v>
      </c>
      <c r="E233" s="7" t="s">
        <v>1182</v>
      </c>
      <c r="F233" s="9">
        <v>18.0</v>
      </c>
      <c r="G233" s="9">
        <v>2005.0</v>
      </c>
      <c r="H233" s="10">
        <v>1.0</v>
      </c>
      <c r="I233" s="11">
        <v>64.0</v>
      </c>
      <c r="J233" s="11">
        <v>64.0</v>
      </c>
      <c r="K233" s="11" t="s">
        <v>129</v>
      </c>
      <c r="L233" s="11" t="s">
        <v>180</v>
      </c>
      <c r="M233" s="10">
        <v>1.0</v>
      </c>
      <c r="N233" s="11">
        <v>64.0</v>
      </c>
      <c r="O233" s="12">
        <v>0.0</v>
      </c>
      <c r="P233" s="18">
        <v>0.0</v>
      </c>
      <c r="Q233" s="19"/>
      <c r="R233" s="11">
        <v>13.0</v>
      </c>
      <c r="S233" s="20">
        <v>0.0</v>
      </c>
      <c r="T233" s="12">
        <v>0.0</v>
      </c>
      <c r="U233" s="11">
        <v>1.0</v>
      </c>
      <c r="V233" s="17">
        <v>-1.0</v>
      </c>
      <c r="W233" s="15">
        <v>-0.07013888888888889</v>
      </c>
      <c r="X233" s="15">
        <v>-0.07916666666666666</v>
      </c>
      <c r="Y233" s="16" t="s">
        <v>1183</v>
      </c>
    </row>
    <row r="234">
      <c r="A234" s="6">
        <v>225.0</v>
      </c>
      <c r="B234" s="7" t="s">
        <v>1184</v>
      </c>
      <c r="C234" s="8" t="s">
        <v>1185</v>
      </c>
      <c r="D234" s="9" t="s">
        <v>52</v>
      </c>
      <c r="E234" s="7" t="s">
        <v>1186</v>
      </c>
      <c r="F234" s="9">
        <v>17.0</v>
      </c>
      <c r="G234" s="9">
        <v>2007.0</v>
      </c>
      <c r="H234" s="18">
        <v>0.0</v>
      </c>
      <c r="I234" s="19"/>
      <c r="J234" s="19"/>
      <c r="K234" s="19"/>
      <c r="L234" s="19"/>
      <c r="M234" s="18">
        <v>0.0</v>
      </c>
      <c r="N234" s="19"/>
      <c r="O234" s="12">
        <v>0.0</v>
      </c>
      <c r="P234" s="18">
        <v>0.0</v>
      </c>
      <c r="Q234" s="19"/>
      <c r="R234" s="11">
        <v>4.0</v>
      </c>
      <c r="S234" s="24"/>
      <c r="T234" s="19"/>
      <c r="U234" s="19"/>
      <c r="V234" s="19"/>
      <c r="W234" s="19"/>
      <c r="X234" s="19"/>
      <c r="Y234" s="16" t="s">
        <v>1187</v>
      </c>
    </row>
    <row r="235">
      <c r="A235" s="25" t="s">
        <v>0</v>
      </c>
      <c r="B235" s="26" t="s">
        <v>1</v>
      </c>
      <c r="C235" s="27" t="s">
        <v>2</v>
      </c>
      <c r="D235" s="27" t="s">
        <v>3</v>
      </c>
      <c r="E235" s="27" t="s">
        <v>4</v>
      </c>
      <c r="F235" s="27" t="s">
        <v>5</v>
      </c>
      <c r="G235" s="27" t="s">
        <v>6</v>
      </c>
      <c r="H235" s="28" t="s">
        <v>7</v>
      </c>
      <c r="I235" s="27" t="s">
        <v>8</v>
      </c>
      <c r="J235" s="27" t="s">
        <v>9</v>
      </c>
      <c r="K235" s="27" t="s">
        <v>10</v>
      </c>
      <c r="L235" s="27" t="s">
        <v>11</v>
      </c>
      <c r="M235" s="28" t="s">
        <v>12</v>
      </c>
      <c r="N235" s="27" t="s">
        <v>13</v>
      </c>
      <c r="O235" s="27" t="s">
        <v>14</v>
      </c>
      <c r="P235" s="28" t="s">
        <v>15</v>
      </c>
      <c r="Q235" s="27" t="s">
        <v>16</v>
      </c>
      <c r="R235" s="27" t="s">
        <v>17</v>
      </c>
      <c r="S235" s="28" t="s">
        <v>18</v>
      </c>
      <c r="T235" s="27" t="s">
        <v>19</v>
      </c>
      <c r="U235" s="27" t="s">
        <v>20</v>
      </c>
      <c r="V235" s="29" t="str">
        <f>+/-</f>
        <v>#ERROR!</v>
      </c>
      <c r="W235" s="29" t="str">
        <f>+/-90</f>
        <v>#ERROR!</v>
      </c>
      <c r="X235" s="27" t="s">
        <v>21</v>
      </c>
      <c r="Y235" s="28" t="s">
        <v>22</v>
      </c>
    </row>
    <row r="236">
      <c r="A236" s="6">
        <v>226.0</v>
      </c>
      <c r="B236" s="7" t="s">
        <v>1188</v>
      </c>
      <c r="C236" s="8" t="s">
        <v>1189</v>
      </c>
      <c r="D236" s="9" t="s">
        <v>32</v>
      </c>
      <c r="E236" s="7" t="s">
        <v>1190</v>
      </c>
      <c r="F236" s="9">
        <v>21.0</v>
      </c>
      <c r="G236" s="9">
        <v>2003.0</v>
      </c>
      <c r="H236" s="10">
        <v>8.0</v>
      </c>
      <c r="I236" s="11">
        <v>433.0</v>
      </c>
      <c r="J236" s="11">
        <v>54.0</v>
      </c>
      <c r="K236" s="11" t="s">
        <v>1191</v>
      </c>
      <c r="L236" s="11" t="s">
        <v>522</v>
      </c>
      <c r="M236" s="10">
        <v>5.0</v>
      </c>
      <c r="N236" s="11">
        <v>72.0</v>
      </c>
      <c r="O236" s="11">
        <v>2.0</v>
      </c>
      <c r="P236" s="10">
        <v>3.0</v>
      </c>
      <c r="Q236" s="11">
        <v>24.0</v>
      </c>
      <c r="R236" s="11">
        <v>1.0</v>
      </c>
      <c r="S236" s="13">
        <v>0.034722222222222224</v>
      </c>
      <c r="T236" s="11">
        <v>2.0</v>
      </c>
      <c r="U236" s="11">
        <v>9.0</v>
      </c>
      <c r="V236" s="17">
        <v>-7.0</v>
      </c>
      <c r="W236" s="15">
        <v>-0.07291666666666667</v>
      </c>
      <c r="X236" s="15">
        <v>-0.04583333333333333</v>
      </c>
      <c r="Y236" s="16" t="s">
        <v>1192</v>
      </c>
    </row>
    <row r="237">
      <c r="A237" s="6">
        <v>227.0</v>
      </c>
      <c r="B237" s="7" t="s">
        <v>1193</v>
      </c>
      <c r="C237" s="8" t="s">
        <v>1194</v>
      </c>
      <c r="D237" s="9" t="s">
        <v>32</v>
      </c>
      <c r="E237" s="7" t="s">
        <v>1195</v>
      </c>
      <c r="F237" s="9">
        <v>21.0</v>
      </c>
      <c r="G237" s="9">
        <v>2003.0</v>
      </c>
      <c r="H237" s="10">
        <v>8.0</v>
      </c>
      <c r="I237" s="11">
        <v>211.0</v>
      </c>
      <c r="J237" s="11">
        <v>26.0</v>
      </c>
      <c r="K237" s="11" t="s">
        <v>1196</v>
      </c>
      <c r="L237" s="11" t="s">
        <v>207</v>
      </c>
      <c r="M237" s="10">
        <v>1.0</v>
      </c>
      <c r="N237" s="11">
        <v>55.0</v>
      </c>
      <c r="O237" s="12">
        <v>0.0</v>
      </c>
      <c r="P237" s="10">
        <v>7.0</v>
      </c>
      <c r="Q237" s="11">
        <v>22.0</v>
      </c>
      <c r="R237" s="11">
        <v>3.0</v>
      </c>
      <c r="S237" s="13">
        <v>0.08541666666666667</v>
      </c>
      <c r="T237" s="11">
        <v>5.0</v>
      </c>
      <c r="U237" s="11">
        <v>5.0</v>
      </c>
      <c r="V237" s="12">
        <v>0.0</v>
      </c>
      <c r="W237" s="21">
        <v>0.0</v>
      </c>
      <c r="X237" s="15">
        <v>-0.02013888888888889</v>
      </c>
      <c r="Y237" s="16" t="s">
        <v>1197</v>
      </c>
    </row>
    <row r="238">
      <c r="A238" s="6">
        <v>228.0</v>
      </c>
      <c r="B238" s="7" t="s">
        <v>1198</v>
      </c>
      <c r="C238" s="8" t="s">
        <v>1199</v>
      </c>
      <c r="D238" s="9" t="s">
        <v>66</v>
      </c>
      <c r="E238" s="7" t="s">
        <v>1200</v>
      </c>
      <c r="F238" s="9">
        <v>18.0</v>
      </c>
      <c r="G238" s="9">
        <v>2005.0</v>
      </c>
      <c r="H238" s="10">
        <v>30.0</v>
      </c>
      <c r="I238" s="11">
        <v>2.541</v>
      </c>
      <c r="J238" s="11">
        <v>85.0</v>
      </c>
      <c r="K238" s="11" t="s">
        <v>1201</v>
      </c>
      <c r="L238" s="11" t="s">
        <v>1202</v>
      </c>
      <c r="M238" s="10">
        <v>28.0</v>
      </c>
      <c r="N238" s="11">
        <v>87.0</v>
      </c>
      <c r="O238" s="11">
        <v>22.0</v>
      </c>
      <c r="P238" s="10">
        <v>2.0</v>
      </c>
      <c r="Q238" s="11">
        <v>50.0</v>
      </c>
      <c r="R238" s="12">
        <v>0.0</v>
      </c>
      <c r="S238" s="13">
        <v>0.06736111111111111</v>
      </c>
      <c r="T238" s="11">
        <v>44.0</v>
      </c>
      <c r="U238" s="11">
        <v>42.0</v>
      </c>
      <c r="V238" s="14">
        <f>+2</f>
        <v>2</v>
      </c>
      <c r="W238" s="14" t="str">
        <f>+0.07</f>
        <v>#ERROR!</v>
      </c>
      <c r="X238" s="14" t="str">
        <f>+0.64</f>
        <v>#ERROR!</v>
      </c>
      <c r="Y238" s="16" t="s">
        <v>1203</v>
      </c>
    </row>
    <row r="239">
      <c r="A239" s="6">
        <v>229.0</v>
      </c>
      <c r="B239" s="7" t="s">
        <v>1204</v>
      </c>
      <c r="C239" s="8" t="s">
        <v>1205</v>
      </c>
      <c r="D239" s="9" t="s">
        <v>284</v>
      </c>
      <c r="E239" s="7" t="s">
        <v>1206</v>
      </c>
      <c r="F239" s="9">
        <v>22.0</v>
      </c>
      <c r="G239" s="9">
        <v>2001.0</v>
      </c>
      <c r="H239" s="10">
        <v>30.0</v>
      </c>
      <c r="I239" s="11">
        <v>2.699</v>
      </c>
      <c r="J239" s="11">
        <v>90.0</v>
      </c>
      <c r="K239" s="11" t="s">
        <v>1207</v>
      </c>
      <c r="L239" s="11" t="s">
        <v>673</v>
      </c>
      <c r="M239" s="10">
        <v>30.0</v>
      </c>
      <c r="N239" s="11">
        <v>90.0</v>
      </c>
      <c r="O239" s="11">
        <v>29.0</v>
      </c>
      <c r="P239" s="18">
        <v>0.0</v>
      </c>
      <c r="Q239" s="19"/>
      <c r="R239" s="12">
        <v>0.0</v>
      </c>
      <c r="S239" s="13">
        <v>0.050694444444444445</v>
      </c>
      <c r="T239" s="11">
        <v>46.0</v>
      </c>
      <c r="U239" s="11">
        <v>53.0</v>
      </c>
      <c r="V239" s="17">
        <v>-7.0</v>
      </c>
      <c r="W239" s="15">
        <v>-0.01597222222222222</v>
      </c>
      <c r="X239" s="15">
        <v>-0.01597222222222222</v>
      </c>
      <c r="Y239" s="16" t="s">
        <v>1208</v>
      </c>
    </row>
    <row r="240">
      <c r="A240" s="6">
        <v>230.0</v>
      </c>
      <c r="B240" s="7" t="s">
        <v>1209</v>
      </c>
      <c r="C240" s="8" t="s">
        <v>1210</v>
      </c>
      <c r="D240" s="9" t="s">
        <v>45</v>
      </c>
      <c r="E240" s="7" t="s">
        <v>1211</v>
      </c>
      <c r="F240" s="9">
        <v>22.0</v>
      </c>
      <c r="G240" s="9">
        <v>2001.0</v>
      </c>
      <c r="H240" s="10">
        <v>23.0</v>
      </c>
      <c r="I240" s="11">
        <v>759.0</v>
      </c>
      <c r="J240" s="11">
        <v>33.0</v>
      </c>
      <c r="K240" s="11" t="s">
        <v>1212</v>
      </c>
      <c r="L240" s="11" t="s">
        <v>484</v>
      </c>
      <c r="M240" s="10">
        <v>5.0</v>
      </c>
      <c r="N240" s="11">
        <v>87.0</v>
      </c>
      <c r="O240" s="11">
        <v>4.0</v>
      </c>
      <c r="P240" s="10">
        <v>18.0</v>
      </c>
      <c r="Q240" s="11">
        <v>18.0</v>
      </c>
      <c r="R240" s="11">
        <v>3.0</v>
      </c>
      <c r="S240" s="13">
        <v>0.041666666666666664</v>
      </c>
      <c r="T240" s="11">
        <v>17.0</v>
      </c>
      <c r="U240" s="11">
        <v>16.0</v>
      </c>
      <c r="V240" s="14">
        <f>+1</f>
        <v>1</v>
      </c>
      <c r="W240" s="14" t="str">
        <f>+0.12</f>
        <v>#ERROR!</v>
      </c>
      <c r="X240" s="14" t="str">
        <f>+1.09</f>
        <v>#ERROR!</v>
      </c>
      <c r="Y240" s="16" t="s">
        <v>1213</v>
      </c>
    </row>
    <row r="241">
      <c r="A241" s="6">
        <v>231.0</v>
      </c>
      <c r="B241" s="7" t="s">
        <v>1214</v>
      </c>
      <c r="C241" s="8" t="s">
        <v>1215</v>
      </c>
      <c r="D241" s="9" t="s">
        <v>45</v>
      </c>
      <c r="E241" s="7" t="s">
        <v>1216</v>
      </c>
      <c r="F241" s="9">
        <v>28.0</v>
      </c>
      <c r="G241" s="9">
        <v>1995.0</v>
      </c>
      <c r="H241" s="10">
        <v>29.0</v>
      </c>
      <c r="I241" s="11">
        <v>1.006</v>
      </c>
      <c r="J241" s="11">
        <v>35.0</v>
      </c>
      <c r="K241" s="11" t="s">
        <v>1217</v>
      </c>
      <c r="L241" s="11" t="s">
        <v>1218</v>
      </c>
      <c r="M241" s="10">
        <v>10.0</v>
      </c>
      <c r="N241" s="11">
        <v>70.0</v>
      </c>
      <c r="O241" s="11">
        <v>2.0</v>
      </c>
      <c r="P241" s="10">
        <v>19.0</v>
      </c>
      <c r="Q241" s="11">
        <v>16.0</v>
      </c>
      <c r="R241" s="11">
        <v>1.0</v>
      </c>
      <c r="S241" s="13">
        <v>0.08472222222222223</v>
      </c>
      <c r="T241" s="11">
        <v>14.0</v>
      </c>
      <c r="U241" s="11">
        <v>15.0</v>
      </c>
      <c r="V241" s="17">
        <v>-1.0</v>
      </c>
      <c r="W241" s="15">
        <v>-0.00625</v>
      </c>
      <c r="X241" s="15">
        <v>-0.043055555555555555</v>
      </c>
      <c r="Y241" s="16" t="s">
        <v>1219</v>
      </c>
    </row>
    <row r="242">
      <c r="A242" s="6">
        <v>232.0</v>
      </c>
      <c r="B242" s="7" t="s">
        <v>1220</v>
      </c>
      <c r="C242" s="8" t="s">
        <v>1221</v>
      </c>
      <c r="D242" s="9" t="s">
        <v>32</v>
      </c>
      <c r="E242" s="7" t="s">
        <v>1222</v>
      </c>
      <c r="F242" s="9">
        <v>24.0</v>
      </c>
      <c r="G242" s="9">
        <v>2000.0</v>
      </c>
      <c r="H242" s="10">
        <v>6.0</v>
      </c>
      <c r="I242" s="11">
        <v>113.0</v>
      </c>
      <c r="J242" s="11">
        <v>19.0</v>
      </c>
      <c r="K242" s="11" t="s">
        <v>837</v>
      </c>
      <c r="L242" s="11" t="s">
        <v>624</v>
      </c>
      <c r="M242" s="18">
        <v>0.0</v>
      </c>
      <c r="N242" s="19"/>
      <c r="O242" s="12">
        <v>0.0</v>
      </c>
      <c r="P242" s="10">
        <v>6.0</v>
      </c>
      <c r="Q242" s="11">
        <v>19.0</v>
      </c>
      <c r="R242" s="11">
        <v>5.0</v>
      </c>
      <c r="S242" s="13">
        <v>0.05347222222222222</v>
      </c>
      <c r="T242" s="11">
        <v>1.0</v>
      </c>
      <c r="U242" s="11">
        <v>2.0</v>
      </c>
      <c r="V242" s="17">
        <v>-1.0</v>
      </c>
      <c r="W242" s="15">
        <v>-0.05555555555555555</v>
      </c>
      <c r="X242" s="15">
        <v>-0.04097222222222222</v>
      </c>
      <c r="Y242" s="16" t="s">
        <v>1223</v>
      </c>
    </row>
    <row r="243">
      <c r="A243" s="6">
        <v>233.0</v>
      </c>
      <c r="B243" s="7" t="s">
        <v>1224</v>
      </c>
      <c r="C243" s="8" t="s">
        <v>1225</v>
      </c>
      <c r="D243" s="9" t="s">
        <v>66</v>
      </c>
      <c r="E243" s="7" t="s">
        <v>1226</v>
      </c>
      <c r="F243" s="9">
        <v>41.0</v>
      </c>
      <c r="G243" s="9">
        <v>1982.0</v>
      </c>
      <c r="H243" s="10">
        <v>17.0</v>
      </c>
      <c r="I243" s="11">
        <v>1.438</v>
      </c>
      <c r="J243" s="11">
        <v>85.0</v>
      </c>
      <c r="K243" s="11" t="s">
        <v>1227</v>
      </c>
      <c r="L243" s="11" t="s">
        <v>1191</v>
      </c>
      <c r="M243" s="10">
        <v>16.0</v>
      </c>
      <c r="N243" s="11">
        <v>89.0</v>
      </c>
      <c r="O243" s="11">
        <v>14.0</v>
      </c>
      <c r="P243" s="10">
        <v>1.0</v>
      </c>
      <c r="Q243" s="11">
        <v>8.0</v>
      </c>
      <c r="R243" s="11">
        <v>4.0</v>
      </c>
      <c r="S243" s="13">
        <v>0.05416666666666667</v>
      </c>
      <c r="T243" s="11">
        <v>14.0</v>
      </c>
      <c r="U243" s="11">
        <v>26.0</v>
      </c>
      <c r="V243" s="17">
        <v>-12.0</v>
      </c>
      <c r="W243" s="15">
        <v>-0.052083333333333336</v>
      </c>
      <c r="X243" s="15">
        <v>-0.022222222222222223</v>
      </c>
      <c r="Y243" s="16" t="s">
        <v>1228</v>
      </c>
    </row>
    <row r="244">
      <c r="A244" s="6">
        <v>234.0</v>
      </c>
      <c r="B244" s="7" t="s">
        <v>1229</v>
      </c>
      <c r="C244" s="8" t="s">
        <v>1230</v>
      </c>
      <c r="D244" s="9" t="s">
        <v>66</v>
      </c>
      <c r="E244" s="7" t="s">
        <v>1231</v>
      </c>
      <c r="F244" s="9">
        <v>18.0</v>
      </c>
      <c r="G244" s="9">
        <v>2005.0</v>
      </c>
      <c r="H244" s="18">
        <v>0.0</v>
      </c>
      <c r="I244" s="19"/>
      <c r="J244" s="19"/>
      <c r="K244" s="19"/>
      <c r="L244" s="19"/>
      <c r="M244" s="18">
        <v>0.0</v>
      </c>
      <c r="N244" s="19"/>
      <c r="O244" s="12">
        <v>0.0</v>
      </c>
      <c r="P244" s="18">
        <v>0.0</v>
      </c>
      <c r="Q244" s="19"/>
      <c r="R244" s="11">
        <v>7.0</v>
      </c>
      <c r="S244" s="24"/>
      <c r="T244" s="19"/>
      <c r="U244" s="19"/>
      <c r="V244" s="19"/>
      <c r="W244" s="19"/>
      <c r="X244" s="19"/>
      <c r="Y244" s="16" t="s">
        <v>1232</v>
      </c>
    </row>
    <row r="245">
      <c r="A245" s="6">
        <v>235.0</v>
      </c>
      <c r="B245" s="7" t="s">
        <v>1233</v>
      </c>
      <c r="C245" s="8" t="s">
        <v>1234</v>
      </c>
      <c r="D245" s="9" t="s">
        <v>45</v>
      </c>
      <c r="E245" s="7" t="s">
        <v>1235</v>
      </c>
      <c r="F245" s="9">
        <v>25.0</v>
      </c>
      <c r="G245" s="9">
        <v>1998.0</v>
      </c>
      <c r="H245" s="10">
        <v>23.0</v>
      </c>
      <c r="I245" s="11">
        <v>627.0</v>
      </c>
      <c r="J245" s="11">
        <v>27.0</v>
      </c>
      <c r="K245" s="11" t="s">
        <v>1236</v>
      </c>
      <c r="L245" s="11" t="s">
        <v>1049</v>
      </c>
      <c r="M245" s="10">
        <v>4.0</v>
      </c>
      <c r="N245" s="11">
        <v>76.0</v>
      </c>
      <c r="O245" s="12">
        <v>0.0</v>
      </c>
      <c r="P245" s="10">
        <v>19.0</v>
      </c>
      <c r="Q245" s="11">
        <v>17.0</v>
      </c>
      <c r="R245" s="11">
        <v>2.0</v>
      </c>
      <c r="S245" s="13">
        <v>0.06319444444444444</v>
      </c>
      <c r="T245" s="11">
        <v>10.0</v>
      </c>
      <c r="U245" s="11">
        <v>10.0</v>
      </c>
      <c r="V245" s="12">
        <v>0.0</v>
      </c>
      <c r="W245" s="21">
        <v>0.0</v>
      </c>
      <c r="X245" s="14" t="str">
        <f>+0.43</f>
        <v>#ERROR!</v>
      </c>
      <c r="Y245" s="16" t="s">
        <v>1237</v>
      </c>
    </row>
    <row r="246">
      <c r="A246" s="6">
        <v>236.0</v>
      </c>
      <c r="B246" s="7" t="s">
        <v>1238</v>
      </c>
      <c r="C246" s="8" t="s">
        <v>1239</v>
      </c>
      <c r="D246" s="9" t="s">
        <v>25</v>
      </c>
      <c r="E246" s="7" t="s">
        <v>1240</v>
      </c>
      <c r="F246" s="9">
        <v>26.0</v>
      </c>
      <c r="G246" s="9">
        <v>1997.0</v>
      </c>
      <c r="H246" s="10">
        <v>26.0</v>
      </c>
      <c r="I246" s="11">
        <v>1.902</v>
      </c>
      <c r="J246" s="11">
        <v>73.0</v>
      </c>
      <c r="K246" s="11" t="s">
        <v>99</v>
      </c>
      <c r="L246" s="11" t="s">
        <v>100</v>
      </c>
      <c r="M246" s="10">
        <v>22.0</v>
      </c>
      <c r="N246" s="11">
        <v>82.0</v>
      </c>
      <c r="O246" s="11">
        <v>12.0</v>
      </c>
      <c r="P246" s="10">
        <v>4.0</v>
      </c>
      <c r="Q246" s="11">
        <v>26.0</v>
      </c>
      <c r="R246" s="12">
        <v>0.0</v>
      </c>
      <c r="S246" s="13">
        <v>0.07916666666666666</v>
      </c>
      <c r="T246" s="11">
        <v>32.0</v>
      </c>
      <c r="U246" s="11">
        <v>26.0</v>
      </c>
      <c r="V246" s="14">
        <f>+6</f>
        <v>6</v>
      </c>
      <c r="W246" s="14" t="str">
        <f>+0.28</f>
        <v>#ERROR!</v>
      </c>
      <c r="X246" s="15">
        <v>-0.003472222222222222</v>
      </c>
      <c r="Y246" s="16" t="s">
        <v>1241</v>
      </c>
    </row>
    <row r="247">
      <c r="A247" s="6">
        <v>237.0</v>
      </c>
      <c r="B247" s="7" t="s">
        <v>1242</v>
      </c>
      <c r="C247" s="8" t="s">
        <v>1243</v>
      </c>
      <c r="D247" s="9" t="s">
        <v>52</v>
      </c>
      <c r="E247" s="7" t="s">
        <v>1244</v>
      </c>
      <c r="F247" s="9">
        <v>23.0</v>
      </c>
      <c r="G247" s="9">
        <v>2000.0</v>
      </c>
      <c r="H247" s="10">
        <v>2.0</v>
      </c>
      <c r="I247" s="11">
        <v>27.0</v>
      </c>
      <c r="J247" s="11">
        <v>14.0</v>
      </c>
      <c r="K247" s="11" t="s">
        <v>577</v>
      </c>
      <c r="L247" s="11" t="s">
        <v>195</v>
      </c>
      <c r="M247" s="18">
        <v>0.0</v>
      </c>
      <c r="N247" s="19"/>
      <c r="O247" s="12">
        <v>0.0</v>
      </c>
      <c r="P247" s="10">
        <v>2.0</v>
      </c>
      <c r="Q247" s="11">
        <v>14.0</v>
      </c>
      <c r="R247" s="11">
        <v>2.0</v>
      </c>
      <c r="S247" s="13">
        <v>0.034722222222222224</v>
      </c>
      <c r="T247" s="12">
        <v>0.0</v>
      </c>
      <c r="U247" s="12">
        <v>0.0</v>
      </c>
      <c r="V247" s="12">
        <v>0.0</v>
      </c>
      <c r="W247" s="21">
        <v>0.0</v>
      </c>
      <c r="X247" s="14" t="str">
        <f>+0.57</f>
        <v>#ERROR!</v>
      </c>
      <c r="Y247" s="16" t="s">
        <v>1245</v>
      </c>
    </row>
    <row r="248">
      <c r="A248" s="6">
        <v>238.0</v>
      </c>
      <c r="B248" s="7" t="s">
        <v>1246</v>
      </c>
      <c r="C248" s="8" t="s">
        <v>1247</v>
      </c>
      <c r="D248" s="9" t="s">
        <v>66</v>
      </c>
      <c r="E248" s="7" t="s">
        <v>1248</v>
      </c>
      <c r="F248" s="9">
        <v>31.0</v>
      </c>
      <c r="G248" s="9">
        <v>1992.0</v>
      </c>
      <c r="H248" s="10">
        <v>7.0</v>
      </c>
      <c r="I248" s="11">
        <v>193.0</v>
      </c>
      <c r="J248" s="11">
        <v>28.0</v>
      </c>
      <c r="K248" s="11" t="s">
        <v>35</v>
      </c>
      <c r="L248" s="11" t="s">
        <v>801</v>
      </c>
      <c r="M248" s="10">
        <v>1.0</v>
      </c>
      <c r="N248" s="11">
        <v>48.0</v>
      </c>
      <c r="O248" s="12">
        <v>0.0</v>
      </c>
      <c r="P248" s="10">
        <v>6.0</v>
      </c>
      <c r="Q248" s="11">
        <v>24.0</v>
      </c>
      <c r="R248" s="12">
        <v>0.0</v>
      </c>
      <c r="S248" s="13">
        <v>0.03958333333333333</v>
      </c>
      <c r="T248" s="11">
        <v>5.0</v>
      </c>
      <c r="U248" s="11">
        <v>5.0</v>
      </c>
      <c r="V248" s="12">
        <v>0.0</v>
      </c>
      <c r="W248" s="21">
        <v>0.0</v>
      </c>
      <c r="X248" s="14" t="str">
        <f>+0.36</f>
        <v>#ERROR!</v>
      </c>
      <c r="Y248" s="16" t="s">
        <v>1249</v>
      </c>
    </row>
    <row r="249">
      <c r="A249" s="6">
        <v>239.0</v>
      </c>
      <c r="B249" s="7" t="s">
        <v>1250</v>
      </c>
      <c r="C249" s="8" t="s">
        <v>1251</v>
      </c>
      <c r="D249" s="9" t="s">
        <v>52</v>
      </c>
      <c r="E249" s="7" t="s">
        <v>1252</v>
      </c>
      <c r="F249" s="9">
        <v>28.0</v>
      </c>
      <c r="G249" s="9">
        <v>1995.0</v>
      </c>
      <c r="H249" s="10">
        <v>29.0</v>
      </c>
      <c r="I249" s="11">
        <v>2.245</v>
      </c>
      <c r="J249" s="11">
        <v>77.0</v>
      </c>
      <c r="K249" s="11" t="s">
        <v>1253</v>
      </c>
      <c r="L249" s="11" t="s">
        <v>701</v>
      </c>
      <c r="M249" s="10">
        <v>25.0</v>
      </c>
      <c r="N249" s="11">
        <v>86.0</v>
      </c>
      <c r="O249" s="11">
        <v>13.0</v>
      </c>
      <c r="P249" s="10">
        <v>4.0</v>
      </c>
      <c r="Q249" s="11">
        <v>24.0</v>
      </c>
      <c r="R249" s="12">
        <v>0.0</v>
      </c>
      <c r="S249" s="13">
        <v>0.10138888888888889</v>
      </c>
      <c r="T249" s="11">
        <v>43.0</v>
      </c>
      <c r="U249" s="11">
        <v>20.0</v>
      </c>
      <c r="V249" s="14">
        <f>+23</f>
        <v>23</v>
      </c>
      <c r="W249" s="14" t="str">
        <f>+0.92</f>
        <v>#ERROR!</v>
      </c>
      <c r="X249" s="14" t="str">
        <f>+0.92</f>
        <v>#ERROR!</v>
      </c>
      <c r="Y249" s="16" t="s">
        <v>1254</v>
      </c>
    </row>
    <row r="250">
      <c r="A250" s="6">
        <v>240.0</v>
      </c>
      <c r="B250" s="7" t="s">
        <v>1255</v>
      </c>
      <c r="C250" s="8" t="s">
        <v>1256</v>
      </c>
      <c r="D250" s="9" t="s">
        <v>66</v>
      </c>
      <c r="E250" s="7" t="s">
        <v>1257</v>
      </c>
      <c r="F250" s="9">
        <v>28.0</v>
      </c>
      <c r="G250" s="9">
        <v>1995.0</v>
      </c>
      <c r="H250" s="10">
        <v>12.0</v>
      </c>
      <c r="I250" s="11">
        <v>955.0</v>
      </c>
      <c r="J250" s="11">
        <v>80.0</v>
      </c>
      <c r="K250" s="11" t="s">
        <v>1258</v>
      </c>
      <c r="L250" s="11" t="s">
        <v>901</v>
      </c>
      <c r="M250" s="10">
        <v>12.0</v>
      </c>
      <c r="N250" s="11">
        <v>80.0</v>
      </c>
      <c r="O250" s="11">
        <v>9.0</v>
      </c>
      <c r="P250" s="18">
        <v>0.0</v>
      </c>
      <c r="Q250" s="19"/>
      <c r="R250" s="12">
        <v>0.0</v>
      </c>
      <c r="S250" s="13">
        <v>0.08888888888888889</v>
      </c>
      <c r="T250" s="11">
        <v>22.0</v>
      </c>
      <c r="U250" s="11">
        <v>8.0</v>
      </c>
      <c r="V250" s="14">
        <f>+14</f>
        <v>14</v>
      </c>
      <c r="W250" s="14" t="str">
        <f>+1.32</f>
        <v>#ERROR!</v>
      </c>
      <c r="X250" s="14" t="str">
        <f>+1.53</f>
        <v>#ERROR!</v>
      </c>
      <c r="Y250" s="16" t="s">
        <v>1259</v>
      </c>
    </row>
    <row r="251">
      <c r="A251" s="6">
        <v>241.0</v>
      </c>
      <c r="B251" s="7" t="s">
        <v>1260</v>
      </c>
      <c r="C251" s="8" t="s">
        <v>1261</v>
      </c>
      <c r="D251" s="9" t="s">
        <v>32</v>
      </c>
      <c r="E251" s="7" t="s">
        <v>1262</v>
      </c>
      <c r="F251" s="9">
        <v>30.0</v>
      </c>
      <c r="G251" s="9">
        <v>1993.0</v>
      </c>
      <c r="H251" s="10">
        <v>24.0</v>
      </c>
      <c r="I251" s="11">
        <v>1.307</v>
      </c>
      <c r="J251" s="11">
        <v>54.0</v>
      </c>
      <c r="K251" s="11" t="s">
        <v>140</v>
      </c>
      <c r="L251" s="11" t="s">
        <v>141</v>
      </c>
      <c r="M251" s="10">
        <v>16.0</v>
      </c>
      <c r="N251" s="11">
        <v>70.0</v>
      </c>
      <c r="O251" s="11">
        <v>1.0</v>
      </c>
      <c r="P251" s="10">
        <v>8.0</v>
      </c>
      <c r="Q251" s="11">
        <v>23.0</v>
      </c>
      <c r="R251" s="11">
        <v>1.0</v>
      </c>
      <c r="S251" s="13">
        <v>0.05486111111111111</v>
      </c>
      <c r="T251" s="11">
        <v>13.0</v>
      </c>
      <c r="U251" s="11">
        <v>21.0</v>
      </c>
      <c r="V251" s="17">
        <v>-8.0</v>
      </c>
      <c r="W251" s="15">
        <v>-0.03819444444444445</v>
      </c>
      <c r="X251" s="14" t="str">
        <f>+0.03</f>
        <v>#ERROR!</v>
      </c>
      <c r="Y251" s="16" t="s">
        <v>1263</v>
      </c>
    </row>
    <row r="252">
      <c r="A252" s="6">
        <v>242.0</v>
      </c>
      <c r="B252" s="7" t="s">
        <v>1264</v>
      </c>
      <c r="C252" s="22"/>
      <c r="D252" s="9" t="s">
        <v>52</v>
      </c>
      <c r="E252" s="7" t="s">
        <v>1265</v>
      </c>
      <c r="F252" s="23"/>
      <c r="G252" s="23"/>
      <c r="H252" s="10">
        <v>7.0</v>
      </c>
      <c r="I252" s="11">
        <v>75.0</v>
      </c>
      <c r="J252" s="11">
        <v>11.0</v>
      </c>
      <c r="K252" s="11" t="s">
        <v>1266</v>
      </c>
      <c r="L252" s="11" t="s">
        <v>245</v>
      </c>
      <c r="M252" s="18">
        <v>0.0</v>
      </c>
      <c r="N252" s="19"/>
      <c r="O252" s="12">
        <v>0.0</v>
      </c>
      <c r="P252" s="10">
        <v>7.0</v>
      </c>
      <c r="Q252" s="11">
        <v>11.0</v>
      </c>
      <c r="R252" s="11">
        <v>23.0</v>
      </c>
      <c r="S252" s="13">
        <v>0.11319444444444444</v>
      </c>
      <c r="T252" s="12">
        <v>0.0</v>
      </c>
      <c r="U252" s="11">
        <v>2.0</v>
      </c>
      <c r="V252" s="17">
        <v>-2.0</v>
      </c>
      <c r="W252" s="15">
        <v>-0.1111111111111111</v>
      </c>
      <c r="X252" s="15">
        <v>-0.1375</v>
      </c>
      <c r="Y252" s="16" t="s">
        <v>1267</v>
      </c>
    </row>
    <row r="253">
      <c r="A253" s="6">
        <v>243.0</v>
      </c>
      <c r="B253" s="7" t="s">
        <v>1268</v>
      </c>
      <c r="C253" s="8" t="s">
        <v>1269</v>
      </c>
      <c r="D253" s="9" t="s">
        <v>66</v>
      </c>
      <c r="E253" s="7" t="s">
        <v>1270</v>
      </c>
      <c r="F253" s="9">
        <v>25.0</v>
      </c>
      <c r="G253" s="9">
        <v>1999.0</v>
      </c>
      <c r="H253" s="10">
        <v>15.0</v>
      </c>
      <c r="I253" s="11">
        <v>476.0</v>
      </c>
      <c r="J253" s="11">
        <v>32.0</v>
      </c>
      <c r="K253" s="11" t="s">
        <v>1271</v>
      </c>
      <c r="L253" s="11" t="s">
        <v>811</v>
      </c>
      <c r="M253" s="10">
        <v>5.0</v>
      </c>
      <c r="N253" s="11">
        <v>84.0</v>
      </c>
      <c r="O253" s="11">
        <v>4.0</v>
      </c>
      <c r="P253" s="10">
        <v>10.0</v>
      </c>
      <c r="Q253" s="11">
        <v>5.0</v>
      </c>
      <c r="R253" s="11">
        <v>15.0</v>
      </c>
      <c r="S253" s="13">
        <v>0.04652777777777778</v>
      </c>
      <c r="T253" s="11">
        <v>5.0</v>
      </c>
      <c r="U253" s="11">
        <v>9.0</v>
      </c>
      <c r="V253" s="17">
        <v>-4.0</v>
      </c>
      <c r="W253" s="15">
        <v>-0.05277777777777778</v>
      </c>
      <c r="X253" s="15">
        <v>-0.01597222222222222</v>
      </c>
      <c r="Y253" s="16" t="s">
        <v>1272</v>
      </c>
    </row>
    <row r="254">
      <c r="A254" s="6">
        <v>244.0</v>
      </c>
      <c r="B254" s="7" t="s">
        <v>1273</v>
      </c>
      <c r="C254" s="8" t="s">
        <v>1274</v>
      </c>
      <c r="D254" s="9" t="s">
        <v>32</v>
      </c>
      <c r="E254" s="7" t="s">
        <v>1275</v>
      </c>
      <c r="F254" s="9">
        <v>19.0</v>
      </c>
      <c r="G254" s="9">
        <v>2004.0</v>
      </c>
      <c r="H254" s="10">
        <v>1.0</v>
      </c>
      <c r="I254" s="11">
        <v>1.0</v>
      </c>
      <c r="J254" s="11">
        <v>1.0</v>
      </c>
      <c r="K254" s="12" t="s">
        <v>470</v>
      </c>
      <c r="L254" s="12" t="s">
        <v>470</v>
      </c>
      <c r="M254" s="18">
        <v>0.0</v>
      </c>
      <c r="N254" s="19"/>
      <c r="O254" s="12">
        <v>0.0</v>
      </c>
      <c r="P254" s="10">
        <v>1.0</v>
      </c>
      <c r="Q254" s="11">
        <v>1.0</v>
      </c>
      <c r="R254" s="12">
        <v>0.0</v>
      </c>
      <c r="S254" s="13">
        <v>0.125</v>
      </c>
      <c r="T254" s="12">
        <v>0.0</v>
      </c>
      <c r="U254" s="12">
        <v>0.0</v>
      </c>
      <c r="V254" s="12">
        <v>0.0</v>
      </c>
      <c r="W254" s="21">
        <v>0.0</v>
      </c>
      <c r="X254" s="14" t="str">
        <f>+0.70</f>
        <v>#ERROR!</v>
      </c>
      <c r="Y254" s="16" t="s">
        <v>1276</v>
      </c>
    </row>
    <row r="255">
      <c r="A255" s="6">
        <v>245.0</v>
      </c>
      <c r="B255" s="7" t="s">
        <v>1277</v>
      </c>
      <c r="C255" s="8" t="s">
        <v>1278</v>
      </c>
      <c r="D255" s="9" t="s">
        <v>32</v>
      </c>
      <c r="E255" s="7" t="s">
        <v>1279</v>
      </c>
      <c r="F255" s="9">
        <v>25.0</v>
      </c>
      <c r="G255" s="9">
        <v>1998.0</v>
      </c>
      <c r="H255" s="18">
        <v>0.0</v>
      </c>
      <c r="I255" s="19"/>
      <c r="J255" s="19"/>
      <c r="K255" s="19"/>
      <c r="L255" s="19"/>
      <c r="M255" s="18">
        <v>0.0</v>
      </c>
      <c r="N255" s="19"/>
      <c r="O255" s="12">
        <v>0.0</v>
      </c>
      <c r="P255" s="18">
        <v>0.0</v>
      </c>
      <c r="Q255" s="19"/>
      <c r="R255" s="11">
        <v>1.0</v>
      </c>
      <c r="S255" s="24"/>
      <c r="T255" s="19"/>
      <c r="U255" s="19"/>
      <c r="V255" s="19"/>
      <c r="W255" s="19"/>
      <c r="X255" s="19"/>
      <c r="Y255" s="16" t="s">
        <v>1280</v>
      </c>
    </row>
    <row r="256">
      <c r="A256" s="6">
        <v>246.0</v>
      </c>
      <c r="B256" s="7" t="s">
        <v>1281</v>
      </c>
      <c r="C256" s="8" t="s">
        <v>1282</v>
      </c>
      <c r="D256" s="9" t="s">
        <v>66</v>
      </c>
      <c r="E256" s="7" t="s">
        <v>1283</v>
      </c>
      <c r="F256" s="9">
        <v>17.0</v>
      </c>
      <c r="G256" s="9">
        <v>2006.0</v>
      </c>
      <c r="H256" s="18">
        <v>0.0</v>
      </c>
      <c r="I256" s="19"/>
      <c r="J256" s="19"/>
      <c r="K256" s="19"/>
      <c r="L256" s="19"/>
      <c r="M256" s="18">
        <v>0.0</v>
      </c>
      <c r="N256" s="19"/>
      <c r="O256" s="12">
        <v>0.0</v>
      </c>
      <c r="P256" s="18">
        <v>0.0</v>
      </c>
      <c r="Q256" s="19"/>
      <c r="R256" s="11">
        <v>1.0</v>
      </c>
      <c r="S256" s="24"/>
      <c r="T256" s="19"/>
      <c r="U256" s="19"/>
      <c r="V256" s="19"/>
      <c r="W256" s="19"/>
      <c r="X256" s="19"/>
      <c r="Y256" s="16" t="s">
        <v>1284</v>
      </c>
    </row>
    <row r="257">
      <c r="A257" s="6">
        <v>247.0</v>
      </c>
      <c r="B257" s="7" t="s">
        <v>1285</v>
      </c>
      <c r="C257" s="8" t="s">
        <v>1286</v>
      </c>
      <c r="D257" s="9" t="s">
        <v>59</v>
      </c>
      <c r="E257" s="7" t="s">
        <v>1287</v>
      </c>
      <c r="F257" s="9">
        <v>23.0</v>
      </c>
      <c r="G257" s="9">
        <v>2000.0</v>
      </c>
      <c r="H257" s="10">
        <v>15.0</v>
      </c>
      <c r="I257" s="11">
        <v>484.0</v>
      </c>
      <c r="J257" s="11">
        <v>32.0</v>
      </c>
      <c r="K257" s="11" t="s">
        <v>1288</v>
      </c>
      <c r="L257" s="11" t="s">
        <v>1289</v>
      </c>
      <c r="M257" s="10">
        <v>5.0</v>
      </c>
      <c r="N257" s="11">
        <v>65.0</v>
      </c>
      <c r="O257" s="12">
        <v>0.0</v>
      </c>
      <c r="P257" s="10">
        <v>10.0</v>
      </c>
      <c r="Q257" s="11">
        <v>16.0</v>
      </c>
      <c r="R257" s="11">
        <v>2.0</v>
      </c>
      <c r="S257" s="13">
        <v>0.08333333333333333</v>
      </c>
      <c r="T257" s="11">
        <v>11.0</v>
      </c>
      <c r="U257" s="11">
        <v>8.0</v>
      </c>
      <c r="V257" s="14">
        <f>+3</f>
        <v>3</v>
      </c>
      <c r="W257" s="14" t="str">
        <f>+0.56</f>
        <v>#ERROR!</v>
      </c>
      <c r="X257" s="15">
        <v>-0.04375</v>
      </c>
      <c r="Y257" s="16" t="s">
        <v>1290</v>
      </c>
    </row>
    <row r="258">
      <c r="A258" s="6">
        <v>248.0</v>
      </c>
      <c r="B258" s="7" t="s">
        <v>1291</v>
      </c>
      <c r="C258" s="8" t="s">
        <v>1292</v>
      </c>
      <c r="D258" s="9" t="s">
        <v>66</v>
      </c>
      <c r="E258" s="7" t="s">
        <v>1293</v>
      </c>
      <c r="F258" s="9">
        <v>19.0</v>
      </c>
      <c r="G258" s="9">
        <v>2004.0</v>
      </c>
      <c r="H258" s="18">
        <v>0.0</v>
      </c>
      <c r="I258" s="19"/>
      <c r="J258" s="19"/>
      <c r="K258" s="19"/>
      <c r="L258" s="19"/>
      <c r="M258" s="18">
        <v>0.0</v>
      </c>
      <c r="N258" s="19"/>
      <c r="O258" s="12">
        <v>0.0</v>
      </c>
      <c r="P258" s="18">
        <v>0.0</v>
      </c>
      <c r="Q258" s="19"/>
      <c r="R258" s="11">
        <v>1.0</v>
      </c>
      <c r="S258" s="24"/>
      <c r="T258" s="19"/>
      <c r="U258" s="19"/>
      <c r="V258" s="19"/>
      <c r="W258" s="19"/>
      <c r="X258" s="19"/>
      <c r="Y258" s="16" t="s">
        <v>1294</v>
      </c>
    </row>
    <row r="259">
      <c r="A259" s="6">
        <v>249.0</v>
      </c>
      <c r="B259" s="7" t="s">
        <v>1295</v>
      </c>
      <c r="C259" s="8" t="s">
        <v>1296</v>
      </c>
      <c r="D259" s="9" t="s">
        <v>52</v>
      </c>
      <c r="E259" s="7" t="s">
        <v>1297</v>
      </c>
      <c r="F259" s="9">
        <v>21.0</v>
      </c>
      <c r="G259" s="9">
        <v>2002.0</v>
      </c>
      <c r="H259" s="10">
        <v>11.0</v>
      </c>
      <c r="I259" s="11">
        <v>415.0</v>
      </c>
      <c r="J259" s="11">
        <v>38.0</v>
      </c>
      <c r="K259" s="11" t="s">
        <v>392</v>
      </c>
      <c r="L259" s="11" t="s">
        <v>303</v>
      </c>
      <c r="M259" s="10">
        <v>5.0</v>
      </c>
      <c r="N259" s="11">
        <v>50.0</v>
      </c>
      <c r="O259" s="12">
        <v>0.0</v>
      </c>
      <c r="P259" s="10">
        <v>6.0</v>
      </c>
      <c r="Q259" s="11">
        <v>28.0</v>
      </c>
      <c r="R259" s="11">
        <v>5.0</v>
      </c>
      <c r="S259" s="13">
        <v>0.05416666666666667</v>
      </c>
      <c r="T259" s="11">
        <v>9.0</v>
      </c>
      <c r="U259" s="11">
        <v>7.0</v>
      </c>
      <c r="V259" s="14">
        <f>+2</f>
        <v>2</v>
      </c>
      <c r="W259" s="14" t="str">
        <f>+0.43</f>
        <v>#ERROR!</v>
      </c>
      <c r="X259" s="14" t="str">
        <f>+0.91</f>
        <v>#ERROR!</v>
      </c>
      <c r="Y259" s="16" t="s">
        <v>1298</v>
      </c>
    </row>
    <row r="260">
      <c r="A260" s="6">
        <v>250.0</v>
      </c>
      <c r="B260" s="7" t="s">
        <v>1299</v>
      </c>
      <c r="C260" s="8" t="s">
        <v>1300</v>
      </c>
      <c r="D260" s="9" t="s">
        <v>25</v>
      </c>
      <c r="E260" s="7" t="s">
        <v>1301</v>
      </c>
      <c r="F260" s="9">
        <v>26.0</v>
      </c>
      <c r="G260" s="9">
        <v>1997.0</v>
      </c>
      <c r="H260" s="10">
        <v>17.0</v>
      </c>
      <c r="I260" s="11">
        <v>946.0</v>
      </c>
      <c r="J260" s="11">
        <v>56.0</v>
      </c>
      <c r="K260" s="11" t="s">
        <v>1302</v>
      </c>
      <c r="L260" s="11" t="s">
        <v>908</v>
      </c>
      <c r="M260" s="10">
        <v>10.0</v>
      </c>
      <c r="N260" s="11">
        <v>81.0</v>
      </c>
      <c r="O260" s="11">
        <v>6.0</v>
      </c>
      <c r="P260" s="10">
        <v>7.0</v>
      </c>
      <c r="Q260" s="11">
        <v>19.0</v>
      </c>
      <c r="R260" s="11">
        <v>12.0</v>
      </c>
      <c r="S260" s="13">
        <v>0.07013888888888889</v>
      </c>
      <c r="T260" s="11">
        <v>19.0</v>
      </c>
      <c r="U260" s="11">
        <v>15.0</v>
      </c>
      <c r="V260" s="14">
        <f>+4</f>
        <v>4</v>
      </c>
      <c r="W260" s="14" t="str">
        <f>+0.38</f>
        <v>#ERROR!</v>
      </c>
      <c r="X260" s="14" t="str">
        <f>+0.18</f>
        <v>#ERROR!</v>
      </c>
      <c r="Y260" s="16" t="s">
        <v>1303</v>
      </c>
    </row>
    <row r="261">
      <c r="A261" s="25" t="s">
        <v>0</v>
      </c>
      <c r="B261" s="26" t="s">
        <v>1</v>
      </c>
      <c r="C261" s="27" t="s">
        <v>2</v>
      </c>
      <c r="D261" s="27" t="s">
        <v>3</v>
      </c>
      <c r="E261" s="27" t="s">
        <v>4</v>
      </c>
      <c r="F261" s="27" t="s">
        <v>5</v>
      </c>
      <c r="G261" s="27" t="s">
        <v>6</v>
      </c>
      <c r="H261" s="28" t="s">
        <v>7</v>
      </c>
      <c r="I261" s="27" t="s">
        <v>8</v>
      </c>
      <c r="J261" s="27" t="s">
        <v>9</v>
      </c>
      <c r="K261" s="27" t="s">
        <v>10</v>
      </c>
      <c r="L261" s="27" t="s">
        <v>11</v>
      </c>
      <c r="M261" s="28" t="s">
        <v>12</v>
      </c>
      <c r="N261" s="27" t="s">
        <v>13</v>
      </c>
      <c r="O261" s="27" t="s">
        <v>14</v>
      </c>
      <c r="P261" s="28" t="s">
        <v>15</v>
      </c>
      <c r="Q261" s="27" t="s">
        <v>16</v>
      </c>
      <c r="R261" s="27" t="s">
        <v>17</v>
      </c>
      <c r="S261" s="28" t="s">
        <v>18</v>
      </c>
      <c r="T261" s="27" t="s">
        <v>19</v>
      </c>
      <c r="U261" s="27" t="s">
        <v>20</v>
      </c>
      <c r="V261" s="29" t="str">
        <f>+/-</f>
        <v>#ERROR!</v>
      </c>
      <c r="W261" s="29" t="str">
        <f>+/-90</f>
        <v>#ERROR!</v>
      </c>
      <c r="X261" s="27" t="s">
        <v>21</v>
      </c>
      <c r="Y261" s="28" t="s">
        <v>22</v>
      </c>
    </row>
    <row r="262">
      <c r="A262" s="6">
        <v>251.0</v>
      </c>
      <c r="B262" s="7" t="s">
        <v>1304</v>
      </c>
      <c r="C262" s="8" t="s">
        <v>1305</v>
      </c>
      <c r="D262" s="9" t="s">
        <v>66</v>
      </c>
      <c r="E262" s="7" t="s">
        <v>1306</v>
      </c>
      <c r="F262" s="9">
        <v>22.0</v>
      </c>
      <c r="G262" s="9">
        <v>2001.0</v>
      </c>
      <c r="H262" s="10">
        <v>26.0</v>
      </c>
      <c r="I262" s="11">
        <v>1.961</v>
      </c>
      <c r="J262" s="11">
        <v>75.0</v>
      </c>
      <c r="K262" s="11" t="s">
        <v>493</v>
      </c>
      <c r="L262" s="11" t="s">
        <v>494</v>
      </c>
      <c r="M262" s="10">
        <v>24.0</v>
      </c>
      <c r="N262" s="11">
        <v>80.0</v>
      </c>
      <c r="O262" s="11">
        <v>13.0</v>
      </c>
      <c r="P262" s="10">
        <v>2.0</v>
      </c>
      <c r="Q262" s="11">
        <v>24.0</v>
      </c>
      <c r="R262" s="12">
        <v>0.0</v>
      </c>
      <c r="S262" s="13">
        <v>0.06041666666666667</v>
      </c>
      <c r="T262" s="11">
        <v>25.0</v>
      </c>
      <c r="U262" s="11">
        <v>40.0</v>
      </c>
      <c r="V262" s="17">
        <v>-15.0</v>
      </c>
      <c r="W262" s="15">
        <v>-0.04791666666666667</v>
      </c>
      <c r="X262" s="14" t="str">
        <f>+0.04</f>
        <v>#ERROR!</v>
      </c>
      <c r="Y262" s="16" t="s">
        <v>1307</v>
      </c>
    </row>
    <row r="263">
      <c r="A263" s="6">
        <v>252.0</v>
      </c>
      <c r="B263" s="7" t="s">
        <v>1308</v>
      </c>
      <c r="C263" s="8" t="s">
        <v>1309</v>
      </c>
      <c r="D263" s="9" t="s">
        <v>32</v>
      </c>
      <c r="E263" s="7" t="s">
        <v>1310</v>
      </c>
      <c r="F263" s="9">
        <v>26.0</v>
      </c>
      <c r="G263" s="9">
        <v>1997.0</v>
      </c>
      <c r="H263" s="10">
        <v>22.0</v>
      </c>
      <c r="I263" s="11">
        <v>1.461</v>
      </c>
      <c r="J263" s="11">
        <v>66.0</v>
      </c>
      <c r="K263" s="11" t="s">
        <v>1311</v>
      </c>
      <c r="L263" s="11" t="s">
        <v>981</v>
      </c>
      <c r="M263" s="10">
        <v>17.0</v>
      </c>
      <c r="N263" s="11">
        <v>81.0</v>
      </c>
      <c r="O263" s="11">
        <v>7.0</v>
      </c>
      <c r="P263" s="10">
        <v>5.0</v>
      </c>
      <c r="Q263" s="11">
        <v>17.0</v>
      </c>
      <c r="R263" s="11">
        <v>4.0</v>
      </c>
      <c r="S263" s="13">
        <v>0.06388888888888888</v>
      </c>
      <c r="T263" s="11">
        <v>21.0</v>
      </c>
      <c r="U263" s="11">
        <v>14.0</v>
      </c>
      <c r="V263" s="14">
        <f>+7</f>
        <v>7</v>
      </c>
      <c r="W263" s="14" t="str">
        <f>+0.43</f>
        <v>#ERROR!</v>
      </c>
      <c r="X263" s="14" t="str">
        <f>+1.67</f>
        <v>#ERROR!</v>
      </c>
      <c r="Y263" s="16" t="s">
        <v>1312</v>
      </c>
    </row>
    <row r="264">
      <c r="A264" s="6">
        <v>253.0</v>
      </c>
      <c r="B264" s="7" t="s">
        <v>1313</v>
      </c>
      <c r="C264" s="8" t="s">
        <v>1314</v>
      </c>
      <c r="D264" s="9" t="s">
        <v>32</v>
      </c>
      <c r="E264" s="7" t="s">
        <v>1315</v>
      </c>
      <c r="F264" s="9">
        <v>18.0</v>
      </c>
      <c r="G264" s="9">
        <v>2005.0</v>
      </c>
      <c r="H264" s="10">
        <v>1.0</v>
      </c>
      <c r="I264" s="11">
        <v>4.0</v>
      </c>
      <c r="J264" s="11">
        <v>4.0</v>
      </c>
      <c r="K264" s="11" t="s">
        <v>155</v>
      </c>
      <c r="L264" s="12" t="s">
        <v>470</v>
      </c>
      <c r="M264" s="18">
        <v>0.0</v>
      </c>
      <c r="N264" s="19"/>
      <c r="O264" s="12">
        <v>0.0</v>
      </c>
      <c r="P264" s="10">
        <v>1.0</v>
      </c>
      <c r="Q264" s="11">
        <v>4.0</v>
      </c>
      <c r="R264" s="11">
        <v>6.0</v>
      </c>
      <c r="S264" s="20">
        <v>0.0</v>
      </c>
      <c r="T264" s="12">
        <v>0.0</v>
      </c>
      <c r="U264" s="12">
        <v>0.0</v>
      </c>
      <c r="V264" s="12">
        <v>0.0</v>
      </c>
      <c r="W264" s="21">
        <v>0.0</v>
      </c>
      <c r="X264" s="15">
        <v>-0.05347222222222222</v>
      </c>
      <c r="Y264" s="16" t="s">
        <v>1316</v>
      </c>
    </row>
    <row r="265">
      <c r="A265" s="6">
        <v>254.0</v>
      </c>
      <c r="B265" s="7" t="s">
        <v>1317</v>
      </c>
      <c r="C265" s="8" t="s">
        <v>1318</v>
      </c>
      <c r="D265" s="9" t="s">
        <v>284</v>
      </c>
      <c r="E265" s="7" t="s">
        <v>1319</v>
      </c>
      <c r="F265" s="9">
        <v>26.0</v>
      </c>
      <c r="G265" s="9">
        <v>1997.0</v>
      </c>
      <c r="H265" s="10">
        <v>17.0</v>
      </c>
      <c r="I265" s="11">
        <v>1.386</v>
      </c>
      <c r="J265" s="11">
        <v>82.0</v>
      </c>
      <c r="K265" s="11" t="s">
        <v>1320</v>
      </c>
      <c r="L265" s="11" t="s">
        <v>392</v>
      </c>
      <c r="M265" s="10">
        <v>16.0</v>
      </c>
      <c r="N265" s="11">
        <v>86.0</v>
      </c>
      <c r="O265" s="11">
        <v>9.0</v>
      </c>
      <c r="P265" s="10">
        <v>1.0</v>
      </c>
      <c r="Q265" s="11">
        <v>15.0</v>
      </c>
      <c r="R265" s="12">
        <v>0.0</v>
      </c>
      <c r="S265" s="13">
        <v>0.041666666666666664</v>
      </c>
      <c r="T265" s="11">
        <v>16.0</v>
      </c>
      <c r="U265" s="11">
        <v>27.0</v>
      </c>
      <c r="V265" s="17">
        <v>-11.0</v>
      </c>
      <c r="W265" s="15">
        <v>-0.049305555555555554</v>
      </c>
      <c r="X265" s="15">
        <v>-0.006944444444444444</v>
      </c>
      <c r="Y265" s="16" t="s">
        <v>1321</v>
      </c>
    </row>
    <row r="266">
      <c r="A266" s="6">
        <v>255.0</v>
      </c>
      <c r="B266" s="7" t="s">
        <v>1322</v>
      </c>
      <c r="C266" s="8" t="s">
        <v>1323</v>
      </c>
      <c r="D266" s="9" t="s">
        <v>25</v>
      </c>
      <c r="E266" s="7" t="s">
        <v>1324</v>
      </c>
      <c r="F266" s="9">
        <v>20.0</v>
      </c>
      <c r="G266" s="9">
        <v>2004.0</v>
      </c>
      <c r="H266" s="10">
        <v>25.0</v>
      </c>
      <c r="I266" s="11">
        <v>1.59</v>
      </c>
      <c r="J266" s="11">
        <v>64.0</v>
      </c>
      <c r="K266" s="11" t="s">
        <v>1325</v>
      </c>
      <c r="L266" s="11" t="s">
        <v>609</v>
      </c>
      <c r="M266" s="10">
        <v>19.0</v>
      </c>
      <c r="N266" s="11">
        <v>79.0</v>
      </c>
      <c r="O266" s="11">
        <v>8.0</v>
      </c>
      <c r="P266" s="10">
        <v>6.0</v>
      </c>
      <c r="Q266" s="11">
        <v>16.0</v>
      </c>
      <c r="R266" s="11">
        <v>5.0</v>
      </c>
      <c r="S266" s="13">
        <v>0.08611111111111111</v>
      </c>
      <c r="T266" s="11">
        <v>28.0</v>
      </c>
      <c r="U266" s="11">
        <v>12.0</v>
      </c>
      <c r="V266" s="14">
        <f>+16</f>
        <v>16</v>
      </c>
      <c r="W266" s="14" t="str">
        <f>+0.91</f>
        <v>#ERROR!</v>
      </c>
      <c r="X266" s="14" t="str">
        <f>+0.34</f>
        <v>#ERROR!</v>
      </c>
      <c r="Y266" s="16" t="s">
        <v>1326</v>
      </c>
    </row>
    <row r="267">
      <c r="A267" s="6">
        <v>256.0</v>
      </c>
      <c r="B267" s="7" t="s">
        <v>1327</v>
      </c>
      <c r="C267" s="8" t="s">
        <v>1328</v>
      </c>
      <c r="D267" s="9" t="s">
        <v>66</v>
      </c>
      <c r="E267" s="7" t="s">
        <v>1329</v>
      </c>
      <c r="F267" s="9">
        <v>28.0</v>
      </c>
      <c r="G267" s="9">
        <v>1995.0</v>
      </c>
      <c r="H267" s="10">
        <v>3.0</v>
      </c>
      <c r="I267" s="11">
        <v>126.0</v>
      </c>
      <c r="J267" s="11">
        <v>42.0</v>
      </c>
      <c r="K267" s="11" t="s">
        <v>1012</v>
      </c>
      <c r="L267" s="11" t="s">
        <v>941</v>
      </c>
      <c r="M267" s="10">
        <v>2.0</v>
      </c>
      <c r="N267" s="11">
        <v>63.0</v>
      </c>
      <c r="O267" s="11">
        <v>1.0</v>
      </c>
      <c r="P267" s="10">
        <v>1.0</v>
      </c>
      <c r="Q267" s="11">
        <v>1.0</v>
      </c>
      <c r="R267" s="11">
        <v>7.0</v>
      </c>
      <c r="S267" s="13">
        <v>0.10625</v>
      </c>
      <c r="T267" s="11">
        <v>2.0</v>
      </c>
      <c r="U267" s="11">
        <v>1.0</v>
      </c>
      <c r="V267" s="14">
        <f>+1</f>
        <v>1</v>
      </c>
      <c r="W267" s="14" t="str">
        <f>+0.71</f>
        <v>#ERROR!</v>
      </c>
      <c r="X267" s="14" t="str">
        <f>+0.71</f>
        <v>#ERROR!</v>
      </c>
      <c r="Y267" s="16" t="s">
        <v>1330</v>
      </c>
    </row>
    <row r="268">
      <c r="A268" s="6">
        <v>257.0</v>
      </c>
      <c r="B268" s="7" t="s">
        <v>1331</v>
      </c>
      <c r="C268" s="8" t="s">
        <v>1332</v>
      </c>
      <c r="D268" s="9" t="s">
        <v>73</v>
      </c>
      <c r="E268" s="7" t="s">
        <v>1333</v>
      </c>
      <c r="F268" s="9">
        <v>27.0</v>
      </c>
      <c r="G268" s="9">
        <v>1997.0</v>
      </c>
      <c r="H268" s="10">
        <v>14.0</v>
      </c>
      <c r="I268" s="11">
        <v>1.26</v>
      </c>
      <c r="J268" s="11">
        <v>90.0</v>
      </c>
      <c r="K268" s="11" t="s">
        <v>1334</v>
      </c>
      <c r="L268" s="11" t="s">
        <v>1335</v>
      </c>
      <c r="M268" s="10">
        <v>14.0</v>
      </c>
      <c r="N268" s="11">
        <v>90.0</v>
      </c>
      <c r="O268" s="11">
        <v>14.0</v>
      </c>
      <c r="P268" s="18">
        <v>0.0</v>
      </c>
      <c r="Q268" s="19"/>
      <c r="R268" s="12">
        <v>0.0</v>
      </c>
      <c r="S268" s="13">
        <v>0.06458333333333334</v>
      </c>
      <c r="T268" s="11">
        <v>15.0</v>
      </c>
      <c r="U268" s="11">
        <v>17.0</v>
      </c>
      <c r="V268" s="17">
        <v>-2.0</v>
      </c>
      <c r="W268" s="15">
        <v>-0.009722222222222222</v>
      </c>
      <c r="X268" s="14" t="str">
        <f>+0.36</f>
        <v>#ERROR!</v>
      </c>
      <c r="Y268" s="16" t="s">
        <v>1336</v>
      </c>
    </row>
    <row r="269">
      <c r="A269" s="6">
        <v>258.0</v>
      </c>
      <c r="B269" s="7" t="s">
        <v>1337</v>
      </c>
      <c r="C269" s="8" t="s">
        <v>1338</v>
      </c>
      <c r="D269" s="9" t="s">
        <v>52</v>
      </c>
      <c r="E269" s="7" t="s">
        <v>1339</v>
      </c>
      <c r="F269" s="9">
        <v>27.0</v>
      </c>
      <c r="G269" s="9">
        <v>1996.0</v>
      </c>
      <c r="H269" s="10">
        <v>4.0</v>
      </c>
      <c r="I269" s="11">
        <v>137.0</v>
      </c>
      <c r="J269" s="11">
        <v>34.0</v>
      </c>
      <c r="K269" s="11" t="s">
        <v>169</v>
      </c>
      <c r="L269" s="11" t="s">
        <v>256</v>
      </c>
      <c r="M269" s="10">
        <v>2.0</v>
      </c>
      <c r="N269" s="11">
        <v>62.0</v>
      </c>
      <c r="O269" s="12">
        <v>0.0</v>
      </c>
      <c r="P269" s="10">
        <v>2.0</v>
      </c>
      <c r="Q269" s="11">
        <v>7.0</v>
      </c>
      <c r="R269" s="11">
        <v>7.0</v>
      </c>
      <c r="S269" s="13">
        <v>0.041666666666666664</v>
      </c>
      <c r="T269" s="11">
        <v>3.0</v>
      </c>
      <c r="U269" s="11">
        <v>4.0</v>
      </c>
      <c r="V269" s="17">
        <v>-1.0</v>
      </c>
      <c r="W269" s="15">
        <v>-0.04583333333333333</v>
      </c>
      <c r="X269" s="15">
        <v>-0.02361111111111111</v>
      </c>
      <c r="Y269" s="16" t="s">
        <v>1340</v>
      </c>
    </row>
    <row r="270">
      <c r="A270" s="6">
        <v>259.0</v>
      </c>
      <c r="B270" s="7" t="s">
        <v>1341</v>
      </c>
      <c r="C270" s="8" t="s">
        <v>1342</v>
      </c>
      <c r="D270" s="9" t="s">
        <v>59</v>
      </c>
      <c r="E270" s="7" t="s">
        <v>1343</v>
      </c>
      <c r="F270" s="9">
        <v>28.0</v>
      </c>
      <c r="G270" s="9">
        <v>1995.0</v>
      </c>
      <c r="H270" s="10">
        <v>15.0</v>
      </c>
      <c r="I270" s="11">
        <v>550.0</v>
      </c>
      <c r="J270" s="11">
        <v>37.0</v>
      </c>
      <c r="K270" s="11" t="s">
        <v>1344</v>
      </c>
      <c r="L270" s="11" t="s">
        <v>274</v>
      </c>
      <c r="M270" s="10">
        <v>7.0</v>
      </c>
      <c r="N270" s="11">
        <v>59.0</v>
      </c>
      <c r="O270" s="12">
        <v>0.0</v>
      </c>
      <c r="P270" s="10">
        <v>8.0</v>
      </c>
      <c r="Q270" s="11">
        <v>17.0</v>
      </c>
      <c r="R270" s="11">
        <v>3.0</v>
      </c>
      <c r="S270" s="13">
        <v>0.06041666666666667</v>
      </c>
      <c r="T270" s="11">
        <v>6.0</v>
      </c>
      <c r="U270" s="11">
        <v>11.0</v>
      </c>
      <c r="V270" s="17">
        <v>-5.0</v>
      </c>
      <c r="W270" s="15">
        <v>-0.05694444444444444</v>
      </c>
      <c r="X270" s="15">
        <v>-0.010416666666666666</v>
      </c>
      <c r="Y270" s="16" t="s">
        <v>1345</v>
      </c>
    </row>
    <row r="271">
      <c r="A271" s="6">
        <v>260.0</v>
      </c>
      <c r="B271" s="7" t="s">
        <v>1346</v>
      </c>
      <c r="C271" s="8" t="s">
        <v>1347</v>
      </c>
      <c r="D271" s="9" t="s">
        <v>32</v>
      </c>
      <c r="E271" s="7" t="s">
        <v>1348</v>
      </c>
      <c r="F271" s="9">
        <v>31.0</v>
      </c>
      <c r="G271" s="9">
        <v>1992.0</v>
      </c>
      <c r="H271" s="10">
        <v>26.0</v>
      </c>
      <c r="I271" s="11">
        <v>1.817</v>
      </c>
      <c r="J271" s="11">
        <v>70.0</v>
      </c>
      <c r="K271" s="11" t="s">
        <v>1349</v>
      </c>
      <c r="L271" s="11" t="s">
        <v>273</v>
      </c>
      <c r="M271" s="10">
        <v>21.0</v>
      </c>
      <c r="N271" s="11">
        <v>80.0</v>
      </c>
      <c r="O271" s="11">
        <v>12.0</v>
      </c>
      <c r="P271" s="10">
        <v>5.0</v>
      </c>
      <c r="Q271" s="11">
        <v>26.0</v>
      </c>
      <c r="R271" s="11">
        <v>1.0</v>
      </c>
      <c r="S271" s="13">
        <v>0.09166666666666666</v>
      </c>
      <c r="T271" s="11">
        <v>54.0</v>
      </c>
      <c r="U271" s="11">
        <v>13.0</v>
      </c>
      <c r="V271" s="14">
        <f>+41</f>
        <v>41</v>
      </c>
      <c r="W271" s="14" t="str">
        <f>+2.03</f>
        <v>#ERROR!</v>
      </c>
      <c r="X271" s="14" t="str">
        <f>+1.93</f>
        <v>#ERROR!</v>
      </c>
      <c r="Y271" s="16" t="s">
        <v>1350</v>
      </c>
    </row>
    <row r="272">
      <c r="A272" s="6">
        <v>261.0</v>
      </c>
      <c r="B272" s="7" t="s">
        <v>1351</v>
      </c>
      <c r="C272" s="8" t="s">
        <v>1352</v>
      </c>
      <c r="D272" s="9" t="s">
        <v>66</v>
      </c>
      <c r="E272" s="7" t="s">
        <v>1353</v>
      </c>
      <c r="F272" s="9">
        <v>23.0</v>
      </c>
      <c r="G272" s="9">
        <v>2000.0</v>
      </c>
      <c r="H272" s="10">
        <v>20.0</v>
      </c>
      <c r="I272" s="11">
        <v>980.0</v>
      </c>
      <c r="J272" s="11">
        <v>49.0</v>
      </c>
      <c r="K272" s="11" t="s">
        <v>1354</v>
      </c>
      <c r="L272" s="11" t="s">
        <v>770</v>
      </c>
      <c r="M272" s="10">
        <v>9.0</v>
      </c>
      <c r="N272" s="11">
        <v>85.0</v>
      </c>
      <c r="O272" s="11">
        <v>6.0</v>
      </c>
      <c r="P272" s="10">
        <v>11.0</v>
      </c>
      <c r="Q272" s="11">
        <v>19.0</v>
      </c>
      <c r="R272" s="11">
        <v>10.0</v>
      </c>
      <c r="S272" s="13">
        <v>0.08333333333333333</v>
      </c>
      <c r="T272" s="11">
        <v>14.0</v>
      </c>
      <c r="U272" s="11">
        <v>18.0</v>
      </c>
      <c r="V272" s="17">
        <v>-4.0</v>
      </c>
      <c r="W272" s="15">
        <v>-0.025694444444444443</v>
      </c>
      <c r="X272" s="15">
        <v>-0.04513888888888889</v>
      </c>
      <c r="Y272" s="16" t="s">
        <v>1355</v>
      </c>
    </row>
    <row r="273">
      <c r="A273" s="6">
        <v>262.0</v>
      </c>
      <c r="B273" s="7" t="s">
        <v>1356</v>
      </c>
      <c r="C273" s="8" t="s">
        <v>1357</v>
      </c>
      <c r="D273" s="9" t="s">
        <v>73</v>
      </c>
      <c r="E273" s="7" t="s">
        <v>1358</v>
      </c>
      <c r="F273" s="9">
        <v>29.0</v>
      </c>
      <c r="G273" s="9">
        <v>1994.0</v>
      </c>
      <c r="H273" s="10">
        <v>7.0</v>
      </c>
      <c r="I273" s="11">
        <v>547.0</v>
      </c>
      <c r="J273" s="11">
        <v>78.0</v>
      </c>
      <c r="K273" s="11" t="s">
        <v>1359</v>
      </c>
      <c r="L273" s="11" t="s">
        <v>274</v>
      </c>
      <c r="M273" s="10">
        <v>6.0</v>
      </c>
      <c r="N273" s="11">
        <v>90.0</v>
      </c>
      <c r="O273" s="11">
        <v>6.0</v>
      </c>
      <c r="P273" s="10">
        <v>1.0</v>
      </c>
      <c r="Q273" s="11">
        <v>7.0</v>
      </c>
      <c r="R273" s="11">
        <v>23.0</v>
      </c>
      <c r="S273" s="13">
        <v>0.07152777777777777</v>
      </c>
      <c r="T273" s="11">
        <v>9.0</v>
      </c>
      <c r="U273" s="11">
        <v>15.0</v>
      </c>
      <c r="V273" s="17">
        <v>-6.0</v>
      </c>
      <c r="W273" s="15">
        <v>-0.06875</v>
      </c>
      <c r="X273" s="15">
        <v>-0.027777777777777776</v>
      </c>
      <c r="Y273" s="16" t="s">
        <v>1360</v>
      </c>
    </row>
    <row r="274">
      <c r="A274" s="6">
        <v>263.0</v>
      </c>
      <c r="B274" s="7" t="s">
        <v>1361</v>
      </c>
      <c r="C274" s="8" t="s">
        <v>1362</v>
      </c>
      <c r="D274" s="9" t="s">
        <v>52</v>
      </c>
      <c r="E274" s="7" t="s">
        <v>1363</v>
      </c>
      <c r="F274" s="9">
        <v>21.0</v>
      </c>
      <c r="G274" s="9">
        <v>2002.0</v>
      </c>
      <c r="H274" s="10">
        <v>11.0</v>
      </c>
      <c r="I274" s="11">
        <v>585.0</v>
      </c>
      <c r="J274" s="11">
        <v>53.0</v>
      </c>
      <c r="K274" s="11" t="s">
        <v>863</v>
      </c>
      <c r="L274" s="11" t="s">
        <v>1364</v>
      </c>
      <c r="M274" s="10">
        <v>7.0</v>
      </c>
      <c r="N274" s="11">
        <v>76.0</v>
      </c>
      <c r="O274" s="11">
        <v>2.0</v>
      </c>
      <c r="P274" s="10">
        <v>4.0</v>
      </c>
      <c r="Q274" s="11">
        <v>13.0</v>
      </c>
      <c r="R274" s="11">
        <v>3.0</v>
      </c>
      <c r="S274" s="13">
        <v>0.041666666666666664</v>
      </c>
      <c r="T274" s="11">
        <v>5.0</v>
      </c>
      <c r="U274" s="11">
        <v>5.0</v>
      </c>
      <c r="V274" s="12">
        <v>0.0</v>
      </c>
      <c r="W274" s="21">
        <v>0.0</v>
      </c>
      <c r="X274" s="14" t="str">
        <f>+0.43</f>
        <v>#ERROR!</v>
      </c>
      <c r="Y274" s="16" t="s">
        <v>1365</v>
      </c>
    </row>
    <row r="275">
      <c r="A275" s="6">
        <v>264.0</v>
      </c>
      <c r="B275" s="7" t="s">
        <v>1366</v>
      </c>
      <c r="C275" s="8" t="s">
        <v>1367</v>
      </c>
      <c r="D275" s="9" t="s">
        <v>52</v>
      </c>
      <c r="E275" s="7" t="s">
        <v>1368</v>
      </c>
      <c r="F275" s="9">
        <v>17.0</v>
      </c>
      <c r="G275" s="9">
        <v>2006.0</v>
      </c>
      <c r="H275" s="10">
        <v>1.0</v>
      </c>
      <c r="I275" s="11">
        <v>14.0</v>
      </c>
      <c r="J275" s="11">
        <v>14.0</v>
      </c>
      <c r="K275" s="11" t="s">
        <v>201</v>
      </c>
      <c r="L275" s="11" t="s">
        <v>48</v>
      </c>
      <c r="M275" s="18">
        <v>0.0</v>
      </c>
      <c r="N275" s="19"/>
      <c r="O275" s="12">
        <v>0.0</v>
      </c>
      <c r="P275" s="10">
        <v>1.0</v>
      </c>
      <c r="Q275" s="11">
        <v>14.0</v>
      </c>
      <c r="R275" s="11">
        <v>1.0</v>
      </c>
      <c r="S275" s="20">
        <v>0.0</v>
      </c>
      <c r="T275" s="12">
        <v>0.0</v>
      </c>
      <c r="U275" s="11">
        <v>2.0</v>
      </c>
      <c r="V275" s="17">
        <v>-2.0</v>
      </c>
      <c r="W275" s="15">
        <v>-0.5597222222222222</v>
      </c>
      <c r="X275" s="15">
        <v>-0.5409722222222222</v>
      </c>
      <c r="Y275" s="16" t="s">
        <v>1369</v>
      </c>
    </row>
    <row r="276">
      <c r="A276" s="6">
        <v>265.0</v>
      </c>
      <c r="B276" s="7" t="s">
        <v>1370</v>
      </c>
      <c r="C276" s="8" t="s">
        <v>1371</v>
      </c>
      <c r="D276" s="9" t="s">
        <v>66</v>
      </c>
      <c r="E276" s="7" t="s">
        <v>1372</v>
      </c>
      <c r="F276" s="9">
        <v>17.0</v>
      </c>
      <c r="G276" s="9">
        <v>2006.0</v>
      </c>
      <c r="H276" s="10">
        <v>14.0</v>
      </c>
      <c r="I276" s="11">
        <v>1.018</v>
      </c>
      <c r="J276" s="11">
        <v>73.0</v>
      </c>
      <c r="K276" s="11" t="s">
        <v>685</v>
      </c>
      <c r="L276" s="11" t="s">
        <v>111</v>
      </c>
      <c r="M276" s="10">
        <v>12.0</v>
      </c>
      <c r="N276" s="11">
        <v>84.0</v>
      </c>
      <c r="O276" s="11">
        <v>8.0</v>
      </c>
      <c r="P276" s="10">
        <v>2.0</v>
      </c>
      <c r="Q276" s="11">
        <v>8.0</v>
      </c>
      <c r="R276" s="11">
        <v>13.0</v>
      </c>
      <c r="S276" s="13">
        <v>0.08125</v>
      </c>
      <c r="T276" s="11">
        <v>13.0</v>
      </c>
      <c r="U276" s="11">
        <v>16.0</v>
      </c>
      <c r="V276" s="17">
        <v>-3.0</v>
      </c>
      <c r="W276" s="15">
        <v>-0.01875</v>
      </c>
      <c r="X276" s="15">
        <v>-0.06666666666666667</v>
      </c>
      <c r="Y276" s="16" t="s">
        <v>1373</v>
      </c>
    </row>
    <row r="277">
      <c r="A277" s="6">
        <v>266.0</v>
      </c>
      <c r="B277" s="7" t="s">
        <v>1374</v>
      </c>
      <c r="C277" s="8" t="s">
        <v>1375</v>
      </c>
      <c r="D277" s="9" t="s">
        <v>66</v>
      </c>
      <c r="E277" s="7" t="s">
        <v>1376</v>
      </c>
      <c r="F277" s="9">
        <v>20.0</v>
      </c>
      <c r="G277" s="9">
        <v>2003.0</v>
      </c>
      <c r="H277" s="10">
        <v>17.0</v>
      </c>
      <c r="I277" s="11">
        <v>1.216</v>
      </c>
      <c r="J277" s="11">
        <v>72.0</v>
      </c>
      <c r="K277" s="11" t="s">
        <v>1377</v>
      </c>
      <c r="L277" s="11" t="s">
        <v>549</v>
      </c>
      <c r="M277" s="10">
        <v>14.0</v>
      </c>
      <c r="N277" s="11">
        <v>86.0</v>
      </c>
      <c r="O277" s="11">
        <v>10.0</v>
      </c>
      <c r="P277" s="10">
        <v>3.0</v>
      </c>
      <c r="Q277" s="11">
        <v>4.0</v>
      </c>
      <c r="R277" s="11">
        <v>9.0</v>
      </c>
      <c r="S277" s="13">
        <v>0.06527777777777778</v>
      </c>
      <c r="T277" s="11">
        <v>9.0</v>
      </c>
      <c r="U277" s="11">
        <v>20.0</v>
      </c>
      <c r="V277" s="17">
        <v>-11.0</v>
      </c>
      <c r="W277" s="15">
        <v>-0.05625</v>
      </c>
      <c r="X277" s="15">
        <v>-0.06041666666666667</v>
      </c>
      <c r="Y277" s="16" t="s">
        <v>1378</v>
      </c>
    </row>
    <row r="278">
      <c r="A278" s="6">
        <v>267.0</v>
      </c>
      <c r="B278" s="7" t="s">
        <v>1379</v>
      </c>
      <c r="C278" s="8" t="s">
        <v>1380</v>
      </c>
      <c r="D278" s="9" t="s">
        <v>66</v>
      </c>
      <c r="E278" s="7" t="s">
        <v>1381</v>
      </c>
      <c r="F278" s="9">
        <v>25.0</v>
      </c>
      <c r="G278" s="9">
        <v>1998.0</v>
      </c>
      <c r="H278" s="18">
        <v>0.0</v>
      </c>
      <c r="I278" s="19"/>
      <c r="J278" s="19"/>
      <c r="K278" s="19"/>
      <c r="L278" s="19"/>
      <c r="M278" s="18">
        <v>0.0</v>
      </c>
      <c r="N278" s="19"/>
      <c r="O278" s="12">
        <v>0.0</v>
      </c>
      <c r="P278" s="18">
        <v>0.0</v>
      </c>
      <c r="Q278" s="19"/>
      <c r="R278" s="11">
        <v>4.0</v>
      </c>
      <c r="S278" s="24"/>
      <c r="T278" s="19"/>
      <c r="U278" s="19"/>
      <c r="V278" s="19"/>
      <c r="W278" s="19"/>
      <c r="X278" s="19"/>
      <c r="Y278" s="16" t="s">
        <v>1382</v>
      </c>
    </row>
    <row r="279">
      <c r="A279" s="6">
        <v>268.0</v>
      </c>
      <c r="B279" s="7" t="s">
        <v>1383</v>
      </c>
      <c r="C279" s="8" t="s">
        <v>1384</v>
      </c>
      <c r="D279" s="9" t="s">
        <v>73</v>
      </c>
      <c r="E279" s="7" t="s">
        <v>1385</v>
      </c>
      <c r="F279" s="9">
        <v>28.0</v>
      </c>
      <c r="G279" s="9">
        <v>1995.0</v>
      </c>
      <c r="H279" s="10">
        <v>3.0</v>
      </c>
      <c r="I279" s="11">
        <v>197.0</v>
      </c>
      <c r="J279" s="11">
        <v>66.0</v>
      </c>
      <c r="K279" s="11" t="s">
        <v>679</v>
      </c>
      <c r="L279" s="11" t="s">
        <v>680</v>
      </c>
      <c r="M279" s="10">
        <v>2.0</v>
      </c>
      <c r="N279" s="11">
        <v>90.0</v>
      </c>
      <c r="O279" s="11">
        <v>2.0</v>
      </c>
      <c r="P279" s="10">
        <v>1.0</v>
      </c>
      <c r="Q279" s="11">
        <v>17.0</v>
      </c>
      <c r="R279" s="11">
        <v>13.0</v>
      </c>
      <c r="S279" s="13">
        <v>0.022916666666666665</v>
      </c>
      <c r="T279" s="12">
        <v>0.0</v>
      </c>
      <c r="U279" s="11">
        <v>2.0</v>
      </c>
      <c r="V279" s="17">
        <v>-2.0</v>
      </c>
      <c r="W279" s="15">
        <v>-0.06319444444444444</v>
      </c>
      <c r="X279" s="15">
        <v>-0.04583333333333333</v>
      </c>
      <c r="Y279" s="16" t="s">
        <v>1386</v>
      </c>
    </row>
    <row r="280">
      <c r="A280" s="6">
        <v>269.0</v>
      </c>
      <c r="B280" s="7" t="s">
        <v>1387</v>
      </c>
      <c r="C280" s="8" t="s">
        <v>1388</v>
      </c>
      <c r="D280" s="9" t="s">
        <v>73</v>
      </c>
      <c r="E280" s="7" t="s">
        <v>1389</v>
      </c>
      <c r="F280" s="9">
        <v>17.0</v>
      </c>
      <c r="G280" s="9">
        <v>2006.0</v>
      </c>
      <c r="H280" s="18">
        <v>0.0</v>
      </c>
      <c r="I280" s="19"/>
      <c r="J280" s="19"/>
      <c r="K280" s="19"/>
      <c r="L280" s="19"/>
      <c r="M280" s="18">
        <v>0.0</v>
      </c>
      <c r="N280" s="19"/>
      <c r="O280" s="12">
        <v>0.0</v>
      </c>
      <c r="P280" s="18">
        <v>0.0</v>
      </c>
      <c r="Q280" s="19"/>
      <c r="R280" s="11">
        <v>1.0</v>
      </c>
      <c r="S280" s="24"/>
      <c r="T280" s="19"/>
      <c r="U280" s="19"/>
      <c r="V280" s="19"/>
      <c r="W280" s="19"/>
      <c r="X280" s="19"/>
      <c r="Y280" s="16" t="s">
        <v>1390</v>
      </c>
    </row>
    <row r="281">
      <c r="A281" s="6">
        <v>270.0</v>
      </c>
      <c r="B281" s="7" t="s">
        <v>1391</v>
      </c>
      <c r="C281" s="8" t="s">
        <v>1392</v>
      </c>
      <c r="D281" s="9" t="s">
        <v>32</v>
      </c>
      <c r="E281" s="7" t="s">
        <v>1393</v>
      </c>
      <c r="F281" s="9">
        <v>20.0</v>
      </c>
      <c r="G281" s="9">
        <v>2003.0</v>
      </c>
      <c r="H281" s="10">
        <v>7.0</v>
      </c>
      <c r="I281" s="11">
        <v>110.0</v>
      </c>
      <c r="J281" s="11">
        <v>16.0</v>
      </c>
      <c r="K281" s="11" t="s">
        <v>550</v>
      </c>
      <c r="L281" s="11" t="s">
        <v>118</v>
      </c>
      <c r="M281" s="10">
        <v>1.0</v>
      </c>
      <c r="N281" s="11">
        <v>45.0</v>
      </c>
      <c r="O281" s="12">
        <v>0.0</v>
      </c>
      <c r="P281" s="10">
        <v>6.0</v>
      </c>
      <c r="Q281" s="11">
        <v>11.0</v>
      </c>
      <c r="R281" s="11">
        <v>3.0</v>
      </c>
      <c r="S281" s="13">
        <v>0.06180555555555556</v>
      </c>
      <c r="T281" s="11">
        <v>1.0</v>
      </c>
      <c r="U281" s="11">
        <v>2.0</v>
      </c>
      <c r="V281" s="17">
        <v>-1.0</v>
      </c>
      <c r="W281" s="15">
        <v>-0.05694444444444444</v>
      </c>
      <c r="X281" s="15">
        <v>-0.050694444444444445</v>
      </c>
      <c r="Y281" s="16" t="s">
        <v>1394</v>
      </c>
    </row>
    <row r="282">
      <c r="A282" s="6">
        <v>271.0</v>
      </c>
      <c r="B282" s="7" t="s">
        <v>1395</v>
      </c>
      <c r="C282" s="8" t="s">
        <v>1396</v>
      </c>
      <c r="D282" s="9" t="s">
        <v>32</v>
      </c>
      <c r="E282" s="7" t="s">
        <v>1397</v>
      </c>
      <c r="F282" s="9">
        <v>20.0</v>
      </c>
      <c r="G282" s="9">
        <v>2003.0</v>
      </c>
      <c r="H282" s="10">
        <v>7.0</v>
      </c>
      <c r="I282" s="11">
        <v>315.0</v>
      </c>
      <c r="J282" s="11">
        <v>45.0</v>
      </c>
      <c r="K282" s="11" t="s">
        <v>634</v>
      </c>
      <c r="L282" s="11" t="s">
        <v>340</v>
      </c>
      <c r="M282" s="10">
        <v>3.0</v>
      </c>
      <c r="N282" s="11">
        <v>74.0</v>
      </c>
      <c r="O282" s="12">
        <v>0.0</v>
      </c>
      <c r="P282" s="10">
        <v>4.0</v>
      </c>
      <c r="Q282" s="11">
        <v>24.0</v>
      </c>
      <c r="R282" s="11">
        <v>3.0</v>
      </c>
      <c r="S282" s="13">
        <v>0.041666666666666664</v>
      </c>
      <c r="T282" s="11">
        <v>8.0</v>
      </c>
      <c r="U282" s="11">
        <v>6.0</v>
      </c>
      <c r="V282" s="14">
        <f>+2</f>
        <v>2</v>
      </c>
      <c r="W282" s="14" t="str">
        <f>+0.57</f>
        <v>#ERROR!</v>
      </c>
      <c r="X282" s="14" t="str">
        <f>+1.40</f>
        <v>#ERROR!</v>
      </c>
      <c r="Y282" s="16" t="s">
        <v>1398</v>
      </c>
    </row>
    <row r="283">
      <c r="A283" s="6">
        <v>272.0</v>
      </c>
      <c r="B283" s="7" t="s">
        <v>1399</v>
      </c>
      <c r="C283" s="8" t="s">
        <v>1400</v>
      </c>
      <c r="D283" s="9" t="s">
        <v>73</v>
      </c>
      <c r="E283" s="7" t="s">
        <v>1401</v>
      </c>
      <c r="F283" s="9">
        <v>31.0</v>
      </c>
      <c r="G283" s="9">
        <v>1992.0</v>
      </c>
      <c r="H283" s="10">
        <v>21.0</v>
      </c>
      <c r="I283" s="11">
        <v>1.854</v>
      </c>
      <c r="J283" s="11">
        <v>88.0</v>
      </c>
      <c r="K283" s="11" t="s">
        <v>1402</v>
      </c>
      <c r="L283" s="11" t="s">
        <v>831</v>
      </c>
      <c r="M283" s="10">
        <v>21.0</v>
      </c>
      <c r="N283" s="11">
        <v>88.0</v>
      </c>
      <c r="O283" s="11">
        <v>19.0</v>
      </c>
      <c r="P283" s="18">
        <v>0.0</v>
      </c>
      <c r="Q283" s="19"/>
      <c r="R283" s="12">
        <v>0.0</v>
      </c>
      <c r="S283" s="13">
        <v>0.08819444444444445</v>
      </c>
      <c r="T283" s="11">
        <v>26.0</v>
      </c>
      <c r="U283" s="11">
        <v>21.0</v>
      </c>
      <c r="V283" s="14">
        <f>+5</f>
        <v>5</v>
      </c>
      <c r="W283" s="14" t="str">
        <f>+0.24</f>
        <v>#ERROR!</v>
      </c>
      <c r="X283" s="14" t="str">
        <f>+0.56</f>
        <v>#ERROR!</v>
      </c>
      <c r="Y283" s="16" t="s">
        <v>1403</v>
      </c>
    </row>
    <row r="284">
      <c r="A284" s="6">
        <v>273.0</v>
      </c>
      <c r="B284" s="7" t="s">
        <v>1404</v>
      </c>
      <c r="C284" s="8" t="s">
        <v>1405</v>
      </c>
      <c r="D284" s="9" t="s">
        <v>73</v>
      </c>
      <c r="E284" s="7" t="s">
        <v>1406</v>
      </c>
      <c r="F284" s="9">
        <v>33.0</v>
      </c>
      <c r="G284" s="9">
        <v>1990.0</v>
      </c>
      <c r="H284" s="10">
        <v>1.0</v>
      </c>
      <c r="I284" s="11">
        <v>52.0</v>
      </c>
      <c r="J284" s="11">
        <v>52.0</v>
      </c>
      <c r="K284" s="11" t="s">
        <v>1407</v>
      </c>
      <c r="L284" s="11" t="s">
        <v>47</v>
      </c>
      <c r="M284" s="18">
        <v>0.0</v>
      </c>
      <c r="N284" s="19"/>
      <c r="O284" s="12">
        <v>0.0</v>
      </c>
      <c r="P284" s="10">
        <v>1.0</v>
      </c>
      <c r="Q284" s="11">
        <v>52.0</v>
      </c>
      <c r="R284" s="11">
        <v>6.0</v>
      </c>
      <c r="S284" s="20">
        <v>0.0</v>
      </c>
      <c r="T284" s="11">
        <v>2.0</v>
      </c>
      <c r="U284" s="11">
        <v>4.0</v>
      </c>
      <c r="V284" s="17">
        <v>-2.0</v>
      </c>
      <c r="W284" s="15">
        <v>-0.15694444444444444</v>
      </c>
      <c r="X284" s="15">
        <v>-0.13819444444444445</v>
      </c>
      <c r="Y284" s="16" t="s">
        <v>1408</v>
      </c>
    </row>
    <row r="285">
      <c r="A285" s="6">
        <v>274.0</v>
      </c>
      <c r="B285" s="7" t="s">
        <v>1409</v>
      </c>
      <c r="C285" s="22"/>
      <c r="D285" s="23"/>
      <c r="E285" s="7" t="s">
        <v>1410</v>
      </c>
      <c r="F285" s="23"/>
      <c r="G285" s="23"/>
      <c r="H285" s="18">
        <v>0.0</v>
      </c>
      <c r="I285" s="19"/>
      <c r="J285" s="19"/>
      <c r="K285" s="19"/>
      <c r="L285" s="19"/>
      <c r="M285" s="18">
        <v>0.0</v>
      </c>
      <c r="N285" s="19"/>
      <c r="O285" s="12">
        <v>0.0</v>
      </c>
      <c r="P285" s="18">
        <v>0.0</v>
      </c>
      <c r="Q285" s="19"/>
      <c r="R285" s="11">
        <v>4.0</v>
      </c>
      <c r="S285" s="24"/>
      <c r="T285" s="19"/>
      <c r="U285" s="19"/>
      <c r="V285" s="19"/>
      <c r="W285" s="19"/>
      <c r="X285" s="19"/>
      <c r="Y285" s="16" t="s">
        <v>1411</v>
      </c>
    </row>
    <row r="286">
      <c r="A286" s="6">
        <v>275.0</v>
      </c>
      <c r="B286" s="7" t="s">
        <v>1412</v>
      </c>
      <c r="C286" s="8" t="s">
        <v>1413</v>
      </c>
      <c r="D286" s="9" t="s">
        <v>52</v>
      </c>
      <c r="E286" s="7" t="s">
        <v>1414</v>
      </c>
      <c r="F286" s="9">
        <v>18.0</v>
      </c>
      <c r="G286" s="9">
        <v>2006.0</v>
      </c>
      <c r="H286" s="10">
        <v>2.0</v>
      </c>
      <c r="I286" s="11">
        <v>44.0</v>
      </c>
      <c r="J286" s="11">
        <v>22.0</v>
      </c>
      <c r="K286" s="11" t="s">
        <v>1415</v>
      </c>
      <c r="L286" s="11" t="s">
        <v>201</v>
      </c>
      <c r="M286" s="18">
        <v>0.0</v>
      </c>
      <c r="N286" s="19"/>
      <c r="O286" s="12">
        <v>0.0</v>
      </c>
      <c r="P286" s="10">
        <v>2.0</v>
      </c>
      <c r="Q286" s="11">
        <v>22.0</v>
      </c>
      <c r="R286" s="11">
        <v>8.0</v>
      </c>
      <c r="S286" s="20">
        <v>0.0</v>
      </c>
      <c r="T286" s="11">
        <v>1.0</v>
      </c>
      <c r="U286" s="11">
        <v>1.0</v>
      </c>
      <c r="V286" s="12">
        <v>0.0</v>
      </c>
      <c r="W286" s="21">
        <v>0.0</v>
      </c>
      <c r="X286" s="14" t="str">
        <f>+0.68</f>
        <v>#ERROR!</v>
      </c>
      <c r="Y286" s="16" t="s">
        <v>1416</v>
      </c>
    </row>
    <row r="287">
      <c r="A287" s="25" t="s">
        <v>0</v>
      </c>
      <c r="B287" s="26" t="s">
        <v>1</v>
      </c>
      <c r="C287" s="27" t="s">
        <v>2</v>
      </c>
      <c r="D287" s="27" t="s">
        <v>3</v>
      </c>
      <c r="E287" s="27" t="s">
        <v>4</v>
      </c>
      <c r="F287" s="27" t="s">
        <v>5</v>
      </c>
      <c r="G287" s="27" t="s">
        <v>6</v>
      </c>
      <c r="H287" s="28" t="s">
        <v>7</v>
      </c>
      <c r="I287" s="27" t="s">
        <v>8</v>
      </c>
      <c r="J287" s="27" t="s">
        <v>9</v>
      </c>
      <c r="K287" s="27" t="s">
        <v>10</v>
      </c>
      <c r="L287" s="27" t="s">
        <v>11</v>
      </c>
      <c r="M287" s="28" t="s">
        <v>12</v>
      </c>
      <c r="N287" s="27" t="s">
        <v>13</v>
      </c>
      <c r="O287" s="27" t="s">
        <v>14</v>
      </c>
      <c r="P287" s="28" t="s">
        <v>15</v>
      </c>
      <c r="Q287" s="27" t="s">
        <v>16</v>
      </c>
      <c r="R287" s="27" t="s">
        <v>17</v>
      </c>
      <c r="S287" s="28" t="s">
        <v>18</v>
      </c>
      <c r="T287" s="27" t="s">
        <v>19</v>
      </c>
      <c r="U287" s="27" t="s">
        <v>20</v>
      </c>
      <c r="V287" s="29" t="str">
        <f>+/-</f>
        <v>#ERROR!</v>
      </c>
      <c r="W287" s="29" t="str">
        <f>+/-90</f>
        <v>#ERROR!</v>
      </c>
      <c r="X287" s="27" t="s">
        <v>21</v>
      </c>
      <c r="Y287" s="28" t="s">
        <v>22</v>
      </c>
    </row>
    <row r="288">
      <c r="A288" s="6">
        <v>276.0</v>
      </c>
      <c r="B288" s="7" t="s">
        <v>1417</v>
      </c>
      <c r="C288" s="8" t="s">
        <v>1418</v>
      </c>
      <c r="D288" s="9" t="s">
        <v>66</v>
      </c>
      <c r="E288" s="7" t="s">
        <v>1419</v>
      </c>
      <c r="F288" s="9">
        <v>16.0</v>
      </c>
      <c r="G288" s="9">
        <v>2007.0</v>
      </c>
      <c r="H288" s="10">
        <v>8.0</v>
      </c>
      <c r="I288" s="11">
        <v>188.0</v>
      </c>
      <c r="J288" s="11">
        <v>24.0</v>
      </c>
      <c r="K288" s="11" t="s">
        <v>1049</v>
      </c>
      <c r="L288" s="11" t="s">
        <v>801</v>
      </c>
      <c r="M288" s="10">
        <v>1.0</v>
      </c>
      <c r="N288" s="11">
        <v>90.0</v>
      </c>
      <c r="O288" s="11">
        <v>1.0</v>
      </c>
      <c r="P288" s="10">
        <v>7.0</v>
      </c>
      <c r="Q288" s="11">
        <v>14.0</v>
      </c>
      <c r="R288" s="11">
        <v>19.0</v>
      </c>
      <c r="S288" s="13">
        <v>0.10069444444444445</v>
      </c>
      <c r="T288" s="11">
        <v>1.0</v>
      </c>
      <c r="U288" s="11">
        <v>6.0</v>
      </c>
      <c r="V288" s="17">
        <v>-5.0</v>
      </c>
      <c r="W288" s="15">
        <v>-0.11041666666666666</v>
      </c>
      <c r="X288" s="15">
        <v>-0.10625</v>
      </c>
      <c r="Y288" s="16" t="s">
        <v>1420</v>
      </c>
    </row>
    <row r="289">
      <c r="A289" s="6">
        <v>277.0</v>
      </c>
      <c r="B289" s="7" t="s">
        <v>1421</v>
      </c>
      <c r="C289" s="8" t="s">
        <v>1422</v>
      </c>
      <c r="D289" s="9" t="s">
        <v>66</v>
      </c>
      <c r="E289" s="7" t="s">
        <v>1423</v>
      </c>
      <c r="F289" s="9">
        <v>23.0</v>
      </c>
      <c r="G289" s="9">
        <v>2000.0</v>
      </c>
      <c r="H289" s="10">
        <v>12.0</v>
      </c>
      <c r="I289" s="11">
        <v>930.0</v>
      </c>
      <c r="J289" s="11">
        <v>78.0</v>
      </c>
      <c r="K289" s="11" t="s">
        <v>1424</v>
      </c>
      <c r="L289" s="11" t="s">
        <v>357</v>
      </c>
      <c r="M289" s="10">
        <v>11.0</v>
      </c>
      <c r="N289" s="11">
        <v>83.0</v>
      </c>
      <c r="O289" s="11">
        <v>7.0</v>
      </c>
      <c r="P289" s="10">
        <v>1.0</v>
      </c>
      <c r="Q289" s="11">
        <v>12.0</v>
      </c>
      <c r="R289" s="12">
        <v>0.0</v>
      </c>
      <c r="S289" s="13">
        <v>0.09375</v>
      </c>
      <c r="T289" s="11">
        <v>18.0</v>
      </c>
      <c r="U289" s="11">
        <v>14.0</v>
      </c>
      <c r="V289" s="14">
        <f>+4</f>
        <v>4</v>
      </c>
      <c r="W289" s="14" t="str">
        <f>+0.39</f>
        <v>#ERROR!</v>
      </c>
      <c r="X289" s="15">
        <v>-0.04027777777777778</v>
      </c>
      <c r="Y289" s="16" t="s">
        <v>1425</v>
      </c>
    </row>
    <row r="290">
      <c r="A290" s="6">
        <v>278.0</v>
      </c>
      <c r="B290" s="7" t="s">
        <v>1426</v>
      </c>
      <c r="C290" s="8" t="s">
        <v>1427</v>
      </c>
      <c r="D290" s="9" t="s">
        <v>52</v>
      </c>
      <c r="E290" s="7" t="s">
        <v>1428</v>
      </c>
      <c r="F290" s="9">
        <v>22.0</v>
      </c>
      <c r="G290" s="9">
        <v>2001.0</v>
      </c>
      <c r="H290" s="10">
        <v>5.0</v>
      </c>
      <c r="I290" s="11">
        <v>234.0</v>
      </c>
      <c r="J290" s="11">
        <v>47.0</v>
      </c>
      <c r="K290" s="11" t="s">
        <v>1429</v>
      </c>
      <c r="L290" s="11" t="s">
        <v>1430</v>
      </c>
      <c r="M290" s="10">
        <v>3.0</v>
      </c>
      <c r="N290" s="11">
        <v>65.0</v>
      </c>
      <c r="O290" s="12">
        <v>0.0</v>
      </c>
      <c r="P290" s="10">
        <v>2.0</v>
      </c>
      <c r="Q290" s="11">
        <v>20.0</v>
      </c>
      <c r="R290" s="11">
        <v>4.0</v>
      </c>
      <c r="S290" s="13">
        <v>0.09722222222222222</v>
      </c>
      <c r="T290" s="11">
        <v>3.0</v>
      </c>
      <c r="U290" s="11">
        <v>3.0</v>
      </c>
      <c r="V290" s="12">
        <v>0.0</v>
      </c>
      <c r="W290" s="21">
        <v>0.0</v>
      </c>
      <c r="X290" s="15">
        <v>-0.022916666666666665</v>
      </c>
      <c r="Y290" s="16" t="s">
        <v>1431</v>
      </c>
    </row>
    <row r="291">
      <c r="A291" s="6">
        <v>279.0</v>
      </c>
      <c r="B291" s="7" t="s">
        <v>1432</v>
      </c>
      <c r="C291" s="8" t="s">
        <v>1433</v>
      </c>
      <c r="D291" s="9" t="s">
        <v>52</v>
      </c>
      <c r="E291" s="7" t="s">
        <v>1434</v>
      </c>
      <c r="F291" s="9">
        <v>16.0</v>
      </c>
      <c r="G291" s="9">
        <v>2007.0</v>
      </c>
      <c r="H291" s="10">
        <v>2.0</v>
      </c>
      <c r="I291" s="11">
        <v>63.0</v>
      </c>
      <c r="J291" s="11">
        <v>32.0</v>
      </c>
      <c r="K291" s="11" t="s">
        <v>207</v>
      </c>
      <c r="L291" s="11" t="s">
        <v>180</v>
      </c>
      <c r="M291" s="10">
        <v>1.0</v>
      </c>
      <c r="N291" s="11">
        <v>62.0</v>
      </c>
      <c r="O291" s="12">
        <v>0.0</v>
      </c>
      <c r="P291" s="10">
        <v>1.0</v>
      </c>
      <c r="Q291" s="11">
        <v>1.0</v>
      </c>
      <c r="R291" s="11">
        <v>4.0</v>
      </c>
      <c r="S291" s="13">
        <v>0.0763888888888889</v>
      </c>
      <c r="T291" s="12">
        <v>0.0</v>
      </c>
      <c r="U291" s="12">
        <v>0.0</v>
      </c>
      <c r="V291" s="12">
        <v>0.0</v>
      </c>
      <c r="W291" s="21">
        <v>0.0</v>
      </c>
      <c r="X291" s="15">
        <v>-0.05416666666666667</v>
      </c>
      <c r="Y291" s="16" t="s">
        <v>1435</v>
      </c>
    </row>
    <row r="292">
      <c r="A292" s="6">
        <v>280.0</v>
      </c>
      <c r="B292" s="7" t="s">
        <v>1436</v>
      </c>
      <c r="C292" s="8" t="s">
        <v>1437</v>
      </c>
      <c r="D292" s="9" t="s">
        <v>284</v>
      </c>
      <c r="E292" s="7" t="s">
        <v>1438</v>
      </c>
      <c r="F292" s="9">
        <v>33.0</v>
      </c>
      <c r="G292" s="9">
        <v>1990.0</v>
      </c>
      <c r="H292" s="10">
        <v>15.0</v>
      </c>
      <c r="I292" s="11">
        <v>1.075</v>
      </c>
      <c r="J292" s="11">
        <v>72.0</v>
      </c>
      <c r="K292" s="11" t="s">
        <v>1439</v>
      </c>
      <c r="L292" s="11" t="s">
        <v>1440</v>
      </c>
      <c r="M292" s="10">
        <v>12.0</v>
      </c>
      <c r="N292" s="11">
        <v>86.0</v>
      </c>
      <c r="O292" s="11">
        <v>10.0</v>
      </c>
      <c r="P292" s="10">
        <v>3.0</v>
      </c>
      <c r="Q292" s="11">
        <v>15.0</v>
      </c>
      <c r="R292" s="11">
        <v>13.0</v>
      </c>
      <c r="S292" s="13">
        <v>0.08333333333333333</v>
      </c>
      <c r="T292" s="11">
        <v>24.0</v>
      </c>
      <c r="U292" s="11">
        <v>21.0</v>
      </c>
      <c r="V292" s="14">
        <f>+3</f>
        <v>3</v>
      </c>
      <c r="W292" s="14" t="str">
        <f>+0.25</f>
        <v>#ERROR!</v>
      </c>
      <c r="X292" s="15">
        <v>-0.0020833333333333333</v>
      </c>
      <c r="Y292" s="16" t="s">
        <v>1441</v>
      </c>
    </row>
    <row r="293">
      <c r="A293" s="6">
        <v>281.0</v>
      </c>
      <c r="B293" s="7" t="s">
        <v>1442</v>
      </c>
      <c r="C293" s="8" t="s">
        <v>1443</v>
      </c>
      <c r="D293" s="9" t="s">
        <v>52</v>
      </c>
      <c r="E293" s="7" t="s">
        <v>1444</v>
      </c>
      <c r="F293" s="9">
        <v>20.0</v>
      </c>
      <c r="G293" s="9">
        <v>2003.0</v>
      </c>
      <c r="H293" s="10">
        <v>26.0</v>
      </c>
      <c r="I293" s="11">
        <v>1.945</v>
      </c>
      <c r="J293" s="11">
        <v>75.0</v>
      </c>
      <c r="K293" s="11" t="s">
        <v>1445</v>
      </c>
      <c r="L293" s="11" t="s">
        <v>1446</v>
      </c>
      <c r="M293" s="10">
        <v>23.0</v>
      </c>
      <c r="N293" s="11">
        <v>81.0</v>
      </c>
      <c r="O293" s="11">
        <v>6.0</v>
      </c>
      <c r="P293" s="10">
        <v>3.0</v>
      </c>
      <c r="Q293" s="11">
        <v>27.0</v>
      </c>
      <c r="R293" s="12">
        <v>0.0</v>
      </c>
      <c r="S293" s="13">
        <v>0.05347222222222222</v>
      </c>
      <c r="T293" s="11">
        <v>20.0</v>
      </c>
      <c r="U293" s="11">
        <v>34.0</v>
      </c>
      <c r="V293" s="17">
        <v>-14.0</v>
      </c>
      <c r="W293" s="15">
        <v>-0.04513888888888889</v>
      </c>
      <c r="X293" s="15">
        <v>-0.02013888888888889</v>
      </c>
      <c r="Y293" s="16" t="s">
        <v>1447</v>
      </c>
    </row>
    <row r="294">
      <c r="A294" s="6">
        <v>282.0</v>
      </c>
      <c r="B294" s="7" t="s">
        <v>1448</v>
      </c>
      <c r="C294" s="8" t="s">
        <v>1449</v>
      </c>
      <c r="D294" s="9" t="s">
        <v>284</v>
      </c>
      <c r="E294" s="7" t="s">
        <v>1450</v>
      </c>
      <c r="F294" s="9">
        <v>23.0</v>
      </c>
      <c r="G294" s="9">
        <v>2000.0</v>
      </c>
      <c r="H294" s="10">
        <v>29.0</v>
      </c>
      <c r="I294" s="11">
        <v>2.549</v>
      </c>
      <c r="J294" s="11">
        <v>88.0</v>
      </c>
      <c r="K294" s="11" t="s">
        <v>1451</v>
      </c>
      <c r="L294" s="11" t="s">
        <v>1452</v>
      </c>
      <c r="M294" s="10">
        <v>29.0</v>
      </c>
      <c r="N294" s="11">
        <v>88.0</v>
      </c>
      <c r="O294" s="11">
        <v>24.0</v>
      </c>
      <c r="P294" s="18">
        <v>0.0</v>
      </c>
      <c r="Q294" s="19"/>
      <c r="R294" s="12">
        <v>0.0</v>
      </c>
      <c r="S294" s="13">
        <v>0.04375</v>
      </c>
      <c r="T294" s="11">
        <v>25.0</v>
      </c>
      <c r="U294" s="11">
        <v>38.0</v>
      </c>
      <c r="V294" s="17">
        <v>-13.0</v>
      </c>
      <c r="W294" s="15">
        <v>-0.03194444444444444</v>
      </c>
      <c r="X294" s="15">
        <v>-0.10069444444444445</v>
      </c>
      <c r="Y294" s="16" t="s">
        <v>1453</v>
      </c>
    </row>
    <row r="295">
      <c r="A295" s="6">
        <v>283.0</v>
      </c>
      <c r="B295" s="7" t="s">
        <v>1454</v>
      </c>
      <c r="C295" s="8" t="s">
        <v>1455</v>
      </c>
      <c r="D295" s="9" t="s">
        <v>45</v>
      </c>
      <c r="E295" s="7" t="s">
        <v>1456</v>
      </c>
      <c r="F295" s="9">
        <v>31.0</v>
      </c>
      <c r="G295" s="9">
        <v>1992.0</v>
      </c>
      <c r="H295" s="10">
        <v>19.0</v>
      </c>
      <c r="I295" s="11">
        <v>1.4</v>
      </c>
      <c r="J295" s="11">
        <v>74.0</v>
      </c>
      <c r="K295" s="11" t="s">
        <v>1457</v>
      </c>
      <c r="L295" s="11" t="s">
        <v>220</v>
      </c>
      <c r="M295" s="10">
        <v>16.0</v>
      </c>
      <c r="N295" s="11">
        <v>84.0</v>
      </c>
      <c r="O295" s="11">
        <v>8.0</v>
      </c>
      <c r="P295" s="10">
        <v>3.0</v>
      </c>
      <c r="Q295" s="11">
        <v>21.0</v>
      </c>
      <c r="R295" s="12">
        <v>0.0</v>
      </c>
      <c r="S295" s="13">
        <v>0.07847222222222222</v>
      </c>
      <c r="T295" s="11">
        <v>31.0</v>
      </c>
      <c r="U295" s="11">
        <v>27.0</v>
      </c>
      <c r="V295" s="14">
        <f>+4</f>
        <v>4</v>
      </c>
      <c r="W295" s="14" t="str">
        <f>+0.26</f>
        <v>#ERROR!</v>
      </c>
      <c r="X295" s="14" t="str">
        <f>+0.33</f>
        <v>#ERROR!</v>
      </c>
      <c r="Y295" s="16" t="s">
        <v>1458</v>
      </c>
    </row>
    <row r="296">
      <c r="A296" s="6">
        <v>284.0</v>
      </c>
      <c r="B296" s="7" t="s">
        <v>1459</v>
      </c>
      <c r="C296" s="8" t="s">
        <v>1460</v>
      </c>
      <c r="D296" s="9" t="s">
        <v>52</v>
      </c>
      <c r="E296" s="7" t="s">
        <v>1461</v>
      </c>
      <c r="F296" s="9">
        <v>23.0</v>
      </c>
      <c r="G296" s="9">
        <v>2000.0</v>
      </c>
      <c r="H296" s="10">
        <v>16.0</v>
      </c>
      <c r="I296" s="11">
        <v>1.163</v>
      </c>
      <c r="J296" s="11">
        <v>73.0</v>
      </c>
      <c r="K296" s="11" t="s">
        <v>503</v>
      </c>
      <c r="L296" s="11" t="s">
        <v>504</v>
      </c>
      <c r="M296" s="10">
        <v>12.0</v>
      </c>
      <c r="N296" s="11">
        <v>88.0</v>
      </c>
      <c r="O296" s="11">
        <v>9.0</v>
      </c>
      <c r="P296" s="10">
        <v>4.0</v>
      </c>
      <c r="Q296" s="11">
        <v>28.0</v>
      </c>
      <c r="R296" s="12">
        <v>0.0</v>
      </c>
      <c r="S296" s="13">
        <v>0.06111111111111111</v>
      </c>
      <c r="T296" s="11">
        <v>12.0</v>
      </c>
      <c r="U296" s="11">
        <v>13.0</v>
      </c>
      <c r="V296" s="17">
        <v>-1.0</v>
      </c>
      <c r="W296" s="15">
        <v>-0.005555555555555556</v>
      </c>
      <c r="X296" s="14" t="str">
        <f>+0.45</f>
        <v>#ERROR!</v>
      </c>
      <c r="Y296" s="16" t="s">
        <v>1462</v>
      </c>
    </row>
    <row r="297">
      <c r="A297" s="6">
        <v>285.0</v>
      </c>
      <c r="B297" s="7" t="s">
        <v>1463</v>
      </c>
      <c r="C297" s="8" t="s">
        <v>1464</v>
      </c>
      <c r="D297" s="9" t="s">
        <v>52</v>
      </c>
      <c r="E297" s="7" t="s">
        <v>1465</v>
      </c>
      <c r="F297" s="9">
        <v>15.0</v>
      </c>
      <c r="G297" s="9">
        <v>2008.0</v>
      </c>
      <c r="H297" s="18">
        <v>0.0</v>
      </c>
      <c r="I297" s="19"/>
      <c r="J297" s="19"/>
      <c r="K297" s="19"/>
      <c r="L297" s="19"/>
      <c r="M297" s="18">
        <v>0.0</v>
      </c>
      <c r="N297" s="19"/>
      <c r="O297" s="12">
        <v>0.0</v>
      </c>
      <c r="P297" s="18">
        <v>0.0</v>
      </c>
      <c r="Q297" s="19"/>
      <c r="R297" s="11">
        <v>1.0</v>
      </c>
      <c r="S297" s="24"/>
      <c r="T297" s="19"/>
      <c r="U297" s="19"/>
      <c r="V297" s="19"/>
      <c r="W297" s="19"/>
      <c r="X297" s="19"/>
      <c r="Y297" s="16" t="s">
        <v>1466</v>
      </c>
    </row>
    <row r="298">
      <c r="A298" s="6">
        <v>286.0</v>
      </c>
      <c r="B298" s="7" t="s">
        <v>1467</v>
      </c>
      <c r="C298" s="8" t="s">
        <v>1468</v>
      </c>
      <c r="D298" s="9" t="s">
        <v>284</v>
      </c>
      <c r="E298" s="7" t="s">
        <v>1469</v>
      </c>
      <c r="F298" s="9">
        <v>31.0</v>
      </c>
      <c r="G298" s="9">
        <v>1992.0</v>
      </c>
      <c r="H298" s="10">
        <v>2.0</v>
      </c>
      <c r="I298" s="11">
        <v>35.0</v>
      </c>
      <c r="J298" s="11">
        <v>18.0</v>
      </c>
      <c r="K298" s="11" t="s">
        <v>624</v>
      </c>
      <c r="L298" s="11" t="s">
        <v>318</v>
      </c>
      <c r="M298" s="18">
        <v>0.0</v>
      </c>
      <c r="N298" s="19"/>
      <c r="O298" s="12">
        <v>0.0</v>
      </c>
      <c r="P298" s="10">
        <v>2.0</v>
      </c>
      <c r="Q298" s="11">
        <v>18.0</v>
      </c>
      <c r="R298" s="12">
        <v>0.0</v>
      </c>
      <c r="S298" s="13">
        <v>0.08333333333333333</v>
      </c>
      <c r="T298" s="11">
        <v>2.0</v>
      </c>
      <c r="U298" s="12">
        <v>0.0</v>
      </c>
      <c r="V298" s="14">
        <f>+2</f>
        <v>2</v>
      </c>
      <c r="W298" s="14" t="str">
        <f>+5.14</f>
        <v>#ERROR!</v>
      </c>
      <c r="X298" s="14" t="str">
        <f>+3.79</f>
        <v>#ERROR!</v>
      </c>
      <c r="Y298" s="16" t="s">
        <v>1470</v>
      </c>
    </row>
    <row r="299">
      <c r="A299" s="6">
        <v>287.0</v>
      </c>
      <c r="B299" s="7" t="s">
        <v>1471</v>
      </c>
      <c r="C299" s="8" t="s">
        <v>1472</v>
      </c>
      <c r="D299" s="9" t="s">
        <v>66</v>
      </c>
      <c r="E299" s="7" t="s">
        <v>1473</v>
      </c>
      <c r="F299" s="9">
        <v>28.0</v>
      </c>
      <c r="G299" s="9">
        <v>1995.0</v>
      </c>
      <c r="H299" s="10">
        <v>11.0</v>
      </c>
      <c r="I299" s="11">
        <v>427.0</v>
      </c>
      <c r="J299" s="11">
        <v>39.0</v>
      </c>
      <c r="K299" s="11" t="s">
        <v>1474</v>
      </c>
      <c r="L299" s="11" t="s">
        <v>1012</v>
      </c>
      <c r="M299" s="10">
        <v>5.0</v>
      </c>
      <c r="N299" s="11">
        <v>70.0</v>
      </c>
      <c r="O299" s="11">
        <v>2.0</v>
      </c>
      <c r="P299" s="10">
        <v>6.0</v>
      </c>
      <c r="Q299" s="11">
        <v>13.0</v>
      </c>
      <c r="R299" s="11">
        <v>15.0</v>
      </c>
      <c r="S299" s="13">
        <v>0.06041666666666667</v>
      </c>
      <c r="T299" s="11">
        <v>7.0</v>
      </c>
      <c r="U299" s="11">
        <v>6.0</v>
      </c>
      <c r="V299" s="14">
        <f>+1</f>
        <v>1</v>
      </c>
      <c r="W299" s="14" t="str">
        <f>+0.21</f>
        <v>#ERROR!</v>
      </c>
      <c r="X299" s="14" t="str">
        <f>+0.13</f>
        <v>#ERROR!</v>
      </c>
      <c r="Y299" s="16" t="s">
        <v>1475</v>
      </c>
    </row>
    <row r="300">
      <c r="A300" s="6">
        <v>288.0</v>
      </c>
      <c r="B300" s="7" t="s">
        <v>1476</v>
      </c>
      <c r="C300" s="8" t="s">
        <v>1477</v>
      </c>
      <c r="D300" s="9" t="s">
        <v>52</v>
      </c>
      <c r="E300" s="7" t="s">
        <v>1478</v>
      </c>
      <c r="F300" s="9">
        <v>20.0</v>
      </c>
      <c r="G300" s="9">
        <v>2003.0</v>
      </c>
      <c r="H300" s="10">
        <v>28.0</v>
      </c>
      <c r="I300" s="11">
        <v>2.387</v>
      </c>
      <c r="J300" s="11">
        <v>85.0</v>
      </c>
      <c r="K300" s="11" t="s">
        <v>1479</v>
      </c>
      <c r="L300" s="11" t="s">
        <v>1480</v>
      </c>
      <c r="M300" s="10">
        <v>26.0</v>
      </c>
      <c r="N300" s="11">
        <v>88.0</v>
      </c>
      <c r="O300" s="11">
        <v>23.0</v>
      </c>
      <c r="P300" s="10">
        <v>2.0</v>
      </c>
      <c r="Q300" s="11">
        <v>45.0</v>
      </c>
      <c r="R300" s="12">
        <v>0.0</v>
      </c>
      <c r="S300" s="13">
        <v>0.052083333333333336</v>
      </c>
      <c r="T300" s="11">
        <v>23.0</v>
      </c>
      <c r="U300" s="11">
        <v>37.0</v>
      </c>
      <c r="V300" s="17">
        <v>-14.0</v>
      </c>
      <c r="W300" s="15">
        <v>-0.03680555555555556</v>
      </c>
      <c r="X300" s="14" t="str">
        <f>+0.33</f>
        <v>#ERROR!</v>
      </c>
      <c r="Y300" s="16" t="s">
        <v>1481</v>
      </c>
    </row>
    <row r="301">
      <c r="A301" s="6">
        <v>289.0</v>
      </c>
      <c r="B301" s="7" t="s">
        <v>1482</v>
      </c>
      <c r="C301" s="8" t="s">
        <v>1483</v>
      </c>
      <c r="D301" s="9" t="s">
        <v>52</v>
      </c>
      <c r="E301" s="7" t="s">
        <v>1484</v>
      </c>
      <c r="F301" s="9">
        <v>34.0</v>
      </c>
      <c r="G301" s="9">
        <v>1989.0</v>
      </c>
      <c r="H301" s="10">
        <v>20.0</v>
      </c>
      <c r="I301" s="11">
        <v>540.0</v>
      </c>
      <c r="J301" s="11">
        <v>27.0</v>
      </c>
      <c r="K301" s="11" t="s">
        <v>654</v>
      </c>
      <c r="L301" s="11" t="s">
        <v>1485</v>
      </c>
      <c r="M301" s="10">
        <v>6.0</v>
      </c>
      <c r="N301" s="11">
        <v>53.0</v>
      </c>
      <c r="O301" s="12">
        <v>0.0</v>
      </c>
      <c r="P301" s="10">
        <v>14.0</v>
      </c>
      <c r="Q301" s="11">
        <v>16.0</v>
      </c>
      <c r="R301" s="11">
        <v>8.0</v>
      </c>
      <c r="S301" s="13">
        <v>0.0763888888888889</v>
      </c>
      <c r="T301" s="11">
        <v>9.0</v>
      </c>
      <c r="U301" s="11">
        <v>9.0</v>
      </c>
      <c r="V301" s="12">
        <v>0.0</v>
      </c>
      <c r="W301" s="21">
        <v>0.0</v>
      </c>
      <c r="X301" s="15">
        <v>-0.005555555555555556</v>
      </c>
      <c r="Y301" s="16" t="s">
        <v>1486</v>
      </c>
    </row>
    <row r="302">
      <c r="A302" s="6">
        <v>290.0</v>
      </c>
      <c r="B302" s="7" t="s">
        <v>1487</v>
      </c>
      <c r="C302" s="8" t="s">
        <v>1488</v>
      </c>
      <c r="D302" s="9" t="s">
        <v>1489</v>
      </c>
      <c r="E302" s="7" t="s">
        <v>1490</v>
      </c>
      <c r="F302" s="9">
        <v>25.0</v>
      </c>
      <c r="G302" s="9">
        <v>1999.0</v>
      </c>
      <c r="H302" s="10">
        <v>27.0</v>
      </c>
      <c r="I302" s="11">
        <v>1.938</v>
      </c>
      <c r="J302" s="11">
        <v>72.0</v>
      </c>
      <c r="K302" s="11" t="s">
        <v>1491</v>
      </c>
      <c r="L302" s="11" t="s">
        <v>888</v>
      </c>
      <c r="M302" s="10">
        <v>21.0</v>
      </c>
      <c r="N302" s="11">
        <v>86.0</v>
      </c>
      <c r="O302" s="11">
        <v>15.0</v>
      </c>
      <c r="P302" s="10">
        <v>6.0</v>
      </c>
      <c r="Q302" s="11">
        <v>24.0</v>
      </c>
      <c r="R302" s="12">
        <v>0.0</v>
      </c>
      <c r="S302" s="13">
        <v>0.06458333333333334</v>
      </c>
      <c r="T302" s="11">
        <v>37.0</v>
      </c>
      <c r="U302" s="11">
        <v>38.0</v>
      </c>
      <c r="V302" s="17">
        <v>-1.0</v>
      </c>
      <c r="W302" s="15">
        <v>-0.003472222222222222</v>
      </c>
      <c r="X302" s="15">
        <v>-0.03611111111111111</v>
      </c>
      <c r="Y302" s="16" t="s">
        <v>1492</v>
      </c>
    </row>
    <row r="303">
      <c r="A303" s="6">
        <v>291.0</v>
      </c>
      <c r="B303" s="7" t="s">
        <v>1493</v>
      </c>
      <c r="C303" s="8" t="s">
        <v>1494</v>
      </c>
      <c r="D303" s="9" t="s">
        <v>52</v>
      </c>
      <c r="E303" s="7" t="s">
        <v>1495</v>
      </c>
      <c r="F303" s="9">
        <v>23.0</v>
      </c>
      <c r="G303" s="9">
        <v>2000.0</v>
      </c>
      <c r="H303" s="10">
        <v>26.0</v>
      </c>
      <c r="I303" s="11">
        <v>1.278</v>
      </c>
      <c r="J303" s="11">
        <v>49.0</v>
      </c>
      <c r="K303" s="11" t="s">
        <v>1496</v>
      </c>
      <c r="L303" s="11" t="s">
        <v>41</v>
      </c>
      <c r="M303" s="10">
        <v>13.0</v>
      </c>
      <c r="N303" s="11">
        <v>75.0</v>
      </c>
      <c r="O303" s="11">
        <v>3.0</v>
      </c>
      <c r="P303" s="10">
        <v>13.0</v>
      </c>
      <c r="Q303" s="11">
        <v>23.0</v>
      </c>
      <c r="R303" s="11">
        <v>3.0</v>
      </c>
      <c r="S303" s="13">
        <v>0.06041666666666667</v>
      </c>
      <c r="T303" s="11">
        <v>25.0</v>
      </c>
      <c r="U303" s="11">
        <v>23.0</v>
      </c>
      <c r="V303" s="14">
        <f>+2</f>
        <v>2</v>
      </c>
      <c r="W303" s="14" t="str">
        <f>+0.14</f>
        <v>#ERROR!</v>
      </c>
      <c r="X303" s="14" t="str">
        <f>+0.20</f>
        <v>#ERROR!</v>
      </c>
      <c r="Y303" s="16" t="s">
        <v>1497</v>
      </c>
    </row>
    <row r="304">
      <c r="A304" s="6">
        <v>292.0</v>
      </c>
      <c r="B304" s="7" t="s">
        <v>1498</v>
      </c>
      <c r="C304" s="8" t="s">
        <v>1499</v>
      </c>
      <c r="D304" s="9" t="s">
        <v>52</v>
      </c>
      <c r="E304" s="7" t="s">
        <v>1500</v>
      </c>
      <c r="F304" s="9">
        <v>17.0</v>
      </c>
      <c r="G304" s="9">
        <v>2006.0</v>
      </c>
      <c r="H304" s="18">
        <v>0.0</v>
      </c>
      <c r="I304" s="19"/>
      <c r="J304" s="19"/>
      <c r="K304" s="19"/>
      <c r="L304" s="19"/>
      <c r="M304" s="18">
        <v>0.0</v>
      </c>
      <c r="N304" s="19"/>
      <c r="O304" s="12">
        <v>0.0</v>
      </c>
      <c r="P304" s="18">
        <v>0.0</v>
      </c>
      <c r="Q304" s="19"/>
      <c r="R304" s="11">
        <v>3.0</v>
      </c>
      <c r="S304" s="24"/>
      <c r="T304" s="19"/>
      <c r="U304" s="19"/>
      <c r="V304" s="19"/>
      <c r="W304" s="19"/>
      <c r="X304" s="19"/>
      <c r="Y304" s="16" t="s">
        <v>1501</v>
      </c>
    </row>
    <row r="305">
      <c r="A305" s="6">
        <v>293.0</v>
      </c>
      <c r="B305" s="7" t="s">
        <v>1502</v>
      </c>
      <c r="C305" s="8" t="s">
        <v>1503</v>
      </c>
      <c r="D305" s="9" t="s">
        <v>73</v>
      </c>
      <c r="E305" s="7" t="s">
        <v>1504</v>
      </c>
      <c r="F305" s="9">
        <v>30.0</v>
      </c>
      <c r="G305" s="9">
        <v>1993.0</v>
      </c>
      <c r="H305" s="10">
        <v>18.0</v>
      </c>
      <c r="I305" s="11">
        <v>1.62</v>
      </c>
      <c r="J305" s="11">
        <v>90.0</v>
      </c>
      <c r="K305" s="11" t="s">
        <v>1505</v>
      </c>
      <c r="L305" s="11" t="s">
        <v>1506</v>
      </c>
      <c r="M305" s="10">
        <v>18.0</v>
      </c>
      <c r="N305" s="11">
        <v>90.0</v>
      </c>
      <c r="O305" s="11">
        <v>18.0</v>
      </c>
      <c r="P305" s="18">
        <v>0.0</v>
      </c>
      <c r="Q305" s="19"/>
      <c r="R305" s="11">
        <v>12.0</v>
      </c>
      <c r="S305" s="13">
        <v>0.0763888888888889</v>
      </c>
      <c r="T305" s="11">
        <v>35.0</v>
      </c>
      <c r="U305" s="11">
        <v>31.0</v>
      </c>
      <c r="V305" s="14">
        <f>+4</f>
        <v>4</v>
      </c>
      <c r="W305" s="14" t="str">
        <f>+0.22</f>
        <v>#ERROR!</v>
      </c>
      <c r="X305" s="14" t="str">
        <f>+0.31</f>
        <v>#ERROR!</v>
      </c>
      <c r="Y305" s="16" t="s">
        <v>1507</v>
      </c>
    </row>
    <row r="306">
      <c r="A306" s="6">
        <v>294.0</v>
      </c>
      <c r="B306" s="7" t="s">
        <v>1508</v>
      </c>
      <c r="C306" s="8" t="s">
        <v>1509</v>
      </c>
      <c r="D306" s="9" t="s">
        <v>52</v>
      </c>
      <c r="E306" s="7" t="s">
        <v>1510</v>
      </c>
      <c r="F306" s="9">
        <v>19.0</v>
      </c>
      <c r="G306" s="9">
        <v>2005.0</v>
      </c>
      <c r="H306" s="10">
        <v>1.0</v>
      </c>
      <c r="I306" s="11">
        <v>1.0</v>
      </c>
      <c r="J306" s="11">
        <v>1.0</v>
      </c>
      <c r="K306" s="12" t="s">
        <v>470</v>
      </c>
      <c r="L306" s="12" t="s">
        <v>470</v>
      </c>
      <c r="M306" s="18">
        <v>0.0</v>
      </c>
      <c r="N306" s="19"/>
      <c r="O306" s="12">
        <v>0.0</v>
      </c>
      <c r="P306" s="10">
        <v>1.0</v>
      </c>
      <c r="Q306" s="11">
        <v>1.0</v>
      </c>
      <c r="R306" s="12">
        <v>0.0</v>
      </c>
      <c r="S306" s="13">
        <v>0.125</v>
      </c>
      <c r="T306" s="12">
        <v>0.0</v>
      </c>
      <c r="U306" s="12">
        <v>0.0</v>
      </c>
      <c r="V306" s="12">
        <v>0.0</v>
      </c>
      <c r="W306" s="21">
        <v>0.0</v>
      </c>
      <c r="X306" s="14" t="str">
        <f>+0.57</f>
        <v>#ERROR!</v>
      </c>
      <c r="Y306" s="16" t="s">
        <v>1511</v>
      </c>
    </row>
    <row r="307">
      <c r="A307" s="6">
        <v>295.0</v>
      </c>
      <c r="B307" s="7" t="s">
        <v>1512</v>
      </c>
      <c r="C307" s="8" t="s">
        <v>1513</v>
      </c>
      <c r="D307" s="9" t="s">
        <v>66</v>
      </c>
      <c r="E307" s="7" t="s">
        <v>1514</v>
      </c>
      <c r="F307" s="9">
        <v>18.0</v>
      </c>
      <c r="G307" s="9">
        <v>2005.0</v>
      </c>
      <c r="H307" s="10">
        <v>3.0</v>
      </c>
      <c r="I307" s="11">
        <v>13.0</v>
      </c>
      <c r="J307" s="11">
        <v>4.0</v>
      </c>
      <c r="K307" s="11" t="s">
        <v>201</v>
      </c>
      <c r="L307" s="11" t="s">
        <v>155</v>
      </c>
      <c r="M307" s="18">
        <v>0.0</v>
      </c>
      <c r="N307" s="19"/>
      <c r="O307" s="12">
        <v>0.0</v>
      </c>
      <c r="P307" s="10">
        <v>3.0</v>
      </c>
      <c r="Q307" s="11">
        <v>4.0</v>
      </c>
      <c r="R307" s="11">
        <v>19.0</v>
      </c>
      <c r="S307" s="13">
        <v>0.08333333333333333</v>
      </c>
      <c r="T307" s="12">
        <v>0.0</v>
      </c>
      <c r="U307" s="12">
        <v>0.0</v>
      </c>
      <c r="V307" s="12">
        <v>0.0</v>
      </c>
      <c r="W307" s="21">
        <v>0.0</v>
      </c>
      <c r="X307" s="15">
        <v>-0.020833333333333332</v>
      </c>
      <c r="Y307" s="16" t="s">
        <v>1515</v>
      </c>
    </row>
    <row r="308">
      <c r="A308" s="6">
        <v>296.0</v>
      </c>
      <c r="B308" s="7" t="s">
        <v>1516</v>
      </c>
      <c r="C308" s="8" t="s">
        <v>1517</v>
      </c>
      <c r="D308" s="9" t="s">
        <v>45</v>
      </c>
      <c r="E308" s="7" t="s">
        <v>1518</v>
      </c>
      <c r="F308" s="9">
        <v>18.0</v>
      </c>
      <c r="G308" s="9">
        <v>2005.0</v>
      </c>
      <c r="H308" s="10">
        <v>17.0</v>
      </c>
      <c r="I308" s="11">
        <v>473.0</v>
      </c>
      <c r="J308" s="11">
        <v>28.0</v>
      </c>
      <c r="K308" s="11" t="s">
        <v>1519</v>
      </c>
      <c r="L308" s="11" t="s">
        <v>811</v>
      </c>
      <c r="M308" s="10">
        <v>3.0</v>
      </c>
      <c r="N308" s="11">
        <v>70.0</v>
      </c>
      <c r="O308" s="12">
        <v>0.0</v>
      </c>
      <c r="P308" s="10">
        <v>14.0</v>
      </c>
      <c r="Q308" s="11">
        <v>19.0</v>
      </c>
      <c r="R308" s="11">
        <v>9.0</v>
      </c>
      <c r="S308" s="13">
        <v>0.06111111111111111</v>
      </c>
      <c r="T308" s="11">
        <v>10.0</v>
      </c>
      <c r="U308" s="11">
        <v>8.0</v>
      </c>
      <c r="V308" s="14">
        <f>+2</f>
        <v>2</v>
      </c>
      <c r="W308" s="14" t="str">
        <f>+0.38</f>
        <v>#ERROR!</v>
      </c>
      <c r="X308" s="14" t="str">
        <f>+0.42</f>
        <v>#ERROR!</v>
      </c>
      <c r="Y308" s="16" t="s">
        <v>1520</v>
      </c>
    </row>
    <row r="309">
      <c r="A309" s="6">
        <v>297.0</v>
      </c>
      <c r="B309" s="7" t="s">
        <v>1521</v>
      </c>
      <c r="C309" s="8" t="s">
        <v>1522</v>
      </c>
      <c r="D309" s="9" t="s">
        <v>66</v>
      </c>
      <c r="E309" s="7" t="s">
        <v>1523</v>
      </c>
      <c r="F309" s="9">
        <v>24.0</v>
      </c>
      <c r="G309" s="9">
        <v>1999.0</v>
      </c>
      <c r="H309" s="10">
        <v>10.0</v>
      </c>
      <c r="I309" s="11">
        <v>329.0</v>
      </c>
      <c r="J309" s="11">
        <v>33.0</v>
      </c>
      <c r="K309" s="11" t="s">
        <v>1524</v>
      </c>
      <c r="L309" s="11" t="s">
        <v>226</v>
      </c>
      <c r="M309" s="10">
        <v>2.0</v>
      </c>
      <c r="N309" s="11">
        <v>90.0</v>
      </c>
      <c r="O309" s="11">
        <v>2.0</v>
      </c>
      <c r="P309" s="10">
        <v>8.0</v>
      </c>
      <c r="Q309" s="11">
        <v>19.0</v>
      </c>
      <c r="R309" s="11">
        <v>10.0</v>
      </c>
      <c r="S309" s="13">
        <v>0.10416666666666667</v>
      </c>
      <c r="T309" s="11">
        <v>4.0</v>
      </c>
      <c r="U309" s="11">
        <v>5.0</v>
      </c>
      <c r="V309" s="17">
        <v>-1.0</v>
      </c>
      <c r="W309" s="15">
        <v>-0.01875</v>
      </c>
      <c r="X309" s="15">
        <v>-0.05416666666666667</v>
      </c>
      <c r="Y309" s="16" t="s">
        <v>1525</v>
      </c>
    </row>
    <row r="310">
      <c r="A310" s="6">
        <v>298.0</v>
      </c>
      <c r="B310" s="7" t="s">
        <v>1526</v>
      </c>
      <c r="C310" s="8" t="s">
        <v>1527</v>
      </c>
      <c r="D310" s="9" t="s">
        <v>66</v>
      </c>
      <c r="E310" s="7" t="s">
        <v>1528</v>
      </c>
      <c r="F310" s="9">
        <v>30.0</v>
      </c>
      <c r="G310" s="9">
        <v>1993.0</v>
      </c>
      <c r="H310" s="10">
        <v>28.0</v>
      </c>
      <c r="I310" s="11">
        <v>2.352</v>
      </c>
      <c r="J310" s="11">
        <v>84.0</v>
      </c>
      <c r="K310" s="11" t="s">
        <v>1529</v>
      </c>
      <c r="L310" s="11" t="s">
        <v>1530</v>
      </c>
      <c r="M310" s="10">
        <v>27.0</v>
      </c>
      <c r="N310" s="11">
        <v>86.0</v>
      </c>
      <c r="O310" s="11">
        <v>24.0</v>
      </c>
      <c r="P310" s="10">
        <v>1.0</v>
      </c>
      <c r="Q310" s="11">
        <v>23.0</v>
      </c>
      <c r="R310" s="11">
        <v>1.0</v>
      </c>
      <c r="S310" s="13">
        <v>0.0763888888888889</v>
      </c>
      <c r="T310" s="11">
        <v>49.0</v>
      </c>
      <c r="U310" s="11">
        <v>39.0</v>
      </c>
      <c r="V310" s="14">
        <f>+10</f>
        <v>10</v>
      </c>
      <c r="W310" s="14" t="str">
        <f>+0.38</f>
        <v>#ERROR!</v>
      </c>
      <c r="X310" s="14" t="str">
        <f>+2.19</f>
        <v>#ERROR!</v>
      </c>
      <c r="Y310" s="16" t="s">
        <v>1531</v>
      </c>
    </row>
    <row r="311">
      <c r="A311" s="6">
        <v>299.0</v>
      </c>
      <c r="B311" s="7" t="s">
        <v>1532</v>
      </c>
      <c r="C311" s="8" t="s">
        <v>1533</v>
      </c>
      <c r="D311" s="9" t="s">
        <v>52</v>
      </c>
      <c r="E311" s="7" t="s">
        <v>1534</v>
      </c>
      <c r="F311" s="9">
        <v>17.0</v>
      </c>
      <c r="G311" s="9">
        <v>2006.0</v>
      </c>
      <c r="H311" s="10">
        <v>1.0</v>
      </c>
      <c r="I311" s="11">
        <v>1.0</v>
      </c>
      <c r="J311" s="11">
        <v>1.0</v>
      </c>
      <c r="K311" s="12" t="s">
        <v>470</v>
      </c>
      <c r="L311" s="12" t="s">
        <v>470</v>
      </c>
      <c r="M311" s="18">
        <v>0.0</v>
      </c>
      <c r="N311" s="19"/>
      <c r="O311" s="12">
        <v>0.0</v>
      </c>
      <c r="P311" s="10">
        <v>1.0</v>
      </c>
      <c r="Q311" s="11">
        <v>1.0</v>
      </c>
      <c r="R311" s="11">
        <v>12.0</v>
      </c>
      <c r="S311" s="13">
        <v>0.125</v>
      </c>
      <c r="T311" s="12">
        <v>0.0</v>
      </c>
      <c r="U311" s="12">
        <v>0.0</v>
      </c>
      <c r="V311" s="12">
        <v>0.0</v>
      </c>
      <c r="W311" s="21">
        <v>0.0</v>
      </c>
      <c r="X311" s="14" t="str">
        <f>+0.23</f>
        <v>#ERROR!</v>
      </c>
      <c r="Y311" s="16" t="s">
        <v>1535</v>
      </c>
    </row>
    <row r="312">
      <c r="A312" s="6">
        <v>300.0</v>
      </c>
      <c r="B312" s="7" t="s">
        <v>1536</v>
      </c>
      <c r="C312" s="8" t="s">
        <v>1537</v>
      </c>
      <c r="D312" s="9" t="s">
        <v>284</v>
      </c>
      <c r="E312" s="7" t="s">
        <v>1538</v>
      </c>
      <c r="F312" s="9">
        <v>25.0</v>
      </c>
      <c r="G312" s="9">
        <v>1998.0</v>
      </c>
      <c r="H312" s="10">
        <v>22.0</v>
      </c>
      <c r="I312" s="11">
        <v>1.149</v>
      </c>
      <c r="J312" s="11">
        <v>52.0</v>
      </c>
      <c r="K312" s="11" t="s">
        <v>1539</v>
      </c>
      <c r="L312" s="11" t="s">
        <v>1540</v>
      </c>
      <c r="M312" s="10">
        <v>13.0</v>
      </c>
      <c r="N312" s="11">
        <v>75.0</v>
      </c>
      <c r="O312" s="11">
        <v>4.0</v>
      </c>
      <c r="P312" s="10">
        <v>9.0</v>
      </c>
      <c r="Q312" s="11">
        <v>19.0</v>
      </c>
      <c r="R312" s="11">
        <v>8.0</v>
      </c>
      <c r="S312" s="13">
        <v>0.05763888888888889</v>
      </c>
      <c r="T312" s="11">
        <v>12.0</v>
      </c>
      <c r="U312" s="11">
        <v>15.0</v>
      </c>
      <c r="V312" s="17">
        <v>-3.0</v>
      </c>
      <c r="W312" s="15">
        <v>-0.01597222222222222</v>
      </c>
      <c r="X312" s="14" t="str">
        <f>+0.17</f>
        <v>#ERROR!</v>
      </c>
      <c r="Y312" s="16" t="s">
        <v>1541</v>
      </c>
    </row>
    <row r="313">
      <c r="A313" s="25" t="s">
        <v>0</v>
      </c>
      <c r="B313" s="26" t="s">
        <v>1</v>
      </c>
      <c r="C313" s="27" t="s">
        <v>2</v>
      </c>
      <c r="D313" s="27" t="s">
        <v>3</v>
      </c>
      <c r="E313" s="27" t="s">
        <v>4</v>
      </c>
      <c r="F313" s="27" t="s">
        <v>5</v>
      </c>
      <c r="G313" s="27" t="s">
        <v>6</v>
      </c>
      <c r="H313" s="28" t="s">
        <v>7</v>
      </c>
      <c r="I313" s="27" t="s">
        <v>8</v>
      </c>
      <c r="J313" s="27" t="s">
        <v>9</v>
      </c>
      <c r="K313" s="27" t="s">
        <v>10</v>
      </c>
      <c r="L313" s="27" t="s">
        <v>11</v>
      </c>
      <c r="M313" s="28" t="s">
        <v>12</v>
      </c>
      <c r="N313" s="27" t="s">
        <v>13</v>
      </c>
      <c r="O313" s="27" t="s">
        <v>14</v>
      </c>
      <c r="P313" s="28" t="s">
        <v>15</v>
      </c>
      <c r="Q313" s="27" t="s">
        <v>16</v>
      </c>
      <c r="R313" s="27" t="s">
        <v>17</v>
      </c>
      <c r="S313" s="28" t="s">
        <v>18</v>
      </c>
      <c r="T313" s="27" t="s">
        <v>19</v>
      </c>
      <c r="U313" s="27" t="s">
        <v>20</v>
      </c>
      <c r="V313" s="29" t="str">
        <f>+/-</f>
        <v>#ERROR!</v>
      </c>
      <c r="W313" s="29" t="str">
        <f>+/-90</f>
        <v>#ERROR!</v>
      </c>
      <c r="X313" s="27" t="s">
        <v>21</v>
      </c>
      <c r="Y313" s="28" t="s">
        <v>22</v>
      </c>
    </row>
    <row r="314">
      <c r="A314" s="6">
        <v>301.0</v>
      </c>
      <c r="B314" s="7" t="s">
        <v>1542</v>
      </c>
      <c r="C314" s="8" t="s">
        <v>1543</v>
      </c>
      <c r="D314" s="9" t="s">
        <v>52</v>
      </c>
      <c r="E314" s="7" t="s">
        <v>1544</v>
      </c>
      <c r="F314" s="9">
        <v>18.0</v>
      </c>
      <c r="G314" s="9">
        <v>2006.0</v>
      </c>
      <c r="H314" s="10">
        <v>6.0</v>
      </c>
      <c r="I314" s="11">
        <v>181.0</v>
      </c>
      <c r="J314" s="11">
        <v>30.0</v>
      </c>
      <c r="K314" s="11" t="s">
        <v>412</v>
      </c>
      <c r="L314" s="11" t="s">
        <v>413</v>
      </c>
      <c r="M314" s="10">
        <v>2.0</v>
      </c>
      <c r="N314" s="11">
        <v>81.0</v>
      </c>
      <c r="O314" s="12">
        <v>0.0</v>
      </c>
      <c r="P314" s="10">
        <v>4.0</v>
      </c>
      <c r="Q314" s="11">
        <v>5.0</v>
      </c>
      <c r="R314" s="11">
        <v>18.0</v>
      </c>
      <c r="S314" s="13">
        <v>0.08333333333333333</v>
      </c>
      <c r="T314" s="11">
        <v>4.0</v>
      </c>
      <c r="U314" s="11">
        <v>4.0</v>
      </c>
      <c r="V314" s="12">
        <v>0.0</v>
      </c>
      <c r="W314" s="21">
        <v>0.0</v>
      </c>
      <c r="X314" s="15">
        <v>-0.0763888888888889</v>
      </c>
      <c r="Y314" s="16" t="s">
        <v>1545</v>
      </c>
    </row>
    <row r="315">
      <c r="A315" s="6">
        <v>302.0</v>
      </c>
      <c r="B315" s="7" t="s">
        <v>1546</v>
      </c>
      <c r="C315" s="8" t="s">
        <v>1547</v>
      </c>
      <c r="D315" s="9" t="s">
        <v>284</v>
      </c>
      <c r="E315" s="7" t="s">
        <v>1548</v>
      </c>
      <c r="F315" s="9">
        <v>22.0</v>
      </c>
      <c r="G315" s="9">
        <v>2001.0</v>
      </c>
      <c r="H315" s="10">
        <v>10.0</v>
      </c>
      <c r="I315" s="11">
        <v>700.0</v>
      </c>
      <c r="J315" s="11">
        <v>70.0</v>
      </c>
      <c r="K315" s="11" t="s">
        <v>324</v>
      </c>
      <c r="L315" s="11" t="s">
        <v>1196</v>
      </c>
      <c r="M315" s="10">
        <v>8.0</v>
      </c>
      <c r="N315" s="11">
        <v>79.0</v>
      </c>
      <c r="O315" s="11">
        <v>2.0</v>
      </c>
      <c r="P315" s="10">
        <v>2.0</v>
      </c>
      <c r="Q315" s="11">
        <v>36.0</v>
      </c>
      <c r="R315" s="12">
        <v>0.0</v>
      </c>
      <c r="S315" s="13">
        <v>0.06944444444444445</v>
      </c>
      <c r="T315" s="11">
        <v>15.0</v>
      </c>
      <c r="U315" s="11">
        <v>14.0</v>
      </c>
      <c r="V315" s="14">
        <f>+1</f>
        <v>1</v>
      </c>
      <c r="W315" s="14" t="str">
        <f>+0.13</f>
        <v>#ERROR!</v>
      </c>
      <c r="X315" s="14" t="str">
        <f>+0.04</f>
        <v>#ERROR!</v>
      </c>
      <c r="Y315" s="16" t="s">
        <v>1549</v>
      </c>
    </row>
    <row r="316">
      <c r="A316" s="6">
        <v>303.0</v>
      </c>
      <c r="B316" s="7" t="s">
        <v>1550</v>
      </c>
      <c r="C316" s="8" t="s">
        <v>1551</v>
      </c>
      <c r="D316" s="9" t="s">
        <v>45</v>
      </c>
      <c r="E316" s="7" t="s">
        <v>1552</v>
      </c>
      <c r="F316" s="9">
        <v>28.0</v>
      </c>
      <c r="G316" s="9">
        <v>1995.0</v>
      </c>
      <c r="H316" s="10">
        <v>30.0</v>
      </c>
      <c r="I316" s="11">
        <v>2.689</v>
      </c>
      <c r="J316" s="11">
        <v>90.0</v>
      </c>
      <c r="K316" s="11" t="s">
        <v>1553</v>
      </c>
      <c r="L316" s="11" t="s">
        <v>1554</v>
      </c>
      <c r="M316" s="10">
        <v>30.0</v>
      </c>
      <c r="N316" s="11">
        <v>90.0</v>
      </c>
      <c r="O316" s="11">
        <v>27.0</v>
      </c>
      <c r="P316" s="18">
        <v>0.0</v>
      </c>
      <c r="Q316" s="19"/>
      <c r="R316" s="12">
        <v>0.0</v>
      </c>
      <c r="S316" s="13">
        <v>0.08333333333333333</v>
      </c>
      <c r="T316" s="11">
        <v>35.0</v>
      </c>
      <c r="U316" s="11">
        <v>33.0</v>
      </c>
      <c r="V316" s="14">
        <f>+2</f>
        <v>2</v>
      </c>
      <c r="W316" s="14" t="str">
        <f>+0.07</f>
        <v>#ERROR!</v>
      </c>
      <c r="X316" s="14" t="str">
        <f>+0.07</f>
        <v>#ERROR!</v>
      </c>
      <c r="Y316" s="16" t="s">
        <v>1555</v>
      </c>
    </row>
    <row r="317">
      <c r="A317" s="6">
        <v>304.0</v>
      </c>
      <c r="B317" s="7" t="s">
        <v>1556</v>
      </c>
      <c r="C317" s="8" t="s">
        <v>1557</v>
      </c>
      <c r="D317" s="9" t="s">
        <v>73</v>
      </c>
      <c r="E317" s="7" t="s">
        <v>1558</v>
      </c>
      <c r="F317" s="9">
        <v>31.0</v>
      </c>
      <c r="G317" s="9">
        <v>1992.0</v>
      </c>
      <c r="H317" s="10">
        <v>4.0</v>
      </c>
      <c r="I317" s="11">
        <v>317.0</v>
      </c>
      <c r="J317" s="11">
        <v>79.0</v>
      </c>
      <c r="K317" s="11" t="s">
        <v>634</v>
      </c>
      <c r="L317" s="11" t="s">
        <v>340</v>
      </c>
      <c r="M317" s="10">
        <v>3.0</v>
      </c>
      <c r="N317" s="11">
        <v>90.0</v>
      </c>
      <c r="O317" s="11">
        <v>3.0</v>
      </c>
      <c r="P317" s="10">
        <v>1.0</v>
      </c>
      <c r="Q317" s="11">
        <v>47.0</v>
      </c>
      <c r="R317" s="11">
        <v>26.0</v>
      </c>
      <c r="S317" s="13">
        <v>0.09375</v>
      </c>
      <c r="T317" s="11">
        <v>5.0</v>
      </c>
      <c r="U317" s="11">
        <v>6.0</v>
      </c>
      <c r="V317" s="17">
        <v>-1.0</v>
      </c>
      <c r="W317" s="15">
        <v>-0.019444444444444445</v>
      </c>
      <c r="X317" s="15">
        <v>-0.04583333333333333</v>
      </c>
      <c r="Y317" s="16" t="s">
        <v>1559</v>
      </c>
    </row>
    <row r="318">
      <c r="A318" s="6">
        <v>305.0</v>
      </c>
      <c r="B318" s="7" t="s">
        <v>1560</v>
      </c>
      <c r="C318" s="8" t="s">
        <v>1561</v>
      </c>
      <c r="D318" s="9" t="s">
        <v>66</v>
      </c>
      <c r="E318" s="7" t="s">
        <v>1562</v>
      </c>
      <c r="F318" s="9">
        <v>29.0</v>
      </c>
      <c r="G318" s="9">
        <v>1994.0</v>
      </c>
      <c r="H318" s="10">
        <v>27.0</v>
      </c>
      <c r="I318" s="11">
        <v>2.039</v>
      </c>
      <c r="J318" s="11">
        <v>76.0</v>
      </c>
      <c r="K318" s="11" t="s">
        <v>1563</v>
      </c>
      <c r="L318" s="11" t="s">
        <v>1564</v>
      </c>
      <c r="M318" s="10">
        <v>23.0</v>
      </c>
      <c r="N318" s="11">
        <v>82.0</v>
      </c>
      <c r="O318" s="11">
        <v>12.0</v>
      </c>
      <c r="P318" s="10">
        <v>4.0</v>
      </c>
      <c r="Q318" s="11">
        <v>38.0</v>
      </c>
      <c r="R318" s="12">
        <v>0.0</v>
      </c>
      <c r="S318" s="13">
        <v>0.06458333333333334</v>
      </c>
      <c r="T318" s="11">
        <v>44.0</v>
      </c>
      <c r="U318" s="11">
        <v>40.0</v>
      </c>
      <c r="V318" s="14">
        <f>+4</f>
        <v>4</v>
      </c>
      <c r="W318" s="14" t="str">
        <f>+0.18</f>
        <v>#ERROR!</v>
      </c>
      <c r="X318" s="14" t="str">
        <f>+0.31</f>
        <v>#ERROR!</v>
      </c>
      <c r="Y318" s="16" t="s">
        <v>1565</v>
      </c>
    </row>
    <row r="319">
      <c r="A319" s="6">
        <v>306.0</v>
      </c>
      <c r="B319" s="7" t="s">
        <v>1566</v>
      </c>
      <c r="C319" s="8" t="s">
        <v>1567</v>
      </c>
      <c r="D319" s="9" t="s">
        <v>52</v>
      </c>
      <c r="E319" s="7" t="s">
        <v>1568</v>
      </c>
      <c r="F319" s="9">
        <v>26.0</v>
      </c>
      <c r="G319" s="9">
        <v>1997.0</v>
      </c>
      <c r="H319" s="10">
        <v>13.0</v>
      </c>
      <c r="I319" s="11">
        <v>1.141</v>
      </c>
      <c r="J319" s="11">
        <v>88.0</v>
      </c>
      <c r="K319" s="11" t="s">
        <v>1569</v>
      </c>
      <c r="L319" s="11" t="s">
        <v>147</v>
      </c>
      <c r="M319" s="10">
        <v>12.0</v>
      </c>
      <c r="N319" s="11">
        <v>89.0</v>
      </c>
      <c r="O319" s="11">
        <v>11.0</v>
      </c>
      <c r="P319" s="10">
        <v>1.0</v>
      </c>
      <c r="Q319" s="11">
        <v>68.0</v>
      </c>
      <c r="R319" s="12">
        <v>0.0</v>
      </c>
      <c r="S319" s="13">
        <v>0.06388888888888888</v>
      </c>
      <c r="T319" s="11">
        <v>14.0</v>
      </c>
      <c r="U319" s="11">
        <v>16.0</v>
      </c>
      <c r="V319" s="17">
        <v>-2.0</v>
      </c>
      <c r="W319" s="15">
        <v>-0.011111111111111112</v>
      </c>
      <c r="X319" s="14" t="str">
        <f>+0.30</f>
        <v>#ERROR!</v>
      </c>
      <c r="Y319" s="16" t="s">
        <v>1570</v>
      </c>
    </row>
    <row r="320">
      <c r="A320" s="6">
        <v>307.0</v>
      </c>
      <c r="B320" s="7" t="s">
        <v>1571</v>
      </c>
      <c r="C320" s="8" t="s">
        <v>1572</v>
      </c>
      <c r="D320" s="9" t="s">
        <v>52</v>
      </c>
      <c r="E320" s="7" t="s">
        <v>1573</v>
      </c>
      <c r="F320" s="9">
        <v>23.0</v>
      </c>
      <c r="G320" s="9">
        <v>2000.0</v>
      </c>
      <c r="H320" s="10">
        <v>16.0</v>
      </c>
      <c r="I320" s="11">
        <v>1.296</v>
      </c>
      <c r="J320" s="11">
        <v>81.0</v>
      </c>
      <c r="K320" s="11" t="s">
        <v>1574</v>
      </c>
      <c r="L320" s="11" t="s">
        <v>1575</v>
      </c>
      <c r="M320" s="10">
        <v>15.0</v>
      </c>
      <c r="N320" s="11">
        <v>85.0</v>
      </c>
      <c r="O320" s="11">
        <v>8.0</v>
      </c>
      <c r="P320" s="10">
        <v>1.0</v>
      </c>
      <c r="Q320" s="11">
        <v>27.0</v>
      </c>
      <c r="R320" s="11">
        <v>1.0</v>
      </c>
      <c r="S320" s="13">
        <v>0.059027777777777776</v>
      </c>
      <c r="T320" s="11">
        <v>20.0</v>
      </c>
      <c r="U320" s="11">
        <v>21.0</v>
      </c>
      <c r="V320" s="17">
        <v>-1.0</v>
      </c>
      <c r="W320" s="15">
        <v>-0.004861111111111111</v>
      </c>
      <c r="X320" s="14" t="str">
        <f>+1.21</f>
        <v>#ERROR!</v>
      </c>
      <c r="Y320" s="16" t="s">
        <v>1576</v>
      </c>
    </row>
    <row r="321">
      <c r="A321" s="6">
        <v>308.0</v>
      </c>
      <c r="B321" s="7" t="s">
        <v>1577</v>
      </c>
      <c r="C321" s="8" t="s">
        <v>1578</v>
      </c>
      <c r="D321" s="9" t="s">
        <v>59</v>
      </c>
      <c r="E321" s="7" t="s">
        <v>1579</v>
      </c>
      <c r="F321" s="9">
        <v>18.0</v>
      </c>
      <c r="G321" s="9">
        <v>2005.0</v>
      </c>
      <c r="H321" s="10">
        <v>15.0</v>
      </c>
      <c r="I321" s="11">
        <v>599.0</v>
      </c>
      <c r="J321" s="11">
        <v>40.0</v>
      </c>
      <c r="K321" s="11" t="s">
        <v>1580</v>
      </c>
      <c r="L321" s="11" t="s">
        <v>412</v>
      </c>
      <c r="M321" s="10">
        <v>7.0</v>
      </c>
      <c r="N321" s="11">
        <v>76.0</v>
      </c>
      <c r="O321" s="11">
        <v>1.0</v>
      </c>
      <c r="P321" s="10">
        <v>8.0</v>
      </c>
      <c r="Q321" s="11">
        <v>8.0</v>
      </c>
      <c r="R321" s="11">
        <v>12.0</v>
      </c>
      <c r="S321" s="13">
        <v>0.07430555555555556</v>
      </c>
      <c r="T321" s="11">
        <v>9.0</v>
      </c>
      <c r="U321" s="11">
        <v>4.0</v>
      </c>
      <c r="V321" s="14">
        <f>+5</f>
        <v>5</v>
      </c>
      <c r="W321" s="14" t="str">
        <f>+0.75</f>
        <v>#ERROR!</v>
      </c>
      <c r="X321" s="15">
        <v>-0.001388888888888889</v>
      </c>
      <c r="Y321" s="16" t="s">
        <v>1581</v>
      </c>
    </row>
    <row r="322">
      <c r="A322" s="6">
        <v>309.0</v>
      </c>
      <c r="B322" s="7" t="s">
        <v>1582</v>
      </c>
      <c r="C322" s="8" t="s">
        <v>1583</v>
      </c>
      <c r="D322" s="9" t="s">
        <v>45</v>
      </c>
      <c r="E322" s="7" t="s">
        <v>1584</v>
      </c>
      <c r="F322" s="9">
        <v>26.0</v>
      </c>
      <c r="G322" s="9">
        <v>1998.0</v>
      </c>
      <c r="H322" s="10">
        <v>14.0</v>
      </c>
      <c r="I322" s="11">
        <v>721.0</v>
      </c>
      <c r="J322" s="11">
        <v>52.0</v>
      </c>
      <c r="K322" s="11" t="s">
        <v>950</v>
      </c>
      <c r="L322" s="11" t="s">
        <v>951</v>
      </c>
      <c r="M322" s="10">
        <v>8.0</v>
      </c>
      <c r="N322" s="11">
        <v>70.0</v>
      </c>
      <c r="O322" s="11">
        <v>1.0</v>
      </c>
      <c r="P322" s="10">
        <v>6.0</v>
      </c>
      <c r="Q322" s="11">
        <v>27.0</v>
      </c>
      <c r="R322" s="12">
        <v>0.0</v>
      </c>
      <c r="S322" s="13">
        <v>0.041666666666666664</v>
      </c>
      <c r="T322" s="11">
        <v>8.0</v>
      </c>
      <c r="U322" s="11">
        <v>12.0</v>
      </c>
      <c r="V322" s="17">
        <v>-4.0</v>
      </c>
      <c r="W322" s="15">
        <v>-0.034722222222222224</v>
      </c>
      <c r="X322" s="14" t="str">
        <f>+0.14</f>
        <v>#ERROR!</v>
      </c>
      <c r="Y322" s="16" t="s">
        <v>1585</v>
      </c>
    </row>
    <row r="323">
      <c r="A323" s="6">
        <v>310.0</v>
      </c>
      <c r="B323" s="7" t="s">
        <v>1586</v>
      </c>
      <c r="C323" s="8" t="s">
        <v>1587</v>
      </c>
      <c r="D323" s="9" t="s">
        <v>59</v>
      </c>
      <c r="E323" s="7" t="s">
        <v>1588</v>
      </c>
      <c r="F323" s="9">
        <v>25.0</v>
      </c>
      <c r="G323" s="9">
        <v>1998.0</v>
      </c>
      <c r="H323" s="10">
        <v>25.0</v>
      </c>
      <c r="I323" s="11">
        <v>1.051</v>
      </c>
      <c r="J323" s="11">
        <v>42.0</v>
      </c>
      <c r="K323" s="11" t="s">
        <v>1589</v>
      </c>
      <c r="L323" s="11" t="s">
        <v>634</v>
      </c>
      <c r="M323" s="10">
        <v>11.0</v>
      </c>
      <c r="N323" s="11">
        <v>72.0</v>
      </c>
      <c r="O323" s="11">
        <v>2.0</v>
      </c>
      <c r="P323" s="10">
        <v>14.0</v>
      </c>
      <c r="Q323" s="11">
        <v>19.0</v>
      </c>
      <c r="R323" s="11">
        <v>3.0</v>
      </c>
      <c r="S323" s="13">
        <v>0.044444444444444446</v>
      </c>
      <c r="T323" s="11">
        <v>12.0</v>
      </c>
      <c r="U323" s="11">
        <v>19.0</v>
      </c>
      <c r="V323" s="17">
        <v>-7.0</v>
      </c>
      <c r="W323" s="15">
        <v>-0.041666666666666664</v>
      </c>
      <c r="X323" s="14" t="str">
        <f>+0.11</f>
        <v>#ERROR!</v>
      </c>
      <c r="Y323" s="16" t="s">
        <v>1590</v>
      </c>
    </row>
    <row r="324">
      <c r="A324" s="6">
        <v>311.0</v>
      </c>
      <c r="B324" s="7" t="s">
        <v>1591</v>
      </c>
      <c r="C324" s="8" t="s">
        <v>1592</v>
      </c>
      <c r="D324" s="9" t="s">
        <v>284</v>
      </c>
      <c r="E324" s="7" t="s">
        <v>1593</v>
      </c>
      <c r="F324" s="9">
        <v>25.0</v>
      </c>
      <c r="G324" s="9">
        <v>1998.0</v>
      </c>
      <c r="H324" s="10">
        <v>18.0</v>
      </c>
      <c r="I324" s="11">
        <v>1.477</v>
      </c>
      <c r="J324" s="11">
        <v>82.0</v>
      </c>
      <c r="K324" s="11" t="s">
        <v>27</v>
      </c>
      <c r="L324" s="11" t="s">
        <v>28</v>
      </c>
      <c r="M324" s="10">
        <v>17.0</v>
      </c>
      <c r="N324" s="11">
        <v>85.0</v>
      </c>
      <c r="O324" s="11">
        <v>13.0</v>
      </c>
      <c r="P324" s="10">
        <v>1.0</v>
      </c>
      <c r="Q324" s="11">
        <v>32.0</v>
      </c>
      <c r="R324" s="11">
        <v>1.0</v>
      </c>
      <c r="S324" s="13">
        <v>0.05763888888888889</v>
      </c>
      <c r="T324" s="11">
        <v>12.0</v>
      </c>
      <c r="U324" s="11">
        <v>25.0</v>
      </c>
      <c r="V324" s="17">
        <v>-13.0</v>
      </c>
      <c r="W324" s="15">
        <v>-0.05486111111111111</v>
      </c>
      <c r="X324" s="15">
        <v>-0.034722222222222224</v>
      </c>
      <c r="Y324" s="16" t="s">
        <v>1594</v>
      </c>
    </row>
    <row r="325">
      <c r="A325" s="6">
        <v>312.0</v>
      </c>
      <c r="B325" s="7" t="s">
        <v>1595</v>
      </c>
      <c r="C325" s="8" t="s">
        <v>1596</v>
      </c>
      <c r="D325" s="9" t="s">
        <v>52</v>
      </c>
      <c r="E325" s="7" t="s">
        <v>1597</v>
      </c>
      <c r="F325" s="9">
        <v>19.0</v>
      </c>
      <c r="G325" s="9">
        <v>2004.0</v>
      </c>
      <c r="H325" s="10">
        <v>11.0</v>
      </c>
      <c r="I325" s="11">
        <v>242.0</v>
      </c>
      <c r="J325" s="11">
        <v>22.0</v>
      </c>
      <c r="K325" s="11" t="s">
        <v>674</v>
      </c>
      <c r="L325" s="11" t="s">
        <v>618</v>
      </c>
      <c r="M325" s="10">
        <v>1.0</v>
      </c>
      <c r="N325" s="11">
        <v>71.0</v>
      </c>
      <c r="O325" s="12">
        <v>0.0</v>
      </c>
      <c r="P325" s="10">
        <v>10.0</v>
      </c>
      <c r="Q325" s="11">
        <v>17.0</v>
      </c>
      <c r="R325" s="11">
        <v>4.0</v>
      </c>
      <c r="S325" s="13">
        <v>0.041666666666666664</v>
      </c>
      <c r="T325" s="11">
        <v>2.0</v>
      </c>
      <c r="U325" s="11">
        <v>2.0</v>
      </c>
      <c r="V325" s="12">
        <v>0.0</v>
      </c>
      <c r="W325" s="21">
        <v>0.0</v>
      </c>
      <c r="X325" s="14" t="str">
        <f>+0.62</f>
        <v>#ERROR!</v>
      </c>
      <c r="Y325" s="16" t="s">
        <v>1598</v>
      </c>
    </row>
    <row r="326">
      <c r="A326" s="6">
        <v>313.0</v>
      </c>
      <c r="B326" s="7" t="s">
        <v>1599</v>
      </c>
      <c r="C326" s="8" t="s">
        <v>1600</v>
      </c>
      <c r="D326" s="9" t="s">
        <v>66</v>
      </c>
      <c r="E326" s="7" t="s">
        <v>1601</v>
      </c>
      <c r="F326" s="9">
        <v>19.0</v>
      </c>
      <c r="G326" s="9">
        <v>2005.0</v>
      </c>
      <c r="H326" s="10">
        <v>11.0</v>
      </c>
      <c r="I326" s="11">
        <v>535.0</v>
      </c>
      <c r="J326" s="11">
        <v>49.0</v>
      </c>
      <c r="K326" s="11" t="s">
        <v>1602</v>
      </c>
      <c r="L326" s="11" t="s">
        <v>1603</v>
      </c>
      <c r="M326" s="10">
        <v>6.0</v>
      </c>
      <c r="N326" s="11">
        <v>80.0</v>
      </c>
      <c r="O326" s="11">
        <v>3.0</v>
      </c>
      <c r="P326" s="10">
        <v>5.0</v>
      </c>
      <c r="Q326" s="11">
        <v>12.0</v>
      </c>
      <c r="R326" s="11">
        <v>17.0</v>
      </c>
      <c r="S326" s="13">
        <v>0.10486111111111111</v>
      </c>
      <c r="T326" s="11">
        <v>9.0</v>
      </c>
      <c r="U326" s="11">
        <v>8.0</v>
      </c>
      <c r="V326" s="14">
        <f>+1</f>
        <v>1</v>
      </c>
      <c r="W326" s="14" t="str">
        <f>+0.17</f>
        <v>#ERROR!</v>
      </c>
      <c r="X326" s="15">
        <v>-0.07916666666666666</v>
      </c>
      <c r="Y326" s="16" t="s">
        <v>1604</v>
      </c>
    </row>
    <row r="327">
      <c r="A327" s="6">
        <v>314.0</v>
      </c>
      <c r="B327" s="7" t="s">
        <v>1605</v>
      </c>
      <c r="C327" s="8" t="s">
        <v>1606</v>
      </c>
      <c r="D327" s="9" t="s">
        <v>66</v>
      </c>
      <c r="E327" s="7" t="s">
        <v>1607</v>
      </c>
      <c r="F327" s="9">
        <v>18.0</v>
      </c>
      <c r="G327" s="9">
        <v>2005.0</v>
      </c>
      <c r="H327" s="18">
        <v>0.0</v>
      </c>
      <c r="I327" s="19"/>
      <c r="J327" s="19"/>
      <c r="K327" s="19"/>
      <c r="L327" s="19"/>
      <c r="M327" s="18">
        <v>0.0</v>
      </c>
      <c r="N327" s="19"/>
      <c r="O327" s="12">
        <v>0.0</v>
      </c>
      <c r="P327" s="18">
        <v>0.0</v>
      </c>
      <c r="Q327" s="19"/>
      <c r="R327" s="11">
        <v>2.0</v>
      </c>
      <c r="S327" s="24"/>
      <c r="T327" s="19"/>
      <c r="U327" s="19"/>
      <c r="V327" s="19"/>
      <c r="W327" s="19"/>
      <c r="X327" s="19"/>
      <c r="Y327" s="16" t="s">
        <v>1608</v>
      </c>
    </row>
    <row r="328">
      <c r="A328" s="6">
        <v>315.0</v>
      </c>
      <c r="B328" s="7" t="s">
        <v>1609</v>
      </c>
      <c r="C328" s="8" t="s">
        <v>1610</v>
      </c>
      <c r="D328" s="9" t="s">
        <v>66</v>
      </c>
      <c r="E328" s="7" t="s">
        <v>1611</v>
      </c>
      <c r="F328" s="9">
        <v>21.0</v>
      </c>
      <c r="G328" s="9">
        <v>2002.0</v>
      </c>
      <c r="H328" s="10">
        <v>6.0</v>
      </c>
      <c r="I328" s="11">
        <v>211.0</v>
      </c>
      <c r="J328" s="11">
        <v>35.0</v>
      </c>
      <c r="K328" s="11" t="s">
        <v>1196</v>
      </c>
      <c r="L328" s="11" t="s">
        <v>207</v>
      </c>
      <c r="M328" s="10">
        <v>2.0</v>
      </c>
      <c r="N328" s="11">
        <v>68.0</v>
      </c>
      <c r="O328" s="11">
        <v>1.0</v>
      </c>
      <c r="P328" s="10">
        <v>4.0</v>
      </c>
      <c r="Q328" s="11">
        <v>19.0</v>
      </c>
      <c r="R328" s="11">
        <v>4.0</v>
      </c>
      <c r="S328" s="13">
        <v>0.04652777777777778</v>
      </c>
      <c r="T328" s="11">
        <v>2.0</v>
      </c>
      <c r="U328" s="11">
        <v>5.0</v>
      </c>
      <c r="V328" s="17">
        <v>-3.0</v>
      </c>
      <c r="W328" s="15">
        <v>-0.06111111111111111</v>
      </c>
      <c r="X328" s="15">
        <v>-0.07083333333333333</v>
      </c>
      <c r="Y328" s="16" t="s">
        <v>1612</v>
      </c>
    </row>
    <row r="329">
      <c r="A329" s="6">
        <v>316.0</v>
      </c>
      <c r="B329" s="7" t="s">
        <v>1613</v>
      </c>
      <c r="C329" s="8" t="s">
        <v>1614</v>
      </c>
      <c r="D329" s="9" t="s">
        <v>32</v>
      </c>
      <c r="E329" s="7" t="s">
        <v>1615</v>
      </c>
      <c r="F329" s="9">
        <v>19.0</v>
      </c>
      <c r="G329" s="9">
        <v>2004.0</v>
      </c>
      <c r="H329" s="10">
        <v>21.0</v>
      </c>
      <c r="I329" s="11">
        <v>745.0</v>
      </c>
      <c r="J329" s="11">
        <v>35.0</v>
      </c>
      <c r="K329" s="11" t="s">
        <v>286</v>
      </c>
      <c r="L329" s="11" t="s">
        <v>287</v>
      </c>
      <c r="M329" s="10">
        <v>8.0</v>
      </c>
      <c r="N329" s="11">
        <v>65.0</v>
      </c>
      <c r="O329" s="12">
        <v>0.0</v>
      </c>
      <c r="P329" s="10">
        <v>13.0</v>
      </c>
      <c r="Q329" s="11">
        <v>18.0</v>
      </c>
      <c r="R329" s="11">
        <v>4.0</v>
      </c>
      <c r="S329" s="13">
        <v>0.08819444444444445</v>
      </c>
      <c r="T329" s="11">
        <v>9.0</v>
      </c>
      <c r="U329" s="11">
        <v>7.0</v>
      </c>
      <c r="V329" s="14">
        <f>+2</f>
        <v>2</v>
      </c>
      <c r="W329" s="14" t="str">
        <f>+0.24</f>
        <v>#ERROR!</v>
      </c>
      <c r="X329" s="15">
        <v>-0.005555555555555556</v>
      </c>
      <c r="Y329" s="16" t="s">
        <v>1616</v>
      </c>
    </row>
    <row r="330">
      <c r="A330" s="6">
        <v>317.0</v>
      </c>
      <c r="B330" s="7" t="s">
        <v>1617</v>
      </c>
      <c r="C330" s="8" t="s">
        <v>1618</v>
      </c>
      <c r="D330" s="9" t="s">
        <v>66</v>
      </c>
      <c r="E330" s="7" t="s">
        <v>1619</v>
      </c>
      <c r="F330" s="9">
        <v>22.0</v>
      </c>
      <c r="G330" s="9">
        <v>2001.0</v>
      </c>
      <c r="H330" s="10">
        <v>14.0</v>
      </c>
      <c r="I330" s="11">
        <v>1.006</v>
      </c>
      <c r="J330" s="11">
        <v>72.0</v>
      </c>
      <c r="K330" s="11" t="s">
        <v>1217</v>
      </c>
      <c r="L330" s="11" t="s">
        <v>1218</v>
      </c>
      <c r="M330" s="10">
        <v>11.0</v>
      </c>
      <c r="N330" s="11">
        <v>87.0</v>
      </c>
      <c r="O330" s="11">
        <v>10.0</v>
      </c>
      <c r="P330" s="10">
        <v>3.0</v>
      </c>
      <c r="Q330" s="11">
        <v>16.0</v>
      </c>
      <c r="R330" s="11">
        <v>1.0</v>
      </c>
      <c r="S330" s="13">
        <v>0.059722222222222225</v>
      </c>
      <c r="T330" s="11">
        <v>9.0</v>
      </c>
      <c r="U330" s="11">
        <v>13.0</v>
      </c>
      <c r="V330" s="17">
        <v>-4.0</v>
      </c>
      <c r="W330" s="15">
        <v>-0.025</v>
      </c>
      <c r="X330" s="14" t="str">
        <f>+0.33</f>
        <v>#ERROR!</v>
      </c>
      <c r="Y330" s="16" t="s">
        <v>1620</v>
      </c>
    </row>
    <row r="331">
      <c r="A331" s="6">
        <v>318.0</v>
      </c>
      <c r="B331" s="7" t="s">
        <v>1621</v>
      </c>
      <c r="C331" s="8" t="s">
        <v>1622</v>
      </c>
      <c r="D331" s="9" t="s">
        <v>52</v>
      </c>
      <c r="E331" s="7" t="s">
        <v>1623</v>
      </c>
      <c r="F331" s="9">
        <v>23.0</v>
      </c>
      <c r="G331" s="9">
        <v>2000.0</v>
      </c>
      <c r="H331" s="10">
        <v>4.0</v>
      </c>
      <c r="I331" s="11">
        <v>22.0</v>
      </c>
      <c r="J331" s="11">
        <v>6.0</v>
      </c>
      <c r="K331" s="11" t="s">
        <v>245</v>
      </c>
      <c r="L331" s="11" t="s">
        <v>48</v>
      </c>
      <c r="M331" s="18">
        <v>0.0</v>
      </c>
      <c r="N331" s="19"/>
      <c r="O331" s="12">
        <v>0.0</v>
      </c>
      <c r="P331" s="10">
        <v>4.0</v>
      </c>
      <c r="Q331" s="11">
        <v>6.0</v>
      </c>
      <c r="R331" s="11">
        <v>8.0</v>
      </c>
      <c r="S331" s="13">
        <v>0.0763888888888889</v>
      </c>
      <c r="T331" s="11">
        <v>1.0</v>
      </c>
      <c r="U331" s="11">
        <v>2.0</v>
      </c>
      <c r="V331" s="17">
        <v>-1.0</v>
      </c>
      <c r="W331" s="15">
        <v>-0.17291666666666666</v>
      </c>
      <c r="X331" s="15">
        <v>-0.17777777777777778</v>
      </c>
      <c r="Y331" s="16" t="s">
        <v>1624</v>
      </c>
    </row>
    <row r="332">
      <c r="A332" s="6">
        <v>319.0</v>
      </c>
      <c r="B332" s="7" t="s">
        <v>1625</v>
      </c>
      <c r="C332" s="8" t="s">
        <v>1626</v>
      </c>
      <c r="D332" s="9" t="s">
        <v>25</v>
      </c>
      <c r="E332" s="7" t="s">
        <v>1627</v>
      </c>
      <c r="F332" s="9">
        <v>32.0</v>
      </c>
      <c r="G332" s="9">
        <v>1992.0</v>
      </c>
      <c r="H332" s="10">
        <v>9.0</v>
      </c>
      <c r="I332" s="11">
        <v>770.0</v>
      </c>
      <c r="J332" s="11">
        <v>86.0</v>
      </c>
      <c r="K332" s="11" t="s">
        <v>1628</v>
      </c>
      <c r="L332" s="11" t="s">
        <v>1629</v>
      </c>
      <c r="M332" s="10">
        <v>9.0</v>
      </c>
      <c r="N332" s="11">
        <v>86.0</v>
      </c>
      <c r="O332" s="11">
        <v>6.0</v>
      </c>
      <c r="P332" s="18">
        <v>0.0</v>
      </c>
      <c r="Q332" s="19"/>
      <c r="R332" s="12">
        <v>0.0</v>
      </c>
      <c r="S332" s="13">
        <v>0.041666666666666664</v>
      </c>
      <c r="T332" s="11">
        <v>10.0</v>
      </c>
      <c r="U332" s="11">
        <v>12.0</v>
      </c>
      <c r="V332" s="17">
        <v>-2.0</v>
      </c>
      <c r="W332" s="15">
        <v>-0.01597222222222222</v>
      </c>
      <c r="X332" s="21">
        <v>0.0</v>
      </c>
      <c r="Y332" s="16" t="s">
        <v>1630</v>
      </c>
    </row>
    <row r="333">
      <c r="A333" s="6">
        <v>320.0</v>
      </c>
      <c r="B333" s="7" t="s">
        <v>1631</v>
      </c>
      <c r="C333" s="8" t="s">
        <v>1632</v>
      </c>
      <c r="D333" s="9" t="s">
        <v>73</v>
      </c>
      <c r="E333" s="7" t="s">
        <v>1633</v>
      </c>
      <c r="F333" s="9">
        <v>25.0</v>
      </c>
      <c r="G333" s="9">
        <v>1998.0</v>
      </c>
      <c r="H333" s="18">
        <v>0.0</v>
      </c>
      <c r="I333" s="19"/>
      <c r="J333" s="19"/>
      <c r="K333" s="19"/>
      <c r="L333" s="19"/>
      <c r="M333" s="18">
        <v>0.0</v>
      </c>
      <c r="N333" s="19"/>
      <c r="O333" s="12">
        <v>0.0</v>
      </c>
      <c r="P333" s="18">
        <v>0.0</v>
      </c>
      <c r="Q333" s="19"/>
      <c r="R333" s="11">
        <v>6.0</v>
      </c>
      <c r="S333" s="24"/>
      <c r="T333" s="19"/>
      <c r="U333" s="19"/>
      <c r="V333" s="19"/>
      <c r="W333" s="19"/>
      <c r="X333" s="19"/>
      <c r="Y333" s="16" t="s">
        <v>1634</v>
      </c>
    </row>
    <row r="334">
      <c r="A334" s="6">
        <v>321.0</v>
      </c>
      <c r="B334" s="7" t="s">
        <v>1635</v>
      </c>
      <c r="C334" s="8" t="s">
        <v>1636</v>
      </c>
      <c r="D334" s="9" t="s">
        <v>59</v>
      </c>
      <c r="E334" s="7" t="s">
        <v>1637</v>
      </c>
      <c r="F334" s="9">
        <v>21.0</v>
      </c>
      <c r="G334" s="9">
        <v>2002.0</v>
      </c>
      <c r="H334" s="10">
        <v>29.0</v>
      </c>
      <c r="I334" s="11">
        <v>2.036</v>
      </c>
      <c r="J334" s="11">
        <v>70.0</v>
      </c>
      <c r="K334" s="11" t="s">
        <v>1638</v>
      </c>
      <c r="L334" s="11" t="s">
        <v>969</v>
      </c>
      <c r="M334" s="10">
        <v>27.0</v>
      </c>
      <c r="N334" s="11">
        <v>74.0</v>
      </c>
      <c r="O334" s="11">
        <v>4.0</v>
      </c>
      <c r="P334" s="10">
        <v>2.0</v>
      </c>
      <c r="Q334" s="11">
        <v>20.0</v>
      </c>
      <c r="R334" s="11">
        <v>1.0</v>
      </c>
      <c r="S334" s="13">
        <v>0.06319444444444444</v>
      </c>
      <c r="T334" s="11">
        <v>33.0</v>
      </c>
      <c r="U334" s="11">
        <v>33.0</v>
      </c>
      <c r="V334" s="12">
        <v>0.0</v>
      </c>
      <c r="W334" s="21">
        <v>0.0</v>
      </c>
      <c r="X334" s="15">
        <v>-0.009722222222222222</v>
      </c>
      <c r="Y334" s="16" t="s">
        <v>1639</v>
      </c>
    </row>
    <row r="335">
      <c r="A335" s="6">
        <v>322.0</v>
      </c>
      <c r="B335" s="7" t="s">
        <v>1640</v>
      </c>
      <c r="C335" s="8" t="s">
        <v>1641</v>
      </c>
      <c r="D335" s="9" t="s">
        <v>66</v>
      </c>
      <c r="E335" s="7" t="s">
        <v>1642</v>
      </c>
      <c r="F335" s="9">
        <v>32.0</v>
      </c>
      <c r="G335" s="9">
        <v>1992.0</v>
      </c>
      <c r="H335" s="10">
        <v>15.0</v>
      </c>
      <c r="I335" s="11">
        <v>1.014</v>
      </c>
      <c r="J335" s="11">
        <v>68.0</v>
      </c>
      <c r="K335" s="11" t="s">
        <v>1643</v>
      </c>
      <c r="L335" s="11" t="s">
        <v>111</v>
      </c>
      <c r="M335" s="10">
        <v>11.0</v>
      </c>
      <c r="N335" s="11">
        <v>89.0</v>
      </c>
      <c r="O335" s="11">
        <v>10.0</v>
      </c>
      <c r="P335" s="10">
        <v>4.0</v>
      </c>
      <c r="Q335" s="11">
        <v>8.0</v>
      </c>
      <c r="R335" s="12">
        <v>0.0</v>
      </c>
      <c r="S335" s="13">
        <v>0.10208333333333333</v>
      </c>
      <c r="T335" s="11">
        <v>11.0</v>
      </c>
      <c r="U335" s="11">
        <v>11.0</v>
      </c>
      <c r="V335" s="12">
        <v>0.0</v>
      </c>
      <c r="W335" s="21">
        <v>0.0</v>
      </c>
      <c r="X335" s="15">
        <v>-0.01875</v>
      </c>
      <c r="Y335" s="16" t="s">
        <v>1644</v>
      </c>
    </row>
    <row r="336">
      <c r="A336" s="6">
        <v>323.0</v>
      </c>
      <c r="B336" s="7" t="s">
        <v>1645</v>
      </c>
      <c r="C336" s="8" t="s">
        <v>1646</v>
      </c>
      <c r="D336" s="9" t="s">
        <v>52</v>
      </c>
      <c r="E336" s="7" t="s">
        <v>1647</v>
      </c>
      <c r="F336" s="9">
        <v>21.0</v>
      </c>
      <c r="G336" s="9">
        <v>2002.0</v>
      </c>
      <c r="H336" s="10">
        <v>25.0</v>
      </c>
      <c r="I336" s="11">
        <v>1.896</v>
      </c>
      <c r="J336" s="11">
        <v>76.0</v>
      </c>
      <c r="K336" s="11" t="s">
        <v>1648</v>
      </c>
      <c r="L336" s="11" t="s">
        <v>100</v>
      </c>
      <c r="M336" s="10">
        <v>21.0</v>
      </c>
      <c r="N336" s="11">
        <v>84.0</v>
      </c>
      <c r="O336" s="11">
        <v>12.0</v>
      </c>
      <c r="P336" s="10">
        <v>4.0</v>
      </c>
      <c r="Q336" s="11">
        <v>33.0</v>
      </c>
      <c r="R336" s="12">
        <v>0.0</v>
      </c>
      <c r="S336" s="13">
        <v>0.09444444444444444</v>
      </c>
      <c r="T336" s="11">
        <v>26.0</v>
      </c>
      <c r="U336" s="11">
        <v>18.0</v>
      </c>
      <c r="V336" s="14">
        <f>+8</f>
        <v>8</v>
      </c>
      <c r="W336" s="14" t="str">
        <f>+0.38</f>
        <v>#ERROR!</v>
      </c>
      <c r="X336" s="14" t="str">
        <f>+1.05</f>
        <v>#ERROR!</v>
      </c>
      <c r="Y336" s="16" t="s">
        <v>1649</v>
      </c>
    </row>
    <row r="337">
      <c r="A337" s="6">
        <v>324.0</v>
      </c>
      <c r="B337" s="7" t="s">
        <v>1650</v>
      </c>
      <c r="C337" s="8" t="s">
        <v>1651</v>
      </c>
      <c r="D337" s="9" t="s">
        <v>73</v>
      </c>
      <c r="E337" s="7" t="s">
        <v>1652</v>
      </c>
      <c r="F337" s="9">
        <v>33.0</v>
      </c>
      <c r="G337" s="9">
        <v>1991.0</v>
      </c>
      <c r="H337" s="10">
        <v>18.0</v>
      </c>
      <c r="I337" s="11">
        <v>1.62</v>
      </c>
      <c r="J337" s="11">
        <v>90.0</v>
      </c>
      <c r="K337" s="11" t="s">
        <v>1505</v>
      </c>
      <c r="L337" s="11" t="s">
        <v>1506</v>
      </c>
      <c r="M337" s="10">
        <v>18.0</v>
      </c>
      <c r="N337" s="11">
        <v>90.0</v>
      </c>
      <c r="O337" s="11">
        <v>18.0</v>
      </c>
      <c r="P337" s="18">
        <v>0.0</v>
      </c>
      <c r="Q337" s="19"/>
      <c r="R337" s="12">
        <v>0.0</v>
      </c>
      <c r="S337" s="13">
        <v>0.06111111111111111</v>
      </c>
      <c r="T337" s="11">
        <v>21.0</v>
      </c>
      <c r="U337" s="11">
        <v>25.0</v>
      </c>
      <c r="V337" s="17">
        <v>-4.0</v>
      </c>
      <c r="W337" s="15">
        <v>-0.015277777777777777</v>
      </c>
      <c r="X337" s="14" t="str">
        <f>+1.19</f>
        <v>#ERROR!</v>
      </c>
      <c r="Y337" s="16" t="s">
        <v>1653</v>
      </c>
    </row>
    <row r="338">
      <c r="A338" s="6">
        <v>325.0</v>
      </c>
      <c r="B338" s="7" t="s">
        <v>1654</v>
      </c>
      <c r="C338" s="8" t="s">
        <v>1655</v>
      </c>
      <c r="D338" s="9" t="s">
        <v>73</v>
      </c>
      <c r="E338" s="7" t="s">
        <v>1656</v>
      </c>
      <c r="F338" s="9">
        <v>33.0</v>
      </c>
      <c r="G338" s="9">
        <v>1991.0</v>
      </c>
      <c r="H338" s="10">
        <v>7.0</v>
      </c>
      <c r="I338" s="11">
        <v>630.0</v>
      </c>
      <c r="J338" s="11">
        <v>90.0</v>
      </c>
      <c r="K338" s="11" t="s">
        <v>280</v>
      </c>
      <c r="L338" s="11" t="s">
        <v>1049</v>
      </c>
      <c r="M338" s="10">
        <v>7.0</v>
      </c>
      <c r="N338" s="11">
        <v>90.0</v>
      </c>
      <c r="O338" s="11">
        <v>7.0</v>
      </c>
      <c r="P338" s="18">
        <v>0.0</v>
      </c>
      <c r="Q338" s="19"/>
      <c r="R338" s="11">
        <v>3.0</v>
      </c>
      <c r="S338" s="13">
        <v>0.08125</v>
      </c>
      <c r="T338" s="11">
        <v>10.0</v>
      </c>
      <c r="U338" s="11">
        <v>9.0</v>
      </c>
      <c r="V338" s="14">
        <f>+1</f>
        <v>1</v>
      </c>
      <c r="W338" s="14" t="str">
        <f>+0.14</f>
        <v>#ERROR!</v>
      </c>
      <c r="X338" s="14" t="str">
        <f>+0.14</f>
        <v>#ERROR!</v>
      </c>
      <c r="Y338" s="16" t="s">
        <v>1657</v>
      </c>
    </row>
    <row r="339">
      <c r="A339" s="25" t="s">
        <v>0</v>
      </c>
      <c r="B339" s="26" t="s">
        <v>1</v>
      </c>
      <c r="C339" s="27" t="s">
        <v>2</v>
      </c>
      <c r="D339" s="27" t="s">
        <v>3</v>
      </c>
      <c r="E339" s="27" t="s">
        <v>4</v>
      </c>
      <c r="F339" s="27" t="s">
        <v>5</v>
      </c>
      <c r="G339" s="27" t="s">
        <v>6</v>
      </c>
      <c r="H339" s="28" t="s">
        <v>7</v>
      </c>
      <c r="I339" s="27" t="s">
        <v>8</v>
      </c>
      <c r="J339" s="27" t="s">
        <v>9</v>
      </c>
      <c r="K339" s="27" t="s">
        <v>10</v>
      </c>
      <c r="L339" s="27" t="s">
        <v>11</v>
      </c>
      <c r="M339" s="28" t="s">
        <v>12</v>
      </c>
      <c r="N339" s="27" t="s">
        <v>13</v>
      </c>
      <c r="O339" s="27" t="s">
        <v>14</v>
      </c>
      <c r="P339" s="28" t="s">
        <v>15</v>
      </c>
      <c r="Q339" s="27" t="s">
        <v>16</v>
      </c>
      <c r="R339" s="27" t="s">
        <v>17</v>
      </c>
      <c r="S339" s="28" t="s">
        <v>18</v>
      </c>
      <c r="T339" s="27" t="s">
        <v>19</v>
      </c>
      <c r="U339" s="27" t="s">
        <v>20</v>
      </c>
      <c r="V339" s="29" t="str">
        <f>+/-</f>
        <v>#ERROR!</v>
      </c>
      <c r="W339" s="29" t="str">
        <f>+/-90</f>
        <v>#ERROR!</v>
      </c>
      <c r="X339" s="27" t="s">
        <v>21</v>
      </c>
      <c r="Y339" s="28" t="s">
        <v>22</v>
      </c>
    </row>
    <row r="340">
      <c r="A340" s="6">
        <v>326.0</v>
      </c>
      <c r="B340" s="7" t="s">
        <v>1658</v>
      </c>
      <c r="C340" s="8" t="s">
        <v>1659</v>
      </c>
      <c r="D340" s="9" t="s">
        <v>52</v>
      </c>
      <c r="E340" s="7" t="s">
        <v>1660</v>
      </c>
      <c r="F340" s="9">
        <v>29.0</v>
      </c>
      <c r="G340" s="9">
        <v>1994.0</v>
      </c>
      <c r="H340" s="10">
        <v>9.0</v>
      </c>
      <c r="I340" s="11">
        <v>429.0</v>
      </c>
      <c r="J340" s="11">
        <v>48.0</v>
      </c>
      <c r="K340" s="11" t="s">
        <v>1661</v>
      </c>
      <c r="L340" s="11" t="s">
        <v>522</v>
      </c>
      <c r="M340" s="10">
        <v>3.0</v>
      </c>
      <c r="N340" s="11">
        <v>78.0</v>
      </c>
      <c r="O340" s="12">
        <v>0.0</v>
      </c>
      <c r="P340" s="10">
        <v>6.0</v>
      </c>
      <c r="Q340" s="11">
        <v>32.0</v>
      </c>
      <c r="R340" s="12">
        <v>0.0</v>
      </c>
      <c r="S340" s="13">
        <v>0.049305555555555554</v>
      </c>
      <c r="T340" s="11">
        <v>9.0</v>
      </c>
      <c r="U340" s="11">
        <v>5.0</v>
      </c>
      <c r="V340" s="14">
        <f>+4</f>
        <v>4</v>
      </c>
      <c r="W340" s="14" t="str">
        <f>+0.84</f>
        <v>#ERROR!</v>
      </c>
      <c r="X340" s="14" t="str">
        <f>+1.83</f>
        <v>#ERROR!</v>
      </c>
      <c r="Y340" s="16" t="s">
        <v>1662</v>
      </c>
    </row>
    <row r="341">
      <c r="A341" s="6">
        <v>327.0</v>
      </c>
      <c r="B341" s="7" t="s">
        <v>1663</v>
      </c>
      <c r="C341" s="8" t="s">
        <v>1664</v>
      </c>
      <c r="D341" s="9" t="s">
        <v>25</v>
      </c>
      <c r="E341" s="7" t="s">
        <v>1665</v>
      </c>
      <c r="F341" s="9">
        <v>24.0</v>
      </c>
      <c r="G341" s="9">
        <v>1999.0</v>
      </c>
      <c r="H341" s="10">
        <v>20.0</v>
      </c>
      <c r="I341" s="11">
        <v>1.713</v>
      </c>
      <c r="J341" s="11">
        <v>86.0</v>
      </c>
      <c r="K341" s="11" t="s">
        <v>1666</v>
      </c>
      <c r="L341" s="11" t="s">
        <v>1667</v>
      </c>
      <c r="M341" s="10">
        <v>19.0</v>
      </c>
      <c r="N341" s="11">
        <v>88.0</v>
      </c>
      <c r="O341" s="11">
        <v>17.0</v>
      </c>
      <c r="P341" s="10">
        <v>1.0</v>
      </c>
      <c r="Q341" s="11">
        <v>45.0</v>
      </c>
      <c r="R341" s="12">
        <v>0.0</v>
      </c>
      <c r="S341" s="13">
        <v>0.08333333333333333</v>
      </c>
      <c r="T341" s="11">
        <v>33.0</v>
      </c>
      <c r="U341" s="11">
        <v>32.0</v>
      </c>
      <c r="V341" s="14">
        <f t="shared" ref="V341:V343" si="2">+1</f>
        <v>1</v>
      </c>
      <c r="W341" s="14" t="str">
        <f>+0.05</f>
        <v>#ERROR!</v>
      </c>
      <c r="X341" s="15">
        <v>-0.021527777777777778</v>
      </c>
      <c r="Y341" s="16" t="s">
        <v>1668</v>
      </c>
    </row>
    <row r="342">
      <c r="A342" s="6">
        <v>328.0</v>
      </c>
      <c r="B342" s="7" t="s">
        <v>1669</v>
      </c>
      <c r="C342" s="8" t="s">
        <v>1670</v>
      </c>
      <c r="D342" s="9" t="s">
        <v>32</v>
      </c>
      <c r="E342" s="7" t="s">
        <v>1671</v>
      </c>
      <c r="F342" s="9">
        <v>27.0</v>
      </c>
      <c r="G342" s="9">
        <v>1996.0</v>
      </c>
      <c r="H342" s="10">
        <v>13.0</v>
      </c>
      <c r="I342" s="11">
        <v>934.0</v>
      </c>
      <c r="J342" s="11">
        <v>72.0</v>
      </c>
      <c r="K342" s="11" t="s">
        <v>1672</v>
      </c>
      <c r="L342" s="11" t="s">
        <v>461</v>
      </c>
      <c r="M342" s="10">
        <v>13.0</v>
      </c>
      <c r="N342" s="11">
        <v>72.0</v>
      </c>
      <c r="O342" s="11">
        <v>2.0</v>
      </c>
      <c r="P342" s="18">
        <v>0.0</v>
      </c>
      <c r="Q342" s="19"/>
      <c r="R342" s="12">
        <v>0.0</v>
      </c>
      <c r="S342" s="13">
        <v>0.06805555555555555</v>
      </c>
      <c r="T342" s="11">
        <v>16.0</v>
      </c>
      <c r="U342" s="11">
        <v>15.0</v>
      </c>
      <c r="V342" s="14">
        <f t="shared" si="2"/>
        <v>1</v>
      </c>
      <c r="W342" s="14" t="str">
        <f>+0.10</f>
        <v>#ERROR!</v>
      </c>
      <c r="X342" s="14" t="str">
        <f>+1.06</f>
        <v>#ERROR!</v>
      </c>
      <c r="Y342" s="16" t="s">
        <v>1673</v>
      </c>
    </row>
    <row r="343">
      <c r="A343" s="6">
        <v>329.0</v>
      </c>
      <c r="B343" s="7" t="s">
        <v>1674</v>
      </c>
      <c r="C343" s="8" t="s">
        <v>1675</v>
      </c>
      <c r="D343" s="9" t="s">
        <v>66</v>
      </c>
      <c r="E343" s="7" t="s">
        <v>1676</v>
      </c>
      <c r="F343" s="9">
        <v>38.0</v>
      </c>
      <c r="G343" s="9">
        <v>1985.0</v>
      </c>
      <c r="H343" s="10">
        <v>2.0</v>
      </c>
      <c r="I343" s="11">
        <v>94.0</v>
      </c>
      <c r="J343" s="11">
        <v>47.0</v>
      </c>
      <c r="K343" s="11" t="s">
        <v>340</v>
      </c>
      <c r="L343" s="11" t="s">
        <v>577</v>
      </c>
      <c r="M343" s="10">
        <v>1.0</v>
      </c>
      <c r="N343" s="11">
        <v>75.0</v>
      </c>
      <c r="O343" s="12">
        <v>0.0</v>
      </c>
      <c r="P343" s="10">
        <v>1.0</v>
      </c>
      <c r="Q343" s="11">
        <v>19.0</v>
      </c>
      <c r="R343" s="12">
        <v>0.0</v>
      </c>
      <c r="S343" s="13">
        <v>0.0763888888888889</v>
      </c>
      <c r="T343" s="11">
        <v>3.0</v>
      </c>
      <c r="U343" s="11">
        <v>2.0</v>
      </c>
      <c r="V343" s="14">
        <f t="shared" si="2"/>
        <v>1</v>
      </c>
      <c r="W343" s="14" t="str">
        <f>+0.96</f>
        <v>#ERROR!</v>
      </c>
      <c r="X343" s="15">
        <v>-0.03194444444444444</v>
      </c>
      <c r="Y343" s="16" t="s">
        <v>1677</v>
      </c>
    </row>
    <row r="344">
      <c r="A344" s="6">
        <v>330.0</v>
      </c>
      <c r="B344" s="7" t="s">
        <v>1678</v>
      </c>
      <c r="C344" s="8" t="s">
        <v>1679</v>
      </c>
      <c r="D344" s="9" t="s">
        <v>284</v>
      </c>
      <c r="E344" s="7" t="s">
        <v>1680</v>
      </c>
      <c r="F344" s="9">
        <v>20.0</v>
      </c>
      <c r="G344" s="9">
        <v>2003.0</v>
      </c>
      <c r="H344" s="10">
        <v>23.0</v>
      </c>
      <c r="I344" s="11">
        <v>1.367</v>
      </c>
      <c r="J344" s="11">
        <v>59.0</v>
      </c>
      <c r="K344" s="11" t="s">
        <v>1681</v>
      </c>
      <c r="L344" s="11" t="s">
        <v>790</v>
      </c>
      <c r="M344" s="10">
        <v>15.0</v>
      </c>
      <c r="N344" s="11">
        <v>82.0</v>
      </c>
      <c r="O344" s="11">
        <v>9.0</v>
      </c>
      <c r="P344" s="10">
        <v>8.0</v>
      </c>
      <c r="Q344" s="11">
        <v>18.0</v>
      </c>
      <c r="R344" s="11">
        <v>7.0</v>
      </c>
      <c r="S344" s="13">
        <v>0.05416666666666667</v>
      </c>
      <c r="T344" s="11">
        <v>23.0</v>
      </c>
      <c r="U344" s="11">
        <v>29.0</v>
      </c>
      <c r="V344" s="17">
        <v>-6.0</v>
      </c>
      <c r="W344" s="15">
        <v>-0.027777777777777776</v>
      </c>
      <c r="X344" s="14" t="str">
        <f>+0.55</f>
        <v>#ERROR!</v>
      </c>
      <c r="Y344" s="16" t="s">
        <v>1682</v>
      </c>
    </row>
    <row r="345">
      <c r="A345" s="6">
        <v>331.0</v>
      </c>
      <c r="B345" s="7" t="s">
        <v>1683</v>
      </c>
      <c r="C345" s="8" t="s">
        <v>1684</v>
      </c>
      <c r="D345" s="9" t="s">
        <v>73</v>
      </c>
      <c r="E345" s="7" t="s">
        <v>1685</v>
      </c>
      <c r="F345" s="9">
        <v>20.0</v>
      </c>
      <c r="G345" s="9">
        <v>2003.0</v>
      </c>
      <c r="H345" s="10">
        <v>5.0</v>
      </c>
      <c r="I345" s="11">
        <v>450.0</v>
      </c>
      <c r="J345" s="11">
        <v>90.0</v>
      </c>
      <c r="K345" s="11" t="s">
        <v>293</v>
      </c>
      <c r="L345" s="11" t="s">
        <v>1063</v>
      </c>
      <c r="M345" s="10">
        <v>5.0</v>
      </c>
      <c r="N345" s="11">
        <v>90.0</v>
      </c>
      <c r="O345" s="11">
        <v>5.0</v>
      </c>
      <c r="P345" s="18">
        <v>0.0</v>
      </c>
      <c r="Q345" s="19"/>
      <c r="R345" s="11">
        <v>10.0</v>
      </c>
      <c r="S345" s="13">
        <v>0.06944444444444445</v>
      </c>
      <c r="T345" s="11">
        <v>13.0</v>
      </c>
      <c r="U345" s="11">
        <v>12.0</v>
      </c>
      <c r="V345" s="14">
        <f>+1</f>
        <v>1</v>
      </c>
      <c r="W345" s="14" t="str">
        <f>+0.20</f>
        <v>#ERROR!</v>
      </c>
      <c r="X345" s="14" t="str">
        <f>+0.52</f>
        <v>#ERROR!</v>
      </c>
      <c r="Y345" s="16" t="s">
        <v>1686</v>
      </c>
    </row>
    <row r="346">
      <c r="A346" s="6">
        <v>332.0</v>
      </c>
      <c r="B346" s="7" t="s">
        <v>1687</v>
      </c>
      <c r="C346" s="8" t="s">
        <v>1688</v>
      </c>
      <c r="D346" s="9" t="s">
        <v>45</v>
      </c>
      <c r="E346" s="7" t="s">
        <v>1689</v>
      </c>
      <c r="F346" s="9">
        <v>24.0</v>
      </c>
      <c r="G346" s="9">
        <v>1999.0</v>
      </c>
      <c r="H346" s="10">
        <v>13.0</v>
      </c>
      <c r="I346" s="11">
        <v>1.001</v>
      </c>
      <c r="J346" s="11">
        <v>77.0</v>
      </c>
      <c r="K346" s="11" t="s">
        <v>1690</v>
      </c>
      <c r="L346" s="11" t="s">
        <v>1691</v>
      </c>
      <c r="M346" s="10">
        <v>13.0</v>
      </c>
      <c r="N346" s="11">
        <v>77.0</v>
      </c>
      <c r="O346" s="11">
        <v>5.0</v>
      </c>
      <c r="P346" s="18">
        <v>0.0</v>
      </c>
      <c r="Q346" s="19"/>
      <c r="R346" s="12">
        <v>0.0</v>
      </c>
      <c r="S346" s="13">
        <v>0.05347222222222222</v>
      </c>
      <c r="T346" s="11">
        <v>8.0</v>
      </c>
      <c r="U346" s="11">
        <v>19.0</v>
      </c>
      <c r="V346" s="17">
        <v>-11.0</v>
      </c>
      <c r="W346" s="15">
        <v>-0.06875</v>
      </c>
      <c r="X346" s="15">
        <v>-0.044444444444444446</v>
      </c>
      <c r="Y346" s="16" t="s">
        <v>1692</v>
      </c>
    </row>
    <row r="347">
      <c r="A347" s="6">
        <v>333.0</v>
      </c>
      <c r="B347" s="7" t="s">
        <v>1693</v>
      </c>
      <c r="C347" s="8" t="s">
        <v>1694</v>
      </c>
      <c r="D347" s="9" t="s">
        <v>66</v>
      </c>
      <c r="E347" s="7" t="s">
        <v>1695</v>
      </c>
      <c r="F347" s="9">
        <v>25.0</v>
      </c>
      <c r="G347" s="9">
        <v>1998.0</v>
      </c>
      <c r="H347" s="10">
        <v>16.0</v>
      </c>
      <c r="I347" s="11">
        <v>441.0</v>
      </c>
      <c r="J347" s="11">
        <v>28.0</v>
      </c>
      <c r="K347" s="11" t="s">
        <v>1696</v>
      </c>
      <c r="L347" s="11" t="s">
        <v>1697</v>
      </c>
      <c r="M347" s="10">
        <v>3.0</v>
      </c>
      <c r="N347" s="11">
        <v>90.0</v>
      </c>
      <c r="O347" s="11">
        <v>3.0</v>
      </c>
      <c r="P347" s="10">
        <v>13.0</v>
      </c>
      <c r="Q347" s="11">
        <v>13.0</v>
      </c>
      <c r="R347" s="11">
        <v>10.0</v>
      </c>
      <c r="S347" s="13">
        <v>0.07222222222222222</v>
      </c>
      <c r="T347" s="11">
        <v>7.0</v>
      </c>
      <c r="U347" s="11">
        <v>12.0</v>
      </c>
      <c r="V347" s="17">
        <v>-5.0</v>
      </c>
      <c r="W347" s="15">
        <v>-0.043055555555555555</v>
      </c>
      <c r="X347" s="15">
        <v>-0.059722222222222225</v>
      </c>
      <c r="Y347" s="16" t="s">
        <v>1698</v>
      </c>
    </row>
    <row r="348">
      <c r="A348" s="6">
        <v>334.0</v>
      </c>
      <c r="B348" s="7" t="s">
        <v>1699</v>
      </c>
      <c r="C348" s="8" t="s">
        <v>1700</v>
      </c>
      <c r="D348" s="9" t="s">
        <v>52</v>
      </c>
      <c r="E348" s="7" t="s">
        <v>1701</v>
      </c>
      <c r="F348" s="9">
        <v>21.0</v>
      </c>
      <c r="G348" s="9">
        <v>2002.0</v>
      </c>
      <c r="H348" s="10">
        <v>17.0</v>
      </c>
      <c r="I348" s="11">
        <v>1.331</v>
      </c>
      <c r="J348" s="11">
        <v>78.0</v>
      </c>
      <c r="K348" s="11" t="s">
        <v>1702</v>
      </c>
      <c r="L348" s="11" t="s">
        <v>1703</v>
      </c>
      <c r="M348" s="10">
        <v>16.0</v>
      </c>
      <c r="N348" s="11">
        <v>81.0</v>
      </c>
      <c r="O348" s="11">
        <v>6.0</v>
      </c>
      <c r="P348" s="10">
        <v>1.0</v>
      </c>
      <c r="Q348" s="11">
        <v>29.0</v>
      </c>
      <c r="R348" s="12">
        <v>0.0</v>
      </c>
      <c r="S348" s="13">
        <v>0.1</v>
      </c>
      <c r="T348" s="11">
        <v>39.0</v>
      </c>
      <c r="U348" s="11">
        <v>12.0</v>
      </c>
      <c r="V348" s="14">
        <f>+27</f>
        <v>27</v>
      </c>
      <c r="W348" s="14" t="str">
        <f>+1.83</f>
        <v>#ERROR!</v>
      </c>
      <c r="X348" s="14" t="str">
        <f>+0.84</f>
        <v>#ERROR!</v>
      </c>
      <c r="Y348" s="16" t="s">
        <v>1704</v>
      </c>
    </row>
    <row r="349">
      <c r="A349" s="6">
        <v>335.0</v>
      </c>
      <c r="B349" s="7" t="s">
        <v>1705</v>
      </c>
      <c r="C349" s="8" t="s">
        <v>1706</v>
      </c>
      <c r="D349" s="9" t="s">
        <v>52</v>
      </c>
      <c r="E349" s="7" t="s">
        <v>1707</v>
      </c>
      <c r="F349" s="9">
        <v>29.0</v>
      </c>
      <c r="G349" s="9">
        <v>1994.0</v>
      </c>
      <c r="H349" s="10">
        <v>24.0</v>
      </c>
      <c r="I349" s="11">
        <v>1.246</v>
      </c>
      <c r="J349" s="11">
        <v>52.0</v>
      </c>
      <c r="K349" s="11" t="s">
        <v>1708</v>
      </c>
      <c r="L349" s="11" t="s">
        <v>1709</v>
      </c>
      <c r="M349" s="10">
        <v>13.0</v>
      </c>
      <c r="N349" s="11">
        <v>74.0</v>
      </c>
      <c r="O349" s="11">
        <v>6.0</v>
      </c>
      <c r="P349" s="10">
        <v>11.0</v>
      </c>
      <c r="Q349" s="11">
        <v>25.0</v>
      </c>
      <c r="R349" s="11">
        <v>5.0</v>
      </c>
      <c r="S349" s="13">
        <v>0.050694444444444445</v>
      </c>
      <c r="T349" s="11">
        <v>15.0</v>
      </c>
      <c r="U349" s="11">
        <v>22.0</v>
      </c>
      <c r="V349" s="17">
        <v>-7.0</v>
      </c>
      <c r="W349" s="15">
        <v>-0.035416666666666666</v>
      </c>
      <c r="X349" s="15">
        <v>-0.022222222222222223</v>
      </c>
      <c r="Y349" s="16" t="s">
        <v>1710</v>
      </c>
    </row>
    <row r="350">
      <c r="A350" s="6">
        <v>336.0</v>
      </c>
      <c r="B350" s="7" t="s">
        <v>1711</v>
      </c>
      <c r="C350" s="8" t="s">
        <v>1712</v>
      </c>
      <c r="D350" s="9" t="s">
        <v>52</v>
      </c>
      <c r="E350" s="7" t="s">
        <v>1713</v>
      </c>
      <c r="F350" s="9">
        <v>19.0</v>
      </c>
      <c r="G350" s="9">
        <v>2004.0</v>
      </c>
      <c r="H350" s="10">
        <v>16.0</v>
      </c>
      <c r="I350" s="11">
        <v>1.344</v>
      </c>
      <c r="J350" s="11">
        <v>84.0</v>
      </c>
      <c r="K350" s="11" t="s">
        <v>1714</v>
      </c>
      <c r="L350" s="11" t="s">
        <v>1715</v>
      </c>
      <c r="M350" s="10">
        <v>16.0</v>
      </c>
      <c r="N350" s="11">
        <v>84.0</v>
      </c>
      <c r="O350" s="11">
        <v>7.0</v>
      </c>
      <c r="P350" s="18">
        <v>0.0</v>
      </c>
      <c r="Q350" s="19"/>
      <c r="R350" s="11">
        <v>3.0</v>
      </c>
      <c r="S350" s="13">
        <v>0.07222222222222222</v>
      </c>
      <c r="T350" s="11">
        <v>18.0</v>
      </c>
      <c r="U350" s="11">
        <v>17.0</v>
      </c>
      <c r="V350" s="14">
        <f>+1</f>
        <v>1</v>
      </c>
      <c r="W350" s="14" t="str">
        <f>+0.07</f>
        <v>#ERROR!</v>
      </c>
      <c r="X350" s="14" t="str">
        <f>+1.53</f>
        <v>#ERROR!</v>
      </c>
      <c r="Y350" s="16" t="s">
        <v>1716</v>
      </c>
    </row>
    <row r="351">
      <c r="A351" s="6">
        <v>337.0</v>
      </c>
      <c r="B351" s="7" t="s">
        <v>1717</v>
      </c>
      <c r="C351" s="22"/>
      <c r="D351" s="9" t="s">
        <v>52</v>
      </c>
      <c r="E351" s="7" t="s">
        <v>1718</v>
      </c>
      <c r="F351" s="23"/>
      <c r="G351" s="23"/>
      <c r="H351" s="18">
        <v>0.0</v>
      </c>
      <c r="I351" s="19"/>
      <c r="J351" s="19"/>
      <c r="K351" s="19"/>
      <c r="L351" s="19"/>
      <c r="M351" s="18">
        <v>0.0</v>
      </c>
      <c r="N351" s="19"/>
      <c r="O351" s="12">
        <v>0.0</v>
      </c>
      <c r="P351" s="18">
        <v>0.0</v>
      </c>
      <c r="Q351" s="19"/>
      <c r="R351" s="11">
        <v>2.0</v>
      </c>
      <c r="S351" s="24"/>
      <c r="T351" s="19"/>
      <c r="U351" s="19"/>
      <c r="V351" s="19"/>
      <c r="W351" s="19"/>
      <c r="X351" s="19"/>
      <c r="Y351" s="16" t="s">
        <v>1719</v>
      </c>
    </row>
    <row r="352">
      <c r="A352" s="6">
        <v>338.0</v>
      </c>
      <c r="B352" s="7" t="s">
        <v>1720</v>
      </c>
      <c r="C352" s="8" t="s">
        <v>1721</v>
      </c>
      <c r="D352" s="9" t="s">
        <v>52</v>
      </c>
      <c r="E352" s="7" t="s">
        <v>1722</v>
      </c>
      <c r="F352" s="9">
        <v>17.0</v>
      </c>
      <c r="G352" s="9">
        <v>2006.0</v>
      </c>
      <c r="H352" s="10">
        <v>1.0</v>
      </c>
      <c r="I352" s="11">
        <v>3.0</v>
      </c>
      <c r="J352" s="11">
        <v>3.0</v>
      </c>
      <c r="K352" s="11" t="s">
        <v>155</v>
      </c>
      <c r="L352" s="12" t="s">
        <v>470</v>
      </c>
      <c r="M352" s="18">
        <v>0.0</v>
      </c>
      <c r="N352" s="19"/>
      <c r="O352" s="12">
        <v>0.0</v>
      </c>
      <c r="P352" s="10">
        <v>1.0</v>
      </c>
      <c r="Q352" s="11">
        <v>3.0</v>
      </c>
      <c r="R352" s="11">
        <v>13.0</v>
      </c>
      <c r="S352" s="13">
        <v>0.125</v>
      </c>
      <c r="T352" s="12">
        <v>0.0</v>
      </c>
      <c r="U352" s="12">
        <v>0.0</v>
      </c>
      <c r="V352" s="12">
        <v>0.0</v>
      </c>
      <c r="W352" s="21">
        <v>0.0</v>
      </c>
      <c r="X352" s="15">
        <v>-0.020833333333333332</v>
      </c>
      <c r="Y352" s="16" t="s">
        <v>1723</v>
      </c>
    </row>
    <row r="353">
      <c r="A353" s="6">
        <v>339.0</v>
      </c>
      <c r="B353" s="7" t="s">
        <v>1724</v>
      </c>
      <c r="C353" s="8" t="s">
        <v>1725</v>
      </c>
      <c r="D353" s="9" t="s">
        <v>52</v>
      </c>
      <c r="E353" s="7" t="s">
        <v>1726</v>
      </c>
      <c r="F353" s="9">
        <v>30.0</v>
      </c>
      <c r="G353" s="9">
        <v>1993.0</v>
      </c>
      <c r="H353" s="10">
        <v>22.0</v>
      </c>
      <c r="I353" s="11">
        <v>1.176</v>
      </c>
      <c r="J353" s="11">
        <v>53.0</v>
      </c>
      <c r="K353" s="11" t="s">
        <v>816</v>
      </c>
      <c r="L353" s="11" t="s">
        <v>817</v>
      </c>
      <c r="M353" s="10">
        <v>14.0</v>
      </c>
      <c r="N353" s="11">
        <v>71.0</v>
      </c>
      <c r="O353" s="11">
        <v>4.0</v>
      </c>
      <c r="P353" s="10">
        <v>8.0</v>
      </c>
      <c r="Q353" s="11">
        <v>23.0</v>
      </c>
      <c r="R353" s="11">
        <v>2.0</v>
      </c>
      <c r="S353" s="13">
        <v>0.0763888888888889</v>
      </c>
      <c r="T353" s="11">
        <v>23.0</v>
      </c>
      <c r="U353" s="11">
        <v>19.0</v>
      </c>
      <c r="V353" s="14">
        <f>+4</f>
        <v>4</v>
      </c>
      <c r="W353" s="14" t="str">
        <f>+0.31</f>
        <v>#ERROR!</v>
      </c>
      <c r="X353" s="15">
        <v>-0.003472222222222222</v>
      </c>
      <c r="Y353" s="16" t="s">
        <v>1727</v>
      </c>
    </row>
    <row r="354">
      <c r="A354" s="6">
        <v>340.0</v>
      </c>
      <c r="B354" s="7" t="s">
        <v>1728</v>
      </c>
      <c r="C354" s="8" t="s">
        <v>1729</v>
      </c>
      <c r="D354" s="9" t="s">
        <v>73</v>
      </c>
      <c r="E354" s="7" t="s">
        <v>1730</v>
      </c>
      <c r="F354" s="9">
        <v>19.0</v>
      </c>
      <c r="G354" s="9">
        <v>2004.0</v>
      </c>
      <c r="H354" s="18">
        <v>0.0</v>
      </c>
      <c r="I354" s="19"/>
      <c r="J354" s="19"/>
      <c r="K354" s="19"/>
      <c r="L354" s="19"/>
      <c r="M354" s="18">
        <v>0.0</v>
      </c>
      <c r="N354" s="19"/>
      <c r="O354" s="12">
        <v>0.0</v>
      </c>
      <c r="P354" s="18">
        <v>0.0</v>
      </c>
      <c r="Q354" s="19"/>
      <c r="R354" s="11">
        <v>12.0</v>
      </c>
      <c r="S354" s="24"/>
      <c r="T354" s="19"/>
      <c r="U354" s="19"/>
      <c r="V354" s="19"/>
      <c r="W354" s="19"/>
      <c r="X354" s="19"/>
      <c r="Y354" s="16" t="s">
        <v>1731</v>
      </c>
    </row>
    <row r="355">
      <c r="A355" s="6">
        <v>341.0</v>
      </c>
      <c r="B355" s="7" t="s">
        <v>1732</v>
      </c>
      <c r="C355" s="8" t="s">
        <v>1733</v>
      </c>
      <c r="D355" s="9" t="s">
        <v>66</v>
      </c>
      <c r="E355" s="7" t="s">
        <v>1734</v>
      </c>
      <c r="F355" s="9">
        <v>17.0</v>
      </c>
      <c r="G355" s="9">
        <v>2006.0</v>
      </c>
      <c r="H355" s="18">
        <v>0.0</v>
      </c>
      <c r="I355" s="19"/>
      <c r="J355" s="19"/>
      <c r="K355" s="19"/>
      <c r="L355" s="19"/>
      <c r="M355" s="18">
        <v>0.0</v>
      </c>
      <c r="N355" s="19"/>
      <c r="O355" s="12">
        <v>0.0</v>
      </c>
      <c r="P355" s="18">
        <v>0.0</v>
      </c>
      <c r="Q355" s="19"/>
      <c r="R355" s="11">
        <v>1.0</v>
      </c>
      <c r="S355" s="24"/>
      <c r="T355" s="19"/>
      <c r="U355" s="19"/>
      <c r="V355" s="19"/>
      <c r="W355" s="19"/>
      <c r="X355" s="19"/>
      <c r="Y355" s="16" t="s">
        <v>1735</v>
      </c>
    </row>
    <row r="356">
      <c r="A356" s="6">
        <v>342.0</v>
      </c>
      <c r="B356" s="7" t="s">
        <v>1736</v>
      </c>
      <c r="C356" s="8" t="s">
        <v>1737</v>
      </c>
      <c r="D356" s="9" t="s">
        <v>73</v>
      </c>
      <c r="E356" s="7" t="s">
        <v>1738</v>
      </c>
      <c r="F356" s="9">
        <v>30.0</v>
      </c>
      <c r="G356" s="9">
        <v>1993.0</v>
      </c>
      <c r="H356" s="10">
        <v>1.0</v>
      </c>
      <c r="I356" s="11">
        <v>56.0</v>
      </c>
      <c r="J356" s="11">
        <v>56.0</v>
      </c>
      <c r="K356" s="11" t="s">
        <v>801</v>
      </c>
      <c r="L356" s="11" t="s">
        <v>47</v>
      </c>
      <c r="M356" s="10">
        <v>1.0</v>
      </c>
      <c r="N356" s="11">
        <v>56.0</v>
      </c>
      <c r="O356" s="12">
        <v>0.0</v>
      </c>
      <c r="P356" s="18">
        <v>0.0</v>
      </c>
      <c r="Q356" s="19"/>
      <c r="R356" s="11">
        <v>19.0</v>
      </c>
      <c r="S356" s="20">
        <v>0.0</v>
      </c>
      <c r="T356" s="12">
        <v>0.0</v>
      </c>
      <c r="U356" s="11">
        <v>1.0</v>
      </c>
      <c r="V356" s="17">
        <v>-1.0</v>
      </c>
      <c r="W356" s="15">
        <v>-0.08402777777777778</v>
      </c>
      <c r="X356" s="15">
        <v>-0.10972222222222222</v>
      </c>
      <c r="Y356" s="16" t="s">
        <v>1739</v>
      </c>
    </row>
    <row r="357">
      <c r="A357" s="6">
        <v>343.0</v>
      </c>
      <c r="B357" s="7" t="s">
        <v>1740</v>
      </c>
      <c r="C357" s="8" t="s">
        <v>1741</v>
      </c>
      <c r="D357" s="9" t="s">
        <v>32</v>
      </c>
      <c r="E357" s="7" t="s">
        <v>1742</v>
      </c>
      <c r="F357" s="9">
        <v>19.0</v>
      </c>
      <c r="G357" s="9">
        <v>2004.0</v>
      </c>
      <c r="H357" s="10">
        <v>1.0</v>
      </c>
      <c r="I357" s="11">
        <v>7.0</v>
      </c>
      <c r="J357" s="11">
        <v>7.0</v>
      </c>
      <c r="K357" s="11" t="s">
        <v>195</v>
      </c>
      <c r="L357" s="11" t="s">
        <v>155</v>
      </c>
      <c r="M357" s="18">
        <v>0.0</v>
      </c>
      <c r="N357" s="19"/>
      <c r="O357" s="12">
        <v>0.0</v>
      </c>
      <c r="P357" s="10">
        <v>1.0</v>
      </c>
      <c r="Q357" s="11">
        <v>7.0</v>
      </c>
      <c r="R357" s="11">
        <v>1.0</v>
      </c>
      <c r="S357" s="13">
        <v>0.125</v>
      </c>
      <c r="T357" s="12">
        <v>0.0</v>
      </c>
      <c r="U357" s="12">
        <v>0.0</v>
      </c>
      <c r="V357" s="12">
        <v>0.0</v>
      </c>
      <c r="W357" s="21">
        <v>0.0</v>
      </c>
      <c r="X357" s="14" t="str">
        <f>+0.67</f>
        <v>#ERROR!</v>
      </c>
      <c r="Y357" s="16" t="s">
        <v>1743</v>
      </c>
    </row>
    <row r="358">
      <c r="A358" s="6">
        <v>344.0</v>
      </c>
      <c r="B358" s="7" t="s">
        <v>1744</v>
      </c>
      <c r="C358" s="8" t="s">
        <v>1745</v>
      </c>
      <c r="D358" s="9" t="s">
        <v>32</v>
      </c>
      <c r="E358" s="7" t="s">
        <v>1746</v>
      </c>
      <c r="F358" s="9">
        <v>18.0</v>
      </c>
      <c r="G358" s="9">
        <v>2005.0</v>
      </c>
      <c r="H358" s="10">
        <v>6.0</v>
      </c>
      <c r="I358" s="11">
        <v>124.0</v>
      </c>
      <c r="J358" s="11">
        <v>21.0</v>
      </c>
      <c r="K358" s="11" t="s">
        <v>303</v>
      </c>
      <c r="L358" s="11" t="s">
        <v>941</v>
      </c>
      <c r="M358" s="18">
        <v>0.0</v>
      </c>
      <c r="N358" s="19"/>
      <c r="O358" s="12">
        <v>0.0</v>
      </c>
      <c r="P358" s="10">
        <v>6.0</v>
      </c>
      <c r="Q358" s="11">
        <v>21.0</v>
      </c>
      <c r="R358" s="11">
        <v>11.0</v>
      </c>
      <c r="S358" s="13">
        <v>0.08819444444444445</v>
      </c>
      <c r="T358" s="11">
        <v>4.0</v>
      </c>
      <c r="U358" s="11">
        <v>3.0</v>
      </c>
      <c r="V358" s="14">
        <f>+1</f>
        <v>1</v>
      </c>
      <c r="W358" s="14" t="str">
        <f>+0.73</f>
        <v>#ERROR!</v>
      </c>
      <c r="X358" s="14" t="str">
        <f>+0.66</f>
        <v>#ERROR!</v>
      </c>
      <c r="Y358" s="16" t="s">
        <v>1747</v>
      </c>
    </row>
    <row r="359">
      <c r="A359" s="6">
        <v>345.0</v>
      </c>
      <c r="B359" s="7" t="s">
        <v>1748</v>
      </c>
      <c r="C359" s="8" t="s">
        <v>1749</v>
      </c>
      <c r="D359" s="9" t="s">
        <v>284</v>
      </c>
      <c r="E359" s="7" t="s">
        <v>1750</v>
      </c>
      <c r="F359" s="9">
        <v>22.0</v>
      </c>
      <c r="G359" s="9">
        <v>2001.0</v>
      </c>
      <c r="H359" s="10">
        <v>29.0</v>
      </c>
      <c r="I359" s="11">
        <v>2.546</v>
      </c>
      <c r="J359" s="11">
        <v>88.0</v>
      </c>
      <c r="K359" s="11" t="s">
        <v>1751</v>
      </c>
      <c r="L359" s="11" t="s">
        <v>1452</v>
      </c>
      <c r="M359" s="10">
        <v>29.0</v>
      </c>
      <c r="N359" s="11">
        <v>88.0</v>
      </c>
      <c r="O359" s="11">
        <v>23.0</v>
      </c>
      <c r="P359" s="18">
        <v>0.0</v>
      </c>
      <c r="Q359" s="19"/>
      <c r="R359" s="12">
        <v>0.0</v>
      </c>
      <c r="S359" s="13">
        <v>0.05138888888888889</v>
      </c>
      <c r="T359" s="11">
        <v>31.0</v>
      </c>
      <c r="U359" s="11">
        <v>48.0</v>
      </c>
      <c r="V359" s="17">
        <v>-17.0</v>
      </c>
      <c r="W359" s="15">
        <v>-0.041666666666666664</v>
      </c>
      <c r="X359" s="15">
        <v>-0.001388888888888889</v>
      </c>
      <c r="Y359" s="16" t="s">
        <v>1752</v>
      </c>
    </row>
    <row r="360">
      <c r="A360" s="6">
        <v>346.0</v>
      </c>
      <c r="B360" s="7" t="s">
        <v>1753</v>
      </c>
      <c r="C360" s="8" t="s">
        <v>1754</v>
      </c>
      <c r="D360" s="9" t="s">
        <v>73</v>
      </c>
      <c r="E360" s="7" t="s">
        <v>1755</v>
      </c>
      <c r="F360" s="9">
        <v>34.0</v>
      </c>
      <c r="G360" s="9">
        <v>1989.0</v>
      </c>
      <c r="H360" s="10">
        <v>28.0</v>
      </c>
      <c r="I360" s="11">
        <v>2.503</v>
      </c>
      <c r="J360" s="11">
        <v>89.0</v>
      </c>
      <c r="K360" s="11" t="s">
        <v>1756</v>
      </c>
      <c r="L360" s="11" t="s">
        <v>1757</v>
      </c>
      <c r="M360" s="10">
        <v>28.0</v>
      </c>
      <c r="N360" s="11">
        <v>89.0</v>
      </c>
      <c r="O360" s="11">
        <v>27.0</v>
      </c>
      <c r="P360" s="18">
        <v>0.0</v>
      </c>
      <c r="Q360" s="19"/>
      <c r="R360" s="11">
        <v>1.0</v>
      </c>
      <c r="S360" s="13">
        <v>0.09861111111111111</v>
      </c>
      <c r="T360" s="11">
        <v>44.0</v>
      </c>
      <c r="U360" s="11">
        <v>35.0</v>
      </c>
      <c r="V360" s="14">
        <f>+9</f>
        <v>9</v>
      </c>
      <c r="W360" s="14" t="str">
        <f>+0.32</f>
        <v>#ERROR!</v>
      </c>
      <c r="X360" s="14" t="str">
        <f>+2.15</f>
        <v>#ERROR!</v>
      </c>
      <c r="Y360" s="16" t="s">
        <v>1758</v>
      </c>
    </row>
    <row r="361">
      <c r="A361" s="6">
        <v>347.0</v>
      </c>
      <c r="B361" s="7" t="s">
        <v>1759</v>
      </c>
      <c r="C361" s="8" t="s">
        <v>1760</v>
      </c>
      <c r="D361" s="9" t="s">
        <v>66</v>
      </c>
      <c r="E361" s="7" t="s">
        <v>1761</v>
      </c>
      <c r="F361" s="9">
        <v>24.0</v>
      </c>
      <c r="G361" s="9">
        <v>1999.0</v>
      </c>
      <c r="H361" s="10">
        <v>27.0</v>
      </c>
      <c r="I361" s="11">
        <v>2.258</v>
      </c>
      <c r="J361" s="11">
        <v>84.0</v>
      </c>
      <c r="K361" s="11" t="s">
        <v>1762</v>
      </c>
      <c r="L361" s="11" t="s">
        <v>1763</v>
      </c>
      <c r="M361" s="10">
        <v>25.0</v>
      </c>
      <c r="N361" s="11">
        <v>89.0</v>
      </c>
      <c r="O361" s="11">
        <v>23.0</v>
      </c>
      <c r="P361" s="10">
        <v>2.0</v>
      </c>
      <c r="Q361" s="11">
        <v>12.0</v>
      </c>
      <c r="R361" s="11">
        <v>2.0</v>
      </c>
      <c r="S361" s="13">
        <v>0.08819444444444445</v>
      </c>
      <c r="T361" s="11">
        <v>30.0</v>
      </c>
      <c r="U361" s="11">
        <v>27.0</v>
      </c>
      <c r="V361" s="14">
        <f>+3</f>
        <v>3</v>
      </c>
      <c r="W361" s="14" t="str">
        <f>+0.12</f>
        <v>#ERROR!</v>
      </c>
      <c r="X361" s="14" t="str">
        <f>+0.32</f>
        <v>#ERROR!</v>
      </c>
      <c r="Y361" s="16" t="s">
        <v>1764</v>
      </c>
    </row>
    <row r="362">
      <c r="A362" s="6">
        <v>348.0</v>
      </c>
      <c r="B362" s="7" t="s">
        <v>1765</v>
      </c>
      <c r="C362" s="8" t="s">
        <v>1766</v>
      </c>
      <c r="D362" s="9" t="s">
        <v>59</v>
      </c>
      <c r="E362" s="7" t="s">
        <v>1767</v>
      </c>
      <c r="F362" s="9">
        <v>27.0</v>
      </c>
      <c r="G362" s="9">
        <v>1997.0</v>
      </c>
      <c r="H362" s="10">
        <v>26.0</v>
      </c>
      <c r="I362" s="11">
        <v>1.52</v>
      </c>
      <c r="J362" s="11">
        <v>58.0</v>
      </c>
      <c r="K362" s="11" t="s">
        <v>1768</v>
      </c>
      <c r="L362" s="11" t="s">
        <v>168</v>
      </c>
      <c r="M362" s="10">
        <v>16.0</v>
      </c>
      <c r="N362" s="11">
        <v>83.0</v>
      </c>
      <c r="O362" s="11">
        <v>8.0</v>
      </c>
      <c r="P362" s="10">
        <v>10.0</v>
      </c>
      <c r="Q362" s="11">
        <v>20.0</v>
      </c>
      <c r="R362" s="11">
        <v>3.0</v>
      </c>
      <c r="S362" s="13">
        <v>0.044444444444444446</v>
      </c>
      <c r="T362" s="11">
        <v>18.0</v>
      </c>
      <c r="U362" s="11">
        <v>27.0</v>
      </c>
      <c r="V362" s="17">
        <v>-9.0</v>
      </c>
      <c r="W362" s="15">
        <v>-0.03680555555555556</v>
      </c>
      <c r="X362" s="15">
        <v>-0.03194444444444444</v>
      </c>
      <c r="Y362" s="16" t="s">
        <v>1769</v>
      </c>
    </row>
    <row r="363">
      <c r="A363" s="6">
        <v>349.0</v>
      </c>
      <c r="B363" s="7" t="s">
        <v>1770</v>
      </c>
      <c r="C363" s="8" t="s">
        <v>1771</v>
      </c>
      <c r="D363" s="9" t="s">
        <v>66</v>
      </c>
      <c r="E363" s="7" t="s">
        <v>1772</v>
      </c>
      <c r="F363" s="9">
        <v>28.0</v>
      </c>
      <c r="G363" s="9">
        <v>1995.0</v>
      </c>
      <c r="H363" s="10">
        <v>26.0</v>
      </c>
      <c r="I363" s="11">
        <v>2.313</v>
      </c>
      <c r="J363" s="11">
        <v>89.0</v>
      </c>
      <c r="K363" s="11" t="s">
        <v>1773</v>
      </c>
      <c r="L363" s="11" t="s">
        <v>1774</v>
      </c>
      <c r="M363" s="10">
        <v>26.0</v>
      </c>
      <c r="N363" s="11">
        <v>89.0</v>
      </c>
      <c r="O363" s="11">
        <v>24.0</v>
      </c>
      <c r="P363" s="18">
        <v>0.0</v>
      </c>
      <c r="Q363" s="19"/>
      <c r="R363" s="12">
        <v>0.0</v>
      </c>
      <c r="S363" s="13">
        <v>0.06111111111111111</v>
      </c>
      <c r="T363" s="11">
        <v>26.0</v>
      </c>
      <c r="U363" s="11">
        <v>34.0</v>
      </c>
      <c r="V363" s="17">
        <v>-8.0</v>
      </c>
      <c r="W363" s="15">
        <v>-0.021527777777777778</v>
      </c>
      <c r="X363" s="14" t="str">
        <f>+1.78</f>
        <v>#ERROR!</v>
      </c>
      <c r="Y363" s="16" t="s">
        <v>1775</v>
      </c>
    </row>
    <row r="364">
      <c r="A364" s="6">
        <v>350.0</v>
      </c>
      <c r="B364" s="7" t="s">
        <v>1776</v>
      </c>
      <c r="C364" s="8" t="s">
        <v>1777</v>
      </c>
      <c r="D364" s="9" t="s">
        <v>66</v>
      </c>
      <c r="E364" s="7" t="s">
        <v>1778</v>
      </c>
      <c r="F364" s="9">
        <v>25.0</v>
      </c>
      <c r="G364" s="9">
        <v>1998.0</v>
      </c>
      <c r="H364" s="10">
        <v>22.0</v>
      </c>
      <c r="I364" s="11">
        <v>1.522</v>
      </c>
      <c r="J364" s="11">
        <v>69.0</v>
      </c>
      <c r="K364" s="11" t="s">
        <v>1779</v>
      </c>
      <c r="L364" s="11" t="s">
        <v>168</v>
      </c>
      <c r="M364" s="10">
        <v>16.0</v>
      </c>
      <c r="N364" s="11">
        <v>88.0</v>
      </c>
      <c r="O364" s="11">
        <v>12.0</v>
      </c>
      <c r="P364" s="10">
        <v>6.0</v>
      </c>
      <c r="Q364" s="11">
        <v>19.0</v>
      </c>
      <c r="R364" s="11">
        <v>4.0</v>
      </c>
      <c r="S364" s="13">
        <v>0.05763888888888889</v>
      </c>
      <c r="T364" s="11">
        <v>30.0</v>
      </c>
      <c r="U364" s="11">
        <v>32.0</v>
      </c>
      <c r="V364" s="17">
        <v>-2.0</v>
      </c>
      <c r="W364" s="15">
        <v>-0.008333333333333333</v>
      </c>
      <c r="X364" s="15">
        <v>-0.024305555555555556</v>
      </c>
      <c r="Y364" s="16" t="s">
        <v>1780</v>
      </c>
    </row>
    <row r="365">
      <c r="A365" s="25" t="s">
        <v>0</v>
      </c>
      <c r="B365" s="26" t="s">
        <v>1</v>
      </c>
      <c r="C365" s="27" t="s">
        <v>2</v>
      </c>
      <c r="D365" s="27" t="s">
        <v>3</v>
      </c>
      <c r="E365" s="27" t="s">
        <v>4</v>
      </c>
      <c r="F365" s="27" t="s">
        <v>5</v>
      </c>
      <c r="G365" s="27" t="s">
        <v>6</v>
      </c>
      <c r="H365" s="28" t="s">
        <v>7</v>
      </c>
      <c r="I365" s="27" t="s">
        <v>8</v>
      </c>
      <c r="J365" s="27" t="s">
        <v>9</v>
      </c>
      <c r="K365" s="27" t="s">
        <v>10</v>
      </c>
      <c r="L365" s="27" t="s">
        <v>11</v>
      </c>
      <c r="M365" s="28" t="s">
        <v>12</v>
      </c>
      <c r="N365" s="27" t="s">
        <v>13</v>
      </c>
      <c r="O365" s="27" t="s">
        <v>14</v>
      </c>
      <c r="P365" s="28" t="s">
        <v>15</v>
      </c>
      <c r="Q365" s="27" t="s">
        <v>16</v>
      </c>
      <c r="R365" s="27" t="s">
        <v>17</v>
      </c>
      <c r="S365" s="28" t="s">
        <v>18</v>
      </c>
      <c r="T365" s="27" t="s">
        <v>19</v>
      </c>
      <c r="U365" s="27" t="s">
        <v>20</v>
      </c>
      <c r="V365" s="29" t="str">
        <f>+/-</f>
        <v>#ERROR!</v>
      </c>
      <c r="W365" s="29" t="str">
        <f>+/-90</f>
        <v>#ERROR!</v>
      </c>
      <c r="X365" s="27" t="s">
        <v>21</v>
      </c>
      <c r="Y365" s="28" t="s">
        <v>22</v>
      </c>
    </row>
    <row r="366">
      <c r="A366" s="6">
        <v>351.0</v>
      </c>
      <c r="B366" s="7" t="s">
        <v>1781</v>
      </c>
      <c r="C366" s="8" t="s">
        <v>1782</v>
      </c>
      <c r="D366" s="9" t="s">
        <v>32</v>
      </c>
      <c r="E366" s="7" t="s">
        <v>1783</v>
      </c>
      <c r="F366" s="9">
        <v>20.0</v>
      </c>
      <c r="G366" s="9">
        <v>2003.0</v>
      </c>
      <c r="H366" s="10">
        <v>11.0</v>
      </c>
      <c r="I366" s="11">
        <v>299.0</v>
      </c>
      <c r="J366" s="11">
        <v>27.0</v>
      </c>
      <c r="K366" s="11" t="s">
        <v>1691</v>
      </c>
      <c r="L366" s="11" t="s">
        <v>576</v>
      </c>
      <c r="M366" s="10">
        <v>3.0</v>
      </c>
      <c r="N366" s="11">
        <v>58.0</v>
      </c>
      <c r="O366" s="12">
        <v>0.0</v>
      </c>
      <c r="P366" s="10">
        <v>8.0</v>
      </c>
      <c r="Q366" s="11">
        <v>16.0</v>
      </c>
      <c r="R366" s="11">
        <v>7.0</v>
      </c>
      <c r="S366" s="13">
        <v>0.05416666666666667</v>
      </c>
      <c r="T366" s="11">
        <v>5.0</v>
      </c>
      <c r="U366" s="11">
        <v>6.0</v>
      </c>
      <c r="V366" s="17">
        <v>-1.0</v>
      </c>
      <c r="W366" s="15">
        <v>-0.020833333333333332</v>
      </c>
      <c r="X366" s="15">
        <v>-0.04722222222222222</v>
      </c>
      <c r="Y366" s="16" t="s">
        <v>1784</v>
      </c>
    </row>
    <row r="367">
      <c r="A367" s="6">
        <v>352.0</v>
      </c>
      <c r="B367" s="7" t="s">
        <v>1785</v>
      </c>
      <c r="C367" s="8" t="s">
        <v>1786</v>
      </c>
      <c r="D367" s="9" t="s">
        <v>32</v>
      </c>
      <c r="E367" s="7" t="s">
        <v>1787</v>
      </c>
      <c r="F367" s="9">
        <v>31.0</v>
      </c>
      <c r="G367" s="9">
        <v>1992.0</v>
      </c>
      <c r="H367" s="10">
        <v>25.0</v>
      </c>
      <c r="I367" s="11">
        <v>2.043</v>
      </c>
      <c r="J367" s="11">
        <v>82.0</v>
      </c>
      <c r="K367" s="11" t="s">
        <v>1788</v>
      </c>
      <c r="L367" s="11" t="s">
        <v>1564</v>
      </c>
      <c r="M367" s="10">
        <v>24.0</v>
      </c>
      <c r="N367" s="11">
        <v>84.0</v>
      </c>
      <c r="O367" s="11">
        <v>15.0</v>
      </c>
      <c r="P367" s="10">
        <v>1.0</v>
      </c>
      <c r="Q367" s="11">
        <v>20.0</v>
      </c>
      <c r="R367" s="11">
        <v>1.0</v>
      </c>
      <c r="S367" s="13">
        <v>0.05277777777777778</v>
      </c>
      <c r="T367" s="11">
        <v>31.0</v>
      </c>
      <c r="U367" s="11">
        <v>44.0</v>
      </c>
      <c r="V367" s="17">
        <v>-13.0</v>
      </c>
      <c r="W367" s="15">
        <v>-0.03958333333333333</v>
      </c>
      <c r="X367" s="14" t="str">
        <f>+0.52</f>
        <v>#ERROR!</v>
      </c>
      <c r="Y367" s="16" t="s">
        <v>1789</v>
      </c>
    </row>
    <row r="368">
      <c r="A368" s="6">
        <v>353.0</v>
      </c>
      <c r="B368" s="7" t="s">
        <v>1790</v>
      </c>
      <c r="C368" s="8" t="s">
        <v>1791</v>
      </c>
      <c r="D368" s="9" t="s">
        <v>52</v>
      </c>
      <c r="E368" s="7" t="s">
        <v>1792</v>
      </c>
      <c r="F368" s="9">
        <v>19.0</v>
      </c>
      <c r="G368" s="9">
        <v>2004.0</v>
      </c>
      <c r="H368" s="10">
        <v>28.0</v>
      </c>
      <c r="I368" s="11">
        <v>2.124</v>
      </c>
      <c r="J368" s="11">
        <v>76.0</v>
      </c>
      <c r="K368" s="11" t="s">
        <v>1793</v>
      </c>
      <c r="L368" s="11" t="s">
        <v>1794</v>
      </c>
      <c r="M368" s="10">
        <v>26.0</v>
      </c>
      <c r="N368" s="11">
        <v>80.0</v>
      </c>
      <c r="O368" s="11">
        <v>9.0</v>
      </c>
      <c r="P368" s="10">
        <v>2.0</v>
      </c>
      <c r="Q368" s="11">
        <v>17.0</v>
      </c>
      <c r="R368" s="12">
        <v>0.0</v>
      </c>
      <c r="S368" s="13">
        <v>0.04652777777777778</v>
      </c>
      <c r="T368" s="11">
        <v>35.0</v>
      </c>
      <c r="U368" s="11">
        <v>43.0</v>
      </c>
      <c r="V368" s="17">
        <v>-8.0</v>
      </c>
      <c r="W368" s="15">
        <v>-0.02361111111111111</v>
      </c>
      <c r="X368" s="15">
        <v>-0.034722222222222224</v>
      </c>
      <c r="Y368" s="16" t="s">
        <v>1795</v>
      </c>
    </row>
    <row r="369">
      <c r="A369" s="6">
        <v>354.0</v>
      </c>
      <c r="B369" s="7" t="s">
        <v>1796</v>
      </c>
      <c r="C369" s="8" t="s">
        <v>1797</v>
      </c>
      <c r="D369" s="9" t="s">
        <v>32</v>
      </c>
      <c r="E369" s="7" t="s">
        <v>1798</v>
      </c>
      <c r="F369" s="9">
        <v>24.0</v>
      </c>
      <c r="G369" s="9">
        <v>1999.0</v>
      </c>
      <c r="H369" s="10">
        <v>17.0</v>
      </c>
      <c r="I369" s="11">
        <v>523.0</v>
      </c>
      <c r="J369" s="11">
        <v>31.0</v>
      </c>
      <c r="K369" s="11" t="s">
        <v>1799</v>
      </c>
      <c r="L369" s="11" t="s">
        <v>1800</v>
      </c>
      <c r="M369" s="10">
        <v>6.0</v>
      </c>
      <c r="N369" s="11">
        <v>61.0</v>
      </c>
      <c r="O369" s="12">
        <v>0.0</v>
      </c>
      <c r="P369" s="10">
        <v>11.0</v>
      </c>
      <c r="Q369" s="11">
        <v>14.0</v>
      </c>
      <c r="R369" s="11">
        <v>5.0</v>
      </c>
      <c r="S369" s="13">
        <v>0.05694444444444444</v>
      </c>
      <c r="T369" s="11">
        <v>4.0</v>
      </c>
      <c r="U369" s="11">
        <v>6.0</v>
      </c>
      <c r="V369" s="17">
        <v>-2.0</v>
      </c>
      <c r="W369" s="15">
        <v>-0.02361111111111111</v>
      </c>
      <c r="X369" s="14" t="str">
        <f>+0.28</f>
        <v>#ERROR!</v>
      </c>
      <c r="Y369" s="16" t="s">
        <v>1801</v>
      </c>
    </row>
    <row r="370">
      <c r="A370" s="6">
        <v>355.0</v>
      </c>
      <c r="B370" s="7" t="s">
        <v>1802</v>
      </c>
      <c r="C370" s="8" t="s">
        <v>1803</v>
      </c>
      <c r="D370" s="9" t="s">
        <v>66</v>
      </c>
      <c r="E370" s="7" t="s">
        <v>1804</v>
      </c>
      <c r="F370" s="9">
        <v>32.0</v>
      </c>
      <c r="G370" s="9">
        <v>1991.0</v>
      </c>
      <c r="H370" s="10">
        <v>12.0</v>
      </c>
      <c r="I370" s="11">
        <v>1.08</v>
      </c>
      <c r="J370" s="11">
        <v>90.0</v>
      </c>
      <c r="K370" s="11" t="s">
        <v>75</v>
      </c>
      <c r="L370" s="11" t="s">
        <v>76</v>
      </c>
      <c r="M370" s="10">
        <v>12.0</v>
      </c>
      <c r="N370" s="11">
        <v>90.0</v>
      </c>
      <c r="O370" s="11">
        <v>12.0</v>
      </c>
      <c r="P370" s="18">
        <v>0.0</v>
      </c>
      <c r="Q370" s="19"/>
      <c r="R370" s="12">
        <v>0.0</v>
      </c>
      <c r="S370" s="13">
        <v>0.0763888888888889</v>
      </c>
      <c r="T370" s="11">
        <v>17.0</v>
      </c>
      <c r="U370" s="11">
        <v>19.0</v>
      </c>
      <c r="V370" s="17">
        <v>-2.0</v>
      </c>
      <c r="W370" s="15">
        <v>-0.011805555555555555</v>
      </c>
      <c r="X370" s="14" t="str">
        <f>+0.72</f>
        <v>#ERROR!</v>
      </c>
      <c r="Y370" s="16" t="s">
        <v>1805</v>
      </c>
    </row>
    <row r="371">
      <c r="A371" s="6">
        <v>356.0</v>
      </c>
      <c r="B371" s="7" t="s">
        <v>1806</v>
      </c>
      <c r="C371" s="8" t="s">
        <v>1807</v>
      </c>
      <c r="D371" s="9" t="s">
        <v>284</v>
      </c>
      <c r="E371" s="7" t="s">
        <v>1808</v>
      </c>
      <c r="F371" s="9">
        <v>30.0</v>
      </c>
      <c r="G371" s="9">
        <v>1993.0</v>
      </c>
      <c r="H371" s="10">
        <v>26.0</v>
      </c>
      <c r="I371" s="11">
        <v>1.648</v>
      </c>
      <c r="J371" s="11">
        <v>63.0</v>
      </c>
      <c r="K371" s="11" t="s">
        <v>1809</v>
      </c>
      <c r="L371" s="11" t="s">
        <v>570</v>
      </c>
      <c r="M371" s="10">
        <v>18.0</v>
      </c>
      <c r="N371" s="11">
        <v>81.0</v>
      </c>
      <c r="O371" s="11">
        <v>10.0</v>
      </c>
      <c r="P371" s="10">
        <v>8.0</v>
      </c>
      <c r="Q371" s="11">
        <v>24.0</v>
      </c>
      <c r="R371" s="11">
        <v>1.0</v>
      </c>
      <c r="S371" s="13">
        <v>0.05</v>
      </c>
      <c r="T371" s="11">
        <v>20.0</v>
      </c>
      <c r="U371" s="11">
        <v>20.0</v>
      </c>
      <c r="V371" s="12">
        <v>0.0</v>
      </c>
      <c r="W371" s="21">
        <v>0.0</v>
      </c>
      <c r="X371" s="14" t="str">
        <f>+0.86</f>
        <v>#ERROR!</v>
      </c>
      <c r="Y371" s="16" t="s">
        <v>1810</v>
      </c>
    </row>
    <row r="372">
      <c r="A372" s="6">
        <v>357.0</v>
      </c>
      <c r="B372" s="7" t="s">
        <v>1811</v>
      </c>
      <c r="C372" s="8" t="s">
        <v>1812</v>
      </c>
      <c r="D372" s="9" t="s">
        <v>66</v>
      </c>
      <c r="E372" s="7" t="s">
        <v>1813</v>
      </c>
      <c r="F372" s="9">
        <v>16.0</v>
      </c>
      <c r="G372" s="9">
        <v>2008.0</v>
      </c>
      <c r="H372" s="10">
        <v>1.0</v>
      </c>
      <c r="I372" s="11">
        <v>26.0</v>
      </c>
      <c r="J372" s="11">
        <v>26.0</v>
      </c>
      <c r="K372" s="11" t="s">
        <v>577</v>
      </c>
      <c r="L372" s="11" t="s">
        <v>195</v>
      </c>
      <c r="M372" s="18">
        <v>0.0</v>
      </c>
      <c r="N372" s="19"/>
      <c r="O372" s="12">
        <v>0.0</v>
      </c>
      <c r="P372" s="10">
        <v>1.0</v>
      </c>
      <c r="Q372" s="11">
        <v>26.0</v>
      </c>
      <c r="R372" s="11">
        <v>1.0</v>
      </c>
      <c r="S372" s="20">
        <v>0.0</v>
      </c>
      <c r="T372" s="12">
        <v>0.0</v>
      </c>
      <c r="U372" s="12">
        <v>0.0</v>
      </c>
      <c r="V372" s="12">
        <v>0.0</v>
      </c>
      <c r="W372" s="21">
        <v>0.0</v>
      </c>
      <c r="X372" s="15">
        <v>-0.006944444444444444</v>
      </c>
      <c r="Y372" s="16" t="s">
        <v>1814</v>
      </c>
    </row>
    <row r="373">
      <c r="A373" s="6">
        <v>358.0</v>
      </c>
      <c r="B373" s="7" t="s">
        <v>1815</v>
      </c>
      <c r="C373" s="8" t="s">
        <v>1816</v>
      </c>
      <c r="D373" s="9" t="s">
        <v>59</v>
      </c>
      <c r="E373" s="7" t="s">
        <v>1817</v>
      </c>
      <c r="F373" s="9">
        <v>25.0</v>
      </c>
      <c r="G373" s="9">
        <v>1998.0</v>
      </c>
      <c r="H373" s="10">
        <v>11.0</v>
      </c>
      <c r="I373" s="11">
        <v>641.0</v>
      </c>
      <c r="J373" s="11">
        <v>58.0</v>
      </c>
      <c r="K373" s="11" t="s">
        <v>449</v>
      </c>
      <c r="L373" s="11" t="s">
        <v>35</v>
      </c>
      <c r="M373" s="10">
        <v>8.0</v>
      </c>
      <c r="N373" s="11">
        <v>72.0</v>
      </c>
      <c r="O373" s="11">
        <v>2.0</v>
      </c>
      <c r="P373" s="10">
        <v>3.0</v>
      </c>
      <c r="Q373" s="11">
        <v>23.0</v>
      </c>
      <c r="R373" s="12">
        <v>0.0</v>
      </c>
      <c r="S373" s="13">
        <v>0.041666666666666664</v>
      </c>
      <c r="T373" s="11">
        <v>6.0</v>
      </c>
      <c r="U373" s="11">
        <v>11.0</v>
      </c>
      <c r="V373" s="17">
        <v>-5.0</v>
      </c>
      <c r="W373" s="15">
        <v>-0.04861111111111111</v>
      </c>
      <c r="X373" s="15">
        <v>-0.04513888888888889</v>
      </c>
      <c r="Y373" s="16" t="s">
        <v>1818</v>
      </c>
    </row>
    <row r="374">
      <c r="A374" s="6">
        <v>359.0</v>
      </c>
      <c r="B374" s="7" t="s">
        <v>1819</v>
      </c>
      <c r="C374" s="8" t="s">
        <v>1820</v>
      </c>
      <c r="D374" s="9" t="s">
        <v>52</v>
      </c>
      <c r="E374" s="7" t="s">
        <v>1821</v>
      </c>
      <c r="F374" s="9">
        <v>24.0</v>
      </c>
      <c r="G374" s="9">
        <v>1999.0</v>
      </c>
      <c r="H374" s="10">
        <v>15.0</v>
      </c>
      <c r="I374" s="11">
        <v>214.0</v>
      </c>
      <c r="J374" s="11">
        <v>14.0</v>
      </c>
      <c r="K374" s="11" t="s">
        <v>1822</v>
      </c>
      <c r="L374" s="11" t="s">
        <v>129</v>
      </c>
      <c r="M374" s="18">
        <v>0.0</v>
      </c>
      <c r="N374" s="19"/>
      <c r="O374" s="12">
        <v>0.0</v>
      </c>
      <c r="P374" s="10">
        <v>15.0</v>
      </c>
      <c r="Q374" s="11">
        <v>14.0</v>
      </c>
      <c r="R374" s="11">
        <v>10.0</v>
      </c>
      <c r="S374" s="13">
        <v>0.07430555555555556</v>
      </c>
      <c r="T374" s="11">
        <v>5.0</v>
      </c>
      <c r="U374" s="11">
        <v>9.0</v>
      </c>
      <c r="V374" s="17">
        <v>-4.0</v>
      </c>
      <c r="W374" s="15">
        <v>-0.08888888888888889</v>
      </c>
      <c r="X374" s="15">
        <v>-0.10138888888888889</v>
      </c>
      <c r="Y374" s="16" t="s">
        <v>1823</v>
      </c>
    </row>
    <row r="375">
      <c r="A375" s="6">
        <v>360.0</v>
      </c>
      <c r="B375" s="7" t="s">
        <v>1824</v>
      </c>
      <c r="C375" s="8" t="s">
        <v>1825</v>
      </c>
      <c r="D375" s="9" t="s">
        <v>66</v>
      </c>
      <c r="E375" s="7" t="s">
        <v>1826</v>
      </c>
      <c r="F375" s="9">
        <v>35.0</v>
      </c>
      <c r="G375" s="9">
        <v>1988.0</v>
      </c>
      <c r="H375" s="10">
        <v>22.0</v>
      </c>
      <c r="I375" s="11">
        <v>1.56</v>
      </c>
      <c r="J375" s="11">
        <v>71.0</v>
      </c>
      <c r="K375" s="11" t="s">
        <v>1827</v>
      </c>
      <c r="L375" s="11" t="s">
        <v>776</v>
      </c>
      <c r="M375" s="10">
        <v>19.0</v>
      </c>
      <c r="N375" s="11">
        <v>79.0</v>
      </c>
      <c r="O375" s="11">
        <v>8.0</v>
      </c>
      <c r="P375" s="10">
        <v>3.0</v>
      </c>
      <c r="Q375" s="11">
        <v>19.0</v>
      </c>
      <c r="R375" s="11">
        <v>5.0</v>
      </c>
      <c r="S375" s="13">
        <v>0.05763888888888889</v>
      </c>
      <c r="T375" s="11">
        <v>21.0</v>
      </c>
      <c r="U375" s="11">
        <v>30.0</v>
      </c>
      <c r="V375" s="17">
        <v>-9.0</v>
      </c>
      <c r="W375" s="15">
        <v>-0.03611111111111111</v>
      </c>
      <c r="X375" s="14" t="str">
        <f>+0.19</f>
        <v>#ERROR!</v>
      </c>
      <c r="Y375" s="16" t="s">
        <v>1828</v>
      </c>
    </row>
    <row r="376">
      <c r="A376" s="6">
        <v>361.0</v>
      </c>
      <c r="B376" s="7" t="s">
        <v>1829</v>
      </c>
      <c r="C376" s="8" t="s">
        <v>1830</v>
      </c>
      <c r="D376" s="9" t="s">
        <v>66</v>
      </c>
      <c r="E376" s="7" t="s">
        <v>1831</v>
      </c>
      <c r="F376" s="9">
        <v>35.0</v>
      </c>
      <c r="G376" s="9">
        <v>1988.0</v>
      </c>
      <c r="H376" s="10">
        <v>15.0</v>
      </c>
      <c r="I376" s="11">
        <v>484.0</v>
      </c>
      <c r="J376" s="11">
        <v>32.0</v>
      </c>
      <c r="K376" s="11" t="s">
        <v>1288</v>
      </c>
      <c r="L376" s="11" t="s">
        <v>1289</v>
      </c>
      <c r="M376" s="10">
        <v>5.0</v>
      </c>
      <c r="N376" s="11">
        <v>76.0</v>
      </c>
      <c r="O376" s="11">
        <v>1.0</v>
      </c>
      <c r="P376" s="10">
        <v>10.0</v>
      </c>
      <c r="Q376" s="11">
        <v>10.0</v>
      </c>
      <c r="R376" s="11">
        <v>9.0</v>
      </c>
      <c r="S376" s="13">
        <v>0.10208333333333333</v>
      </c>
      <c r="T376" s="11">
        <v>9.0</v>
      </c>
      <c r="U376" s="11">
        <v>7.0</v>
      </c>
      <c r="V376" s="14">
        <f>+2</f>
        <v>2</v>
      </c>
      <c r="W376" s="14" t="str">
        <f>+0.37</f>
        <v>#ERROR!</v>
      </c>
      <c r="X376" s="15">
        <v>-0.059027777777777776</v>
      </c>
      <c r="Y376" s="16" t="s">
        <v>1832</v>
      </c>
    </row>
    <row r="377">
      <c r="A377" s="6">
        <v>362.0</v>
      </c>
      <c r="B377" s="7" t="s">
        <v>1833</v>
      </c>
      <c r="C377" s="8" t="s">
        <v>1834</v>
      </c>
      <c r="D377" s="9" t="s">
        <v>73</v>
      </c>
      <c r="E377" s="7" t="s">
        <v>1835</v>
      </c>
      <c r="F377" s="9">
        <v>17.0</v>
      </c>
      <c r="G377" s="9">
        <v>2007.0</v>
      </c>
      <c r="H377" s="18">
        <v>0.0</v>
      </c>
      <c r="I377" s="19"/>
      <c r="J377" s="19"/>
      <c r="K377" s="19"/>
      <c r="L377" s="19"/>
      <c r="M377" s="18">
        <v>0.0</v>
      </c>
      <c r="N377" s="19"/>
      <c r="O377" s="12">
        <v>0.0</v>
      </c>
      <c r="P377" s="18">
        <v>0.0</v>
      </c>
      <c r="Q377" s="19"/>
      <c r="R377" s="11">
        <v>1.0</v>
      </c>
      <c r="S377" s="24"/>
      <c r="T377" s="19"/>
      <c r="U377" s="19"/>
      <c r="V377" s="19"/>
      <c r="W377" s="19"/>
      <c r="X377" s="19"/>
      <c r="Y377" s="16" t="s">
        <v>1836</v>
      </c>
    </row>
    <row r="378">
      <c r="A378" s="6">
        <v>363.0</v>
      </c>
      <c r="B378" s="7" t="s">
        <v>1837</v>
      </c>
      <c r="C378" s="8" t="s">
        <v>1838</v>
      </c>
      <c r="D378" s="9" t="s">
        <v>59</v>
      </c>
      <c r="E378" s="7" t="s">
        <v>1839</v>
      </c>
      <c r="F378" s="9">
        <v>25.0</v>
      </c>
      <c r="G378" s="9">
        <v>1998.0</v>
      </c>
      <c r="H378" s="10">
        <v>16.0</v>
      </c>
      <c r="I378" s="11">
        <v>573.0</v>
      </c>
      <c r="J378" s="11">
        <v>36.0</v>
      </c>
      <c r="K378" s="11" t="s">
        <v>664</v>
      </c>
      <c r="L378" s="11" t="s">
        <v>1840</v>
      </c>
      <c r="M378" s="10">
        <v>5.0</v>
      </c>
      <c r="N378" s="11">
        <v>69.0</v>
      </c>
      <c r="O378" s="11">
        <v>1.0</v>
      </c>
      <c r="P378" s="10">
        <v>11.0</v>
      </c>
      <c r="Q378" s="11">
        <v>21.0</v>
      </c>
      <c r="R378" s="11">
        <v>5.0</v>
      </c>
      <c r="S378" s="13">
        <v>0.0763888888888889</v>
      </c>
      <c r="T378" s="11">
        <v>4.0</v>
      </c>
      <c r="U378" s="11">
        <v>11.0</v>
      </c>
      <c r="V378" s="17">
        <v>-7.0</v>
      </c>
      <c r="W378" s="15">
        <v>-0.04861111111111111</v>
      </c>
      <c r="X378" s="15">
        <v>-0.04861111111111111</v>
      </c>
      <c r="Y378" s="16" t="s">
        <v>1841</v>
      </c>
    </row>
    <row r="379">
      <c r="A379" s="6">
        <v>364.0</v>
      </c>
      <c r="B379" s="7" t="s">
        <v>1842</v>
      </c>
      <c r="C379" s="8" t="s">
        <v>1843</v>
      </c>
      <c r="D379" s="9" t="s">
        <v>52</v>
      </c>
      <c r="E379" s="7" t="s">
        <v>1844</v>
      </c>
      <c r="F379" s="9">
        <v>26.0</v>
      </c>
      <c r="G379" s="9">
        <v>1997.0</v>
      </c>
      <c r="H379" s="10">
        <v>5.0</v>
      </c>
      <c r="I379" s="11">
        <v>241.0</v>
      </c>
      <c r="J379" s="11">
        <v>48.0</v>
      </c>
      <c r="K379" s="11" t="s">
        <v>1152</v>
      </c>
      <c r="L379" s="11" t="s">
        <v>618</v>
      </c>
      <c r="M379" s="10">
        <v>4.0</v>
      </c>
      <c r="N379" s="11">
        <v>60.0</v>
      </c>
      <c r="O379" s="12">
        <v>0.0</v>
      </c>
      <c r="P379" s="10">
        <v>1.0</v>
      </c>
      <c r="Q379" s="11">
        <v>3.0</v>
      </c>
      <c r="R379" s="11">
        <v>2.0</v>
      </c>
      <c r="S379" s="13">
        <v>0.06944444444444445</v>
      </c>
      <c r="T379" s="11">
        <v>3.0</v>
      </c>
      <c r="U379" s="11">
        <v>2.0</v>
      </c>
      <c r="V379" s="14">
        <f t="shared" ref="V379:V380" si="3">+1</f>
        <v>1</v>
      </c>
      <c r="W379" s="14" t="str">
        <f>+0.37</f>
        <v>#ERROR!</v>
      </c>
      <c r="X379" s="14" t="str">
        <f>+1.18</f>
        <v>#ERROR!</v>
      </c>
      <c r="Y379" s="16" t="s">
        <v>1845</v>
      </c>
    </row>
    <row r="380">
      <c r="A380" s="6">
        <v>365.0</v>
      </c>
      <c r="B380" s="7" t="s">
        <v>1846</v>
      </c>
      <c r="C380" s="8" t="s">
        <v>1847</v>
      </c>
      <c r="D380" s="9" t="s">
        <v>32</v>
      </c>
      <c r="E380" s="7" t="s">
        <v>1848</v>
      </c>
      <c r="F380" s="9">
        <v>17.0</v>
      </c>
      <c r="G380" s="9">
        <v>2006.0</v>
      </c>
      <c r="H380" s="10">
        <v>2.0</v>
      </c>
      <c r="I380" s="11">
        <v>26.0</v>
      </c>
      <c r="J380" s="11">
        <v>13.0</v>
      </c>
      <c r="K380" s="11" t="s">
        <v>577</v>
      </c>
      <c r="L380" s="11" t="s">
        <v>195</v>
      </c>
      <c r="M380" s="18">
        <v>0.0</v>
      </c>
      <c r="N380" s="19"/>
      <c r="O380" s="12">
        <v>0.0</v>
      </c>
      <c r="P380" s="10">
        <v>2.0</v>
      </c>
      <c r="Q380" s="11">
        <v>13.0</v>
      </c>
      <c r="R380" s="11">
        <v>5.0</v>
      </c>
      <c r="S380" s="13">
        <v>0.0763888888888889</v>
      </c>
      <c r="T380" s="11">
        <v>1.0</v>
      </c>
      <c r="U380" s="12">
        <v>0.0</v>
      </c>
      <c r="V380" s="14">
        <f t="shared" si="3"/>
        <v>1</v>
      </c>
      <c r="W380" s="14" t="str">
        <f>+3.46</f>
        <v>#ERROR!</v>
      </c>
      <c r="X380" s="14" t="str">
        <f>+3.23</f>
        <v>#ERROR!</v>
      </c>
      <c r="Y380" s="16" t="s">
        <v>1849</v>
      </c>
    </row>
    <row r="381">
      <c r="A381" s="6">
        <v>366.0</v>
      </c>
      <c r="B381" s="7" t="s">
        <v>1850</v>
      </c>
      <c r="C381" s="8" t="s">
        <v>1851</v>
      </c>
      <c r="D381" s="9" t="s">
        <v>66</v>
      </c>
      <c r="E381" s="7" t="s">
        <v>1852</v>
      </c>
      <c r="F381" s="9">
        <v>17.0</v>
      </c>
      <c r="G381" s="9">
        <v>2006.0</v>
      </c>
      <c r="H381" s="10">
        <v>15.0</v>
      </c>
      <c r="I381" s="11">
        <v>1.238</v>
      </c>
      <c r="J381" s="11">
        <v>83.0</v>
      </c>
      <c r="K381" s="11" t="s">
        <v>1853</v>
      </c>
      <c r="L381" s="11" t="s">
        <v>1709</v>
      </c>
      <c r="M381" s="10">
        <v>15.0</v>
      </c>
      <c r="N381" s="11">
        <v>83.0</v>
      </c>
      <c r="O381" s="11">
        <v>11.0</v>
      </c>
      <c r="P381" s="18">
        <v>0.0</v>
      </c>
      <c r="Q381" s="19"/>
      <c r="R381" s="11">
        <v>2.0</v>
      </c>
      <c r="S381" s="13">
        <v>0.050694444444444445</v>
      </c>
      <c r="T381" s="11">
        <v>14.0</v>
      </c>
      <c r="U381" s="11">
        <v>25.0</v>
      </c>
      <c r="V381" s="17">
        <v>-11.0</v>
      </c>
      <c r="W381" s="15">
        <v>-0.05555555555555555</v>
      </c>
      <c r="X381" s="15">
        <v>-0.017361111111111112</v>
      </c>
      <c r="Y381" s="16" t="s">
        <v>1854</v>
      </c>
    </row>
    <row r="382">
      <c r="A382" s="6">
        <v>367.0</v>
      </c>
      <c r="B382" s="7" t="s">
        <v>1855</v>
      </c>
      <c r="C382" s="8" t="s">
        <v>1856</v>
      </c>
      <c r="D382" s="9" t="s">
        <v>52</v>
      </c>
      <c r="E382" s="7" t="s">
        <v>1857</v>
      </c>
      <c r="F382" s="9">
        <v>19.0</v>
      </c>
      <c r="G382" s="9">
        <v>2004.0</v>
      </c>
      <c r="H382" s="10">
        <v>23.0</v>
      </c>
      <c r="I382" s="11">
        <v>1.428</v>
      </c>
      <c r="J382" s="11">
        <v>62.0</v>
      </c>
      <c r="K382" s="11" t="s">
        <v>1858</v>
      </c>
      <c r="L382" s="11" t="s">
        <v>1661</v>
      </c>
      <c r="M382" s="10">
        <v>17.0</v>
      </c>
      <c r="N382" s="11">
        <v>78.0</v>
      </c>
      <c r="O382" s="11">
        <v>11.0</v>
      </c>
      <c r="P382" s="10">
        <v>6.0</v>
      </c>
      <c r="Q382" s="11">
        <v>18.0</v>
      </c>
      <c r="R382" s="11">
        <v>3.0</v>
      </c>
      <c r="S382" s="13">
        <v>0.08402777777777778</v>
      </c>
      <c r="T382" s="11">
        <v>33.0</v>
      </c>
      <c r="U382" s="11">
        <v>23.0</v>
      </c>
      <c r="V382" s="14">
        <f>+10</f>
        <v>10</v>
      </c>
      <c r="W382" s="14" t="str">
        <f>+0.63</f>
        <v>#ERROR!</v>
      </c>
      <c r="X382" s="14" t="str">
        <f>+0.77</f>
        <v>#ERROR!</v>
      </c>
      <c r="Y382" s="16" t="s">
        <v>1859</v>
      </c>
    </row>
    <row r="383">
      <c r="A383" s="6">
        <v>368.0</v>
      </c>
      <c r="B383" s="7" t="s">
        <v>1860</v>
      </c>
      <c r="C383" s="8" t="s">
        <v>1861</v>
      </c>
      <c r="D383" s="9" t="s">
        <v>66</v>
      </c>
      <c r="E383" s="7" t="s">
        <v>1862</v>
      </c>
      <c r="F383" s="9">
        <v>33.0</v>
      </c>
      <c r="G383" s="9">
        <v>1990.0</v>
      </c>
      <c r="H383" s="10">
        <v>25.0</v>
      </c>
      <c r="I383" s="11">
        <v>2.077</v>
      </c>
      <c r="J383" s="11">
        <v>83.0</v>
      </c>
      <c r="K383" s="11" t="s">
        <v>1863</v>
      </c>
      <c r="L383" s="11" t="s">
        <v>1864</v>
      </c>
      <c r="M383" s="10">
        <v>23.0</v>
      </c>
      <c r="N383" s="11">
        <v>88.0</v>
      </c>
      <c r="O383" s="11">
        <v>20.0</v>
      </c>
      <c r="P383" s="10">
        <v>2.0</v>
      </c>
      <c r="Q383" s="11">
        <v>24.0</v>
      </c>
      <c r="R383" s="11">
        <v>1.0</v>
      </c>
      <c r="S383" s="13">
        <v>0.09722222222222222</v>
      </c>
      <c r="T383" s="11">
        <v>35.0</v>
      </c>
      <c r="U383" s="11">
        <v>32.0</v>
      </c>
      <c r="V383" s="14">
        <f>+3</f>
        <v>3</v>
      </c>
      <c r="W383" s="14" t="str">
        <f>+0.13</f>
        <v>#ERROR!</v>
      </c>
      <c r="X383" s="15">
        <v>-0.011111111111111112</v>
      </c>
      <c r="Y383" s="16" t="s">
        <v>1865</v>
      </c>
    </row>
    <row r="384">
      <c r="A384" s="6">
        <v>369.0</v>
      </c>
      <c r="B384" s="7" t="s">
        <v>1866</v>
      </c>
      <c r="C384" s="8" t="s">
        <v>1867</v>
      </c>
      <c r="D384" s="9" t="s">
        <v>32</v>
      </c>
      <c r="E384" s="7" t="s">
        <v>1868</v>
      </c>
      <c r="F384" s="9">
        <v>18.0</v>
      </c>
      <c r="G384" s="9">
        <v>2005.0</v>
      </c>
      <c r="H384" s="10">
        <v>2.0</v>
      </c>
      <c r="I384" s="11">
        <v>15.0</v>
      </c>
      <c r="J384" s="11">
        <v>8.0</v>
      </c>
      <c r="K384" s="11" t="s">
        <v>47</v>
      </c>
      <c r="L384" s="11" t="s">
        <v>48</v>
      </c>
      <c r="M384" s="18">
        <v>0.0</v>
      </c>
      <c r="N384" s="19"/>
      <c r="O384" s="12">
        <v>0.0</v>
      </c>
      <c r="P384" s="10">
        <v>2.0</v>
      </c>
      <c r="Q384" s="11">
        <v>8.0</v>
      </c>
      <c r="R384" s="11">
        <v>3.0</v>
      </c>
      <c r="S384" s="20">
        <v>0.0</v>
      </c>
      <c r="T384" s="12">
        <v>0.0</v>
      </c>
      <c r="U384" s="12">
        <v>0.0</v>
      </c>
      <c r="V384" s="12">
        <v>0.0</v>
      </c>
      <c r="W384" s="21">
        <v>0.0</v>
      </c>
      <c r="X384" s="15">
        <v>-0.006944444444444444</v>
      </c>
      <c r="Y384" s="16" t="s">
        <v>1869</v>
      </c>
    </row>
    <row r="385">
      <c r="A385" s="6">
        <v>370.0</v>
      </c>
      <c r="B385" s="7" t="s">
        <v>1870</v>
      </c>
      <c r="C385" s="8" t="s">
        <v>1871</v>
      </c>
      <c r="D385" s="9" t="s">
        <v>52</v>
      </c>
      <c r="E385" s="7" t="s">
        <v>1872</v>
      </c>
      <c r="F385" s="9">
        <v>28.0</v>
      </c>
      <c r="G385" s="9">
        <v>1995.0</v>
      </c>
      <c r="H385" s="10">
        <v>21.0</v>
      </c>
      <c r="I385" s="11">
        <v>1.441</v>
      </c>
      <c r="J385" s="11">
        <v>69.0</v>
      </c>
      <c r="K385" s="11" t="s">
        <v>1873</v>
      </c>
      <c r="L385" s="11" t="s">
        <v>1191</v>
      </c>
      <c r="M385" s="10">
        <v>18.0</v>
      </c>
      <c r="N385" s="11">
        <v>76.0</v>
      </c>
      <c r="O385" s="11">
        <v>4.0</v>
      </c>
      <c r="P385" s="10">
        <v>3.0</v>
      </c>
      <c r="Q385" s="11">
        <v>22.0</v>
      </c>
      <c r="R385" s="11">
        <v>3.0</v>
      </c>
      <c r="S385" s="13">
        <v>0.1</v>
      </c>
      <c r="T385" s="11">
        <v>33.0</v>
      </c>
      <c r="U385" s="11">
        <v>12.0</v>
      </c>
      <c r="V385" s="14">
        <f>+21</f>
        <v>21</v>
      </c>
      <c r="W385" s="14" t="str">
        <f>+1.31</f>
        <v>#ERROR!</v>
      </c>
      <c r="X385" s="15">
        <v>-0.013194444444444444</v>
      </c>
      <c r="Y385" s="16" t="s">
        <v>1874</v>
      </c>
    </row>
    <row r="386">
      <c r="A386" s="6">
        <v>371.0</v>
      </c>
      <c r="B386" s="7" t="s">
        <v>1875</v>
      </c>
      <c r="C386" s="8" t="s">
        <v>1876</v>
      </c>
      <c r="D386" s="9" t="s">
        <v>66</v>
      </c>
      <c r="E386" s="7" t="s">
        <v>1877</v>
      </c>
      <c r="F386" s="9">
        <v>20.0</v>
      </c>
      <c r="G386" s="9">
        <v>2003.0</v>
      </c>
      <c r="H386" s="18">
        <v>0.0</v>
      </c>
      <c r="I386" s="19"/>
      <c r="J386" s="19"/>
      <c r="K386" s="19"/>
      <c r="L386" s="19"/>
      <c r="M386" s="18">
        <v>0.0</v>
      </c>
      <c r="N386" s="19"/>
      <c r="O386" s="12">
        <v>0.0</v>
      </c>
      <c r="P386" s="18">
        <v>0.0</v>
      </c>
      <c r="Q386" s="19"/>
      <c r="R386" s="11">
        <v>4.0</v>
      </c>
      <c r="S386" s="24"/>
      <c r="T386" s="19"/>
      <c r="U386" s="19"/>
      <c r="V386" s="19"/>
      <c r="W386" s="19"/>
      <c r="X386" s="19"/>
      <c r="Y386" s="16" t="s">
        <v>1878</v>
      </c>
    </row>
    <row r="387">
      <c r="A387" s="6">
        <v>372.0</v>
      </c>
      <c r="B387" s="7" t="s">
        <v>1879</v>
      </c>
      <c r="C387" s="8" t="s">
        <v>1880</v>
      </c>
      <c r="D387" s="9" t="s">
        <v>59</v>
      </c>
      <c r="E387" s="7" t="s">
        <v>1881</v>
      </c>
      <c r="F387" s="9">
        <v>21.0</v>
      </c>
      <c r="G387" s="9">
        <v>2002.0</v>
      </c>
      <c r="H387" s="10">
        <v>19.0</v>
      </c>
      <c r="I387" s="11">
        <v>1.336</v>
      </c>
      <c r="J387" s="11">
        <v>70.0</v>
      </c>
      <c r="K387" s="11" t="s">
        <v>1882</v>
      </c>
      <c r="L387" s="11" t="s">
        <v>1703</v>
      </c>
      <c r="M387" s="10">
        <v>16.0</v>
      </c>
      <c r="N387" s="11">
        <v>78.0</v>
      </c>
      <c r="O387" s="11">
        <v>4.0</v>
      </c>
      <c r="P387" s="10">
        <v>3.0</v>
      </c>
      <c r="Q387" s="11">
        <v>28.0</v>
      </c>
      <c r="R387" s="12">
        <v>0.0</v>
      </c>
      <c r="S387" s="13">
        <v>0.07847222222222222</v>
      </c>
      <c r="T387" s="11">
        <v>25.0</v>
      </c>
      <c r="U387" s="11">
        <v>21.0</v>
      </c>
      <c r="V387" s="14">
        <f>+4</f>
        <v>4</v>
      </c>
      <c r="W387" s="14" t="str">
        <f>+0.27</f>
        <v>#ERROR!</v>
      </c>
      <c r="X387" s="14" t="str">
        <f>+0.47</f>
        <v>#ERROR!</v>
      </c>
      <c r="Y387" s="16" t="s">
        <v>1883</v>
      </c>
    </row>
    <row r="388">
      <c r="A388" s="6">
        <v>373.0</v>
      </c>
      <c r="B388" s="7" t="s">
        <v>1884</v>
      </c>
      <c r="C388" s="8" t="s">
        <v>1885</v>
      </c>
      <c r="D388" s="9" t="s">
        <v>73</v>
      </c>
      <c r="E388" s="7" t="s">
        <v>1886</v>
      </c>
      <c r="F388" s="9">
        <v>16.0</v>
      </c>
      <c r="G388" s="9">
        <v>2007.0</v>
      </c>
      <c r="H388" s="18">
        <v>0.0</v>
      </c>
      <c r="I388" s="19"/>
      <c r="J388" s="19"/>
      <c r="K388" s="19"/>
      <c r="L388" s="19"/>
      <c r="M388" s="18">
        <v>0.0</v>
      </c>
      <c r="N388" s="19"/>
      <c r="O388" s="12">
        <v>0.0</v>
      </c>
      <c r="P388" s="18">
        <v>0.0</v>
      </c>
      <c r="Q388" s="19"/>
      <c r="R388" s="11">
        <v>7.0</v>
      </c>
      <c r="S388" s="24"/>
      <c r="T388" s="19"/>
      <c r="U388" s="19"/>
      <c r="V388" s="19"/>
      <c r="W388" s="19"/>
      <c r="X388" s="19"/>
      <c r="Y388" s="16" t="s">
        <v>1887</v>
      </c>
    </row>
    <row r="389">
      <c r="A389" s="6">
        <v>374.0</v>
      </c>
      <c r="B389" s="7" t="s">
        <v>1888</v>
      </c>
      <c r="C389" s="8" t="s">
        <v>1889</v>
      </c>
      <c r="D389" s="9" t="s">
        <v>73</v>
      </c>
      <c r="E389" s="7" t="s">
        <v>1890</v>
      </c>
      <c r="F389" s="9">
        <v>26.0</v>
      </c>
      <c r="G389" s="9">
        <v>1997.0</v>
      </c>
      <c r="H389" s="10">
        <v>18.0</v>
      </c>
      <c r="I389" s="11">
        <v>1.575</v>
      </c>
      <c r="J389" s="11">
        <v>88.0</v>
      </c>
      <c r="K389" s="11" t="s">
        <v>1891</v>
      </c>
      <c r="L389" s="11" t="s">
        <v>1519</v>
      </c>
      <c r="M389" s="10">
        <v>17.0</v>
      </c>
      <c r="N389" s="11">
        <v>90.0</v>
      </c>
      <c r="O389" s="11">
        <v>17.0</v>
      </c>
      <c r="P389" s="10">
        <v>1.0</v>
      </c>
      <c r="Q389" s="11">
        <v>45.0</v>
      </c>
      <c r="R389" s="11">
        <v>12.0</v>
      </c>
      <c r="S389" s="13">
        <v>0.09166666666666666</v>
      </c>
      <c r="T389" s="11">
        <v>36.0</v>
      </c>
      <c r="U389" s="11">
        <v>29.0</v>
      </c>
      <c r="V389" s="14">
        <f>+7</f>
        <v>7</v>
      </c>
      <c r="W389" s="14" t="str">
        <f>+0.40</f>
        <v>#ERROR!</v>
      </c>
      <c r="X389" s="14" t="str">
        <f>+0.32</f>
        <v>#ERROR!</v>
      </c>
      <c r="Y389" s="16" t="s">
        <v>1892</v>
      </c>
    </row>
    <row r="390">
      <c r="A390" s="6">
        <v>375.0</v>
      </c>
      <c r="B390" s="7" t="s">
        <v>1893</v>
      </c>
      <c r="C390" s="8" t="s">
        <v>1894</v>
      </c>
      <c r="D390" s="9" t="s">
        <v>59</v>
      </c>
      <c r="E390" s="7" t="s">
        <v>1895</v>
      </c>
      <c r="F390" s="9">
        <v>23.0</v>
      </c>
      <c r="G390" s="9">
        <v>2000.0</v>
      </c>
      <c r="H390" s="10">
        <v>23.0</v>
      </c>
      <c r="I390" s="11">
        <v>1.051</v>
      </c>
      <c r="J390" s="11">
        <v>46.0</v>
      </c>
      <c r="K390" s="11" t="s">
        <v>1589</v>
      </c>
      <c r="L390" s="11" t="s">
        <v>634</v>
      </c>
      <c r="M390" s="10">
        <v>12.0</v>
      </c>
      <c r="N390" s="11">
        <v>74.0</v>
      </c>
      <c r="O390" s="11">
        <v>1.0</v>
      </c>
      <c r="P390" s="10">
        <v>11.0</v>
      </c>
      <c r="Q390" s="11">
        <v>15.0</v>
      </c>
      <c r="R390" s="11">
        <v>5.0</v>
      </c>
      <c r="S390" s="13">
        <v>0.05694444444444444</v>
      </c>
      <c r="T390" s="11">
        <v>15.0</v>
      </c>
      <c r="U390" s="11">
        <v>14.0</v>
      </c>
      <c r="V390" s="14">
        <f>+1</f>
        <v>1</v>
      </c>
      <c r="W390" s="14" t="str">
        <f>+0.09</f>
        <v>#ERROR!</v>
      </c>
      <c r="X390" s="14" t="str">
        <f>+0.69</f>
        <v>#ERROR!</v>
      </c>
      <c r="Y390" s="16" t="s">
        <v>1896</v>
      </c>
    </row>
    <row r="391">
      <c r="A391" s="25" t="s">
        <v>0</v>
      </c>
      <c r="B391" s="26" t="s">
        <v>1</v>
      </c>
      <c r="C391" s="27" t="s">
        <v>2</v>
      </c>
      <c r="D391" s="27" t="s">
        <v>3</v>
      </c>
      <c r="E391" s="27" t="s">
        <v>4</v>
      </c>
      <c r="F391" s="27" t="s">
        <v>5</v>
      </c>
      <c r="G391" s="27" t="s">
        <v>6</v>
      </c>
      <c r="H391" s="28" t="s">
        <v>7</v>
      </c>
      <c r="I391" s="27" t="s">
        <v>8</v>
      </c>
      <c r="J391" s="27" t="s">
        <v>9</v>
      </c>
      <c r="K391" s="27" t="s">
        <v>10</v>
      </c>
      <c r="L391" s="27" t="s">
        <v>11</v>
      </c>
      <c r="M391" s="28" t="s">
        <v>12</v>
      </c>
      <c r="N391" s="27" t="s">
        <v>13</v>
      </c>
      <c r="O391" s="27" t="s">
        <v>14</v>
      </c>
      <c r="P391" s="28" t="s">
        <v>15</v>
      </c>
      <c r="Q391" s="27" t="s">
        <v>16</v>
      </c>
      <c r="R391" s="27" t="s">
        <v>17</v>
      </c>
      <c r="S391" s="28" t="s">
        <v>18</v>
      </c>
      <c r="T391" s="27" t="s">
        <v>19</v>
      </c>
      <c r="U391" s="27" t="s">
        <v>20</v>
      </c>
      <c r="V391" s="29" t="str">
        <f>+/-</f>
        <v>#ERROR!</v>
      </c>
      <c r="W391" s="29" t="str">
        <f>+/-90</f>
        <v>#ERROR!</v>
      </c>
      <c r="X391" s="27" t="s">
        <v>21</v>
      </c>
      <c r="Y391" s="28" t="s">
        <v>22</v>
      </c>
    </row>
    <row r="392">
      <c r="A392" s="6">
        <v>376.0</v>
      </c>
      <c r="B392" s="7" t="s">
        <v>1897</v>
      </c>
      <c r="C392" s="8" t="s">
        <v>1898</v>
      </c>
      <c r="D392" s="9" t="s">
        <v>66</v>
      </c>
      <c r="E392" s="7" t="s">
        <v>1899</v>
      </c>
      <c r="F392" s="9">
        <v>33.0</v>
      </c>
      <c r="G392" s="9">
        <v>1990.0</v>
      </c>
      <c r="H392" s="10">
        <v>25.0</v>
      </c>
      <c r="I392" s="11">
        <v>1.831</v>
      </c>
      <c r="J392" s="11">
        <v>73.0</v>
      </c>
      <c r="K392" s="11" t="s">
        <v>1900</v>
      </c>
      <c r="L392" s="11" t="s">
        <v>1359</v>
      </c>
      <c r="M392" s="10">
        <v>22.0</v>
      </c>
      <c r="N392" s="11">
        <v>81.0</v>
      </c>
      <c r="O392" s="11">
        <v>16.0</v>
      </c>
      <c r="P392" s="10">
        <v>3.0</v>
      </c>
      <c r="Q392" s="11">
        <v>17.0</v>
      </c>
      <c r="R392" s="12">
        <v>0.0</v>
      </c>
      <c r="S392" s="13">
        <v>0.08333333333333333</v>
      </c>
      <c r="T392" s="11">
        <v>28.0</v>
      </c>
      <c r="U392" s="11">
        <v>21.0</v>
      </c>
      <c r="V392" s="14">
        <f>+7</f>
        <v>7</v>
      </c>
      <c r="W392" s="14" t="str">
        <f>+0.34</f>
        <v>#ERROR!</v>
      </c>
      <c r="X392" s="14" t="str">
        <f>+0.14</f>
        <v>#ERROR!</v>
      </c>
      <c r="Y392" s="16" t="s">
        <v>1901</v>
      </c>
    </row>
    <row r="393">
      <c r="A393" s="6">
        <v>377.0</v>
      </c>
      <c r="B393" s="7" t="s">
        <v>1902</v>
      </c>
      <c r="C393" s="8" t="s">
        <v>1903</v>
      </c>
      <c r="D393" s="9" t="s">
        <v>52</v>
      </c>
      <c r="E393" s="7" t="s">
        <v>1904</v>
      </c>
      <c r="F393" s="9">
        <v>23.0</v>
      </c>
      <c r="G393" s="9">
        <v>2000.0</v>
      </c>
      <c r="H393" s="10">
        <v>16.0</v>
      </c>
      <c r="I393" s="11">
        <v>294.0</v>
      </c>
      <c r="J393" s="11">
        <v>18.0</v>
      </c>
      <c r="K393" s="11" t="s">
        <v>770</v>
      </c>
      <c r="L393" s="11" t="s">
        <v>576</v>
      </c>
      <c r="M393" s="10">
        <v>2.0</v>
      </c>
      <c r="N393" s="11">
        <v>68.0</v>
      </c>
      <c r="O393" s="11">
        <v>1.0</v>
      </c>
      <c r="P393" s="10">
        <v>14.0</v>
      </c>
      <c r="Q393" s="11">
        <v>11.0</v>
      </c>
      <c r="R393" s="11">
        <v>8.0</v>
      </c>
      <c r="S393" s="13">
        <v>0.050694444444444445</v>
      </c>
      <c r="T393" s="11">
        <v>4.0</v>
      </c>
      <c r="U393" s="11">
        <v>11.0</v>
      </c>
      <c r="V393" s="17">
        <v>-7.0</v>
      </c>
      <c r="W393" s="15">
        <v>-0.09305555555555556</v>
      </c>
      <c r="X393" s="15">
        <v>-0.09305555555555556</v>
      </c>
      <c r="Y393" s="16" t="s">
        <v>1905</v>
      </c>
    </row>
    <row r="394">
      <c r="A394" s="6">
        <v>378.0</v>
      </c>
      <c r="B394" s="7" t="s">
        <v>1906</v>
      </c>
      <c r="C394" s="8" t="s">
        <v>1907</v>
      </c>
      <c r="D394" s="9" t="s">
        <v>66</v>
      </c>
      <c r="E394" s="7" t="s">
        <v>1908</v>
      </c>
      <c r="F394" s="9">
        <v>25.0</v>
      </c>
      <c r="G394" s="9">
        <v>1998.0</v>
      </c>
      <c r="H394" s="10">
        <v>28.0</v>
      </c>
      <c r="I394" s="11">
        <v>2.448</v>
      </c>
      <c r="J394" s="11">
        <v>87.0</v>
      </c>
      <c r="K394" s="11" t="s">
        <v>1909</v>
      </c>
      <c r="L394" s="11" t="s">
        <v>1910</v>
      </c>
      <c r="M394" s="10">
        <v>28.0</v>
      </c>
      <c r="N394" s="11">
        <v>87.0</v>
      </c>
      <c r="O394" s="11">
        <v>23.0</v>
      </c>
      <c r="P394" s="18">
        <v>0.0</v>
      </c>
      <c r="Q394" s="19"/>
      <c r="R394" s="12">
        <v>0.0</v>
      </c>
      <c r="S394" s="13">
        <v>0.10347222222222222</v>
      </c>
      <c r="T394" s="11">
        <v>46.0</v>
      </c>
      <c r="U394" s="11">
        <v>20.0</v>
      </c>
      <c r="V394" s="14">
        <f>+26</f>
        <v>26</v>
      </c>
      <c r="W394" s="14" t="str">
        <f>+0.96</f>
        <v>#ERROR!</v>
      </c>
      <c r="X394" s="14" t="str">
        <f>+2.03</f>
        <v>#ERROR!</v>
      </c>
      <c r="Y394" s="16" t="s">
        <v>1911</v>
      </c>
    </row>
    <row r="395">
      <c r="A395" s="6">
        <v>379.0</v>
      </c>
      <c r="B395" s="7" t="s">
        <v>1912</v>
      </c>
      <c r="C395" s="8" t="s">
        <v>1913</v>
      </c>
      <c r="D395" s="9" t="s">
        <v>32</v>
      </c>
      <c r="E395" s="7" t="s">
        <v>1914</v>
      </c>
      <c r="F395" s="9">
        <v>27.0</v>
      </c>
      <c r="G395" s="9">
        <v>1996.0</v>
      </c>
      <c r="H395" s="10">
        <v>30.0</v>
      </c>
      <c r="I395" s="11">
        <v>2.605</v>
      </c>
      <c r="J395" s="11">
        <v>87.0</v>
      </c>
      <c r="K395" s="11" t="s">
        <v>1915</v>
      </c>
      <c r="L395" s="11" t="s">
        <v>1916</v>
      </c>
      <c r="M395" s="10">
        <v>30.0</v>
      </c>
      <c r="N395" s="11">
        <v>87.0</v>
      </c>
      <c r="O395" s="11">
        <v>19.0</v>
      </c>
      <c r="P395" s="18">
        <v>0.0</v>
      </c>
      <c r="Q395" s="19"/>
      <c r="R395" s="12">
        <v>0.0</v>
      </c>
      <c r="S395" s="13">
        <v>0.09722222222222222</v>
      </c>
      <c r="T395" s="11">
        <v>45.0</v>
      </c>
      <c r="U395" s="11">
        <v>39.0</v>
      </c>
      <c r="V395" s="14">
        <f>+6</f>
        <v>6</v>
      </c>
      <c r="W395" s="14" t="str">
        <f>+0.21</f>
        <v>#ERROR!</v>
      </c>
      <c r="X395" s="14" t="str">
        <f>+1.15</f>
        <v>#ERROR!</v>
      </c>
      <c r="Y395" s="16" t="s">
        <v>1917</v>
      </c>
    </row>
    <row r="396">
      <c r="A396" s="6">
        <v>380.0</v>
      </c>
      <c r="B396" s="7" t="s">
        <v>1918</v>
      </c>
      <c r="C396" s="8" t="s">
        <v>1919</v>
      </c>
      <c r="D396" s="9" t="s">
        <v>45</v>
      </c>
      <c r="E396" s="7" t="s">
        <v>1920</v>
      </c>
      <c r="F396" s="9">
        <v>21.0</v>
      </c>
      <c r="G396" s="9">
        <v>2002.0</v>
      </c>
      <c r="H396" s="10">
        <v>26.0</v>
      </c>
      <c r="I396" s="11">
        <v>1.431</v>
      </c>
      <c r="J396" s="11">
        <v>55.0</v>
      </c>
      <c r="K396" s="11" t="s">
        <v>1921</v>
      </c>
      <c r="L396" s="11" t="s">
        <v>1661</v>
      </c>
      <c r="M396" s="10">
        <v>15.0</v>
      </c>
      <c r="N396" s="11">
        <v>81.0</v>
      </c>
      <c r="O396" s="11">
        <v>6.0</v>
      </c>
      <c r="P396" s="10">
        <v>11.0</v>
      </c>
      <c r="Q396" s="11">
        <v>19.0</v>
      </c>
      <c r="R396" s="11">
        <v>1.0</v>
      </c>
      <c r="S396" s="13">
        <v>0.044444444444444446</v>
      </c>
      <c r="T396" s="11">
        <v>19.0</v>
      </c>
      <c r="U396" s="11">
        <v>39.0</v>
      </c>
      <c r="V396" s="17">
        <v>-20.0</v>
      </c>
      <c r="W396" s="15">
        <v>-0.059722222222222225</v>
      </c>
      <c r="X396" s="15">
        <v>-0.05486111111111111</v>
      </c>
      <c r="Y396" s="16" t="s">
        <v>1922</v>
      </c>
    </row>
    <row r="397">
      <c r="A397" s="6">
        <v>381.0</v>
      </c>
      <c r="B397" s="7" t="s">
        <v>1923</v>
      </c>
      <c r="C397" s="8" t="s">
        <v>1924</v>
      </c>
      <c r="D397" s="9" t="s">
        <v>32</v>
      </c>
      <c r="E397" s="7" t="s">
        <v>1925</v>
      </c>
      <c r="F397" s="9">
        <v>19.0</v>
      </c>
      <c r="G397" s="9">
        <v>2004.0</v>
      </c>
      <c r="H397" s="10">
        <v>8.0</v>
      </c>
      <c r="I397" s="11">
        <v>459.0</v>
      </c>
      <c r="J397" s="11">
        <v>57.0</v>
      </c>
      <c r="K397" s="11" t="s">
        <v>124</v>
      </c>
      <c r="L397" s="11" t="s">
        <v>169</v>
      </c>
      <c r="M397" s="10">
        <v>5.0</v>
      </c>
      <c r="N397" s="11">
        <v>86.0</v>
      </c>
      <c r="O397" s="11">
        <v>4.0</v>
      </c>
      <c r="P397" s="10">
        <v>3.0</v>
      </c>
      <c r="Q397" s="11">
        <v>9.0</v>
      </c>
      <c r="R397" s="11">
        <v>3.0</v>
      </c>
      <c r="S397" s="13">
        <v>0.0763888888888889</v>
      </c>
      <c r="T397" s="11">
        <v>6.0</v>
      </c>
      <c r="U397" s="11">
        <v>5.0</v>
      </c>
      <c r="V397" s="14">
        <f t="shared" ref="V397:V398" si="4">+1</f>
        <v>1</v>
      </c>
      <c r="W397" s="14" t="str">
        <f>+0.20</f>
        <v>#ERROR!</v>
      </c>
      <c r="X397" s="15">
        <v>-0.011805555555555555</v>
      </c>
      <c r="Y397" s="16" t="s">
        <v>1926</v>
      </c>
    </row>
    <row r="398">
      <c r="A398" s="6">
        <v>382.0</v>
      </c>
      <c r="B398" s="7" t="s">
        <v>1927</v>
      </c>
      <c r="C398" s="8" t="s">
        <v>1928</v>
      </c>
      <c r="D398" s="9" t="s">
        <v>52</v>
      </c>
      <c r="E398" s="7" t="s">
        <v>1929</v>
      </c>
      <c r="F398" s="9">
        <v>22.0</v>
      </c>
      <c r="G398" s="9">
        <v>2001.0</v>
      </c>
      <c r="H398" s="10">
        <v>10.0</v>
      </c>
      <c r="I398" s="11">
        <v>307.0</v>
      </c>
      <c r="J398" s="11">
        <v>31.0</v>
      </c>
      <c r="K398" s="11" t="s">
        <v>232</v>
      </c>
      <c r="L398" s="11" t="s">
        <v>112</v>
      </c>
      <c r="M398" s="10">
        <v>3.0</v>
      </c>
      <c r="N398" s="11">
        <v>72.0</v>
      </c>
      <c r="O398" s="11">
        <v>1.0</v>
      </c>
      <c r="P398" s="10">
        <v>7.0</v>
      </c>
      <c r="Q398" s="11">
        <v>13.0</v>
      </c>
      <c r="R398" s="11">
        <v>1.0</v>
      </c>
      <c r="S398" s="13">
        <v>0.041666666666666664</v>
      </c>
      <c r="T398" s="11">
        <v>3.0</v>
      </c>
      <c r="U398" s="11">
        <v>2.0</v>
      </c>
      <c r="V398" s="14">
        <f t="shared" si="4"/>
        <v>1</v>
      </c>
      <c r="W398" s="14" t="str">
        <f>+0.29</f>
        <v>#ERROR!</v>
      </c>
      <c r="X398" s="14" t="str">
        <f>+0.29</f>
        <v>#ERROR!</v>
      </c>
      <c r="Y398" s="16" t="s">
        <v>1930</v>
      </c>
    </row>
    <row r="399">
      <c r="A399" s="6">
        <v>383.0</v>
      </c>
      <c r="B399" s="7" t="s">
        <v>1931</v>
      </c>
      <c r="C399" s="8" t="s">
        <v>1932</v>
      </c>
      <c r="D399" s="9" t="s">
        <v>52</v>
      </c>
      <c r="E399" s="7" t="s">
        <v>1933</v>
      </c>
      <c r="F399" s="9">
        <v>22.0</v>
      </c>
      <c r="G399" s="9">
        <v>2001.0</v>
      </c>
      <c r="H399" s="10">
        <v>10.0</v>
      </c>
      <c r="I399" s="11">
        <v>794.0</v>
      </c>
      <c r="J399" s="11">
        <v>79.0</v>
      </c>
      <c r="K399" s="11" t="s">
        <v>1934</v>
      </c>
      <c r="L399" s="11" t="s">
        <v>1935</v>
      </c>
      <c r="M399" s="10">
        <v>9.0</v>
      </c>
      <c r="N399" s="11">
        <v>84.0</v>
      </c>
      <c r="O399" s="11">
        <v>6.0</v>
      </c>
      <c r="P399" s="10">
        <v>1.0</v>
      </c>
      <c r="Q399" s="11">
        <v>36.0</v>
      </c>
      <c r="R399" s="12">
        <v>0.0</v>
      </c>
      <c r="S399" s="13">
        <v>0.04861111111111111</v>
      </c>
      <c r="T399" s="11">
        <v>7.0</v>
      </c>
      <c r="U399" s="11">
        <v>13.0</v>
      </c>
      <c r="V399" s="17">
        <v>-6.0</v>
      </c>
      <c r="W399" s="15">
        <v>-0.04722222222222222</v>
      </c>
      <c r="X399" s="15">
        <v>-0.034027777777777775</v>
      </c>
      <c r="Y399" s="16" t="s">
        <v>1936</v>
      </c>
    </row>
    <row r="400">
      <c r="A400" s="6">
        <v>384.0</v>
      </c>
      <c r="B400" s="7" t="s">
        <v>1937</v>
      </c>
      <c r="C400" s="8" t="s">
        <v>1938</v>
      </c>
      <c r="D400" s="9" t="s">
        <v>45</v>
      </c>
      <c r="E400" s="7" t="s">
        <v>1939</v>
      </c>
      <c r="F400" s="9">
        <v>20.0</v>
      </c>
      <c r="G400" s="9">
        <v>2003.0</v>
      </c>
      <c r="H400" s="10">
        <v>27.0</v>
      </c>
      <c r="I400" s="11">
        <v>1.743</v>
      </c>
      <c r="J400" s="11">
        <v>65.0</v>
      </c>
      <c r="K400" s="11" t="s">
        <v>1940</v>
      </c>
      <c r="L400" s="11" t="s">
        <v>1799</v>
      </c>
      <c r="M400" s="10">
        <v>18.0</v>
      </c>
      <c r="N400" s="11">
        <v>80.0</v>
      </c>
      <c r="O400" s="11">
        <v>7.0</v>
      </c>
      <c r="P400" s="10">
        <v>9.0</v>
      </c>
      <c r="Q400" s="11">
        <v>33.0</v>
      </c>
      <c r="R400" s="11">
        <v>1.0</v>
      </c>
      <c r="S400" s="13">
        <v>0.075</v>
      </c>
      <c r="T400" s="11">
        <v>33.0</v>
      </c>
      <c r="U400" s="11">
        <v>29.0</v>
      </c>
      <c r="V400" s="14">
        <f>+4</f>
        <v>4</v>
      </c>
      <c r="W400" s="14" t="str">
        <f>+0.21</f>
        <v>#ERROR!</v>
      </c>
      <c r="X400" s="15">
        <v>-0.011805555555555555</v>
      </c>
      <c r="Y400" s="16" t="s">
        <v>1941</v>
      </c>
    </row>
    <row r="401">
      <c r="A401" s="6">
        <v>385.0</v>
      </c>
      <c r="B401" s="7" t="s">
        <v>1942</v>
      </c>
      <c r="C401" s="8" t="s">
        <v>1943</v>
      </c>
      <c r="D401" s="9" t="s">
        <v>32</v>
      </c>
      <c r="E401" s="7" t="s">
        <v>1944</v>
      </c>
      <c r="F401" s="9">
        <v>21.0</v>
      </c>
      <c r="G401" s="9">
        <v>2002.0</v>
      </c>
      <c r="H401" s="10">
        <v>2.0</v>
      </c>
      <c r="I401" s="11">
        <v>32.0</v>
      </c>
      <c r="J401" s="11">
        <v>16.0</v>
      </c>
      <c r="K401" s="11" t="s">
        <v>118</v>
      </c>
      <c r="L401" s="11" t="s">
        <v>318</v>
      </c>
      <c r="M401" s="18">
        <v>0.0</v>
      </c>
      <c r="N401" s="19"/>
      <c r="O401" s="12">
        <v>0.0</v>
      </c>
      <c r="P401" s="10">
        <v>2.0</v>
      </c>
      <c r="Q401" s="11">
        <v>16.0</v>
      </c>
      <c r="R401" s="11">
        <v>3.0</v>
      </c>
      <c r="S401" s="13">
        <v>0.125</v>
      </c>
      <c r="T401" s="11">
        <v>2.0</v>
      </c>
      <c r="U401" s="11">
        <v>1.0</v>
      </c>
      <c r="V401" s="14">
        <f>+1</f>
        <v>1</v>
      </c>
      <c r="W401" s="14" t="str">
        <f>+2.81</f>
        <v>#ERROR!</v>
      </c>
      <c r="X401" s="14" t="str">
        <f>+2.51</f>
        <v>#ERROR!</v>
      </c>
      <c r="Y401" s="16" t="s">
        <v>1945</v>
      </c>
    </row>
    <row r="402">
      <c r="A402" s="6">
        <v>386.0</v>
      </c>
      <c r="B402" s="7" t="s">
        <v>1946</v>
      </c>
      <c r="C402" s="8" t="s">
        <v>1947</v>
      </c>
      <c r="D402" s="9" t="s">
        <v>25</v>
      </c>
      <c r="E402" s="7" t="s">
        <v>1948</v>
      </c>
      <c r="F402" s="9">
        <v>38.0</v>
      </c>
      <c r="G402" s="9">
        <v>1985.0</v>
      </c>
      <c r="H402" s="10">
        <v>17.0</v>
      </c>
      <c r="I402" s="11">
        <v>536.0</v>
      </c>
      <c r="J402" s="11">
        <v>32.0</v>
      </c>
      <c r="K402" s="11" t="s">
        <v>1949</v>
      </c>
      <c r="L402" s="11" t="s">
        <v>1485</v>
      </c>
      <c r="M402" s="10">
        <v>4.0</v>
      </c>
      <c r="N402" s="11">
        <v>65.0</v>
      </c>
      <c r="O402" s="11">
        <v>1.0</v>
      </c>
      <c r="P402" s="10">
        <v>13.0</v>
      </c>
      <c r="Q402" s="11">
        <v>21.0</v>
      </c>
      <c r="R402" s="11">
        <v>10.0</v>
      </c>
      <c r="S402" s="13">
        <v>0.07430555555555556</v>
      </c>
      <c r="T402" s="11">
        <v>8.0</v>
      </c>
      <c r="U402" s="11">
        <v>8.0</v>
      </c>
      <c r="V402" s="12">
        <v>0.0</v>
      </c>
      <c r="W402" s="21">
        <v>0.0</v>
      </c>
      <c r="X402" s="15">
        <v>-0.029166666666666667</v>
      </c>
      <c r="Y402" s="16" t="s">
        <v>1950</v>
      </c>
    </row>
    <row r="403">
      <c r="A403" s="6">
        <v>387.0</v>
      </c>
      <c r="B403" s="7" t="s">
        <v>1951</v>
      </c>
      <c r="C403" s="8" t="s">
        <v>1952</v>
      </c>
      <c r="D403" s="9" t="s">
        <v>52</v>
      </c>
      <c r="E403" s="7" t="s">
        <v>1953</v>
      </c>
      <c r="F403" s="9">
        <v>19.0</v>
      </c>
      <c r="G403" s="9">
        <v>2004.0</v>
      </c>
      <c r="H403" s="10">
        <v>1.0</v>
      </c>
      <c r="I403" s="11">
        <v>15.0</v>
      </c>
      <c r="J403" s="11">
        <v>15.0</v>
      </c>
      <c r="K403" s="11" t="s">
        <v>47</v>
      </c>
      <c r="L403" s="11" t="s">
        <v>48</v>
      </c>
      <c r="M403" s="18">
        <v>0.0</v>
      </c>
      <c r="N403" s="19"/>
      <c r="O403" s="12">
        <v>0.0</v>
      </c>
      <c r="P403" s="10">
        <v>1.0</v>
      </c>
      <c r="Q403" s="11">
        <v>15.0</v>
      </c>
      <c r="R403" s="11">
        <v>4.0</v>
      </c>
      <c r="S403" s="13">
        <v>0.125</v>
      </c>
      <c r="T403" s="12">
        <v>0.0</v>
      </c>
      <c r="U403" s="12">
        <v>0.0</v>
      </c>
      <c r="V403" s="12">
        <v>0.0</v>
      </c>
      <c r="W403" s="21">
        <v>0.0</v>
      </c>
      <c r="X403" s="15">
        <v>-0.05347222222222222</v>
      </c>
      <c r="Y403" s="16" t="s">
        <v>1954</v>
      </c>
    </row>
    <row r="404">
      <c r="A404" s="6">
        <v>388.0</v>
      </c>
      <c r="B404" s="7" t="s">
        <v>1955</v>
      </c>
      <c r="C404" s="8" t="s">
        <v>1956</v>
      </c>
      <c r="D404" s="9" t="s">
        <v>32</v>
      </c>
      <c r="E404" s="7" t="s">
        <v>1957</v>
      </c>
      <c r="F404" s="9">
        <v>18.0</v>
      </c>
      <c r="G404" s="9">
        <v>2005.0</v>
      </c>
      <c r="H404" s="10">
        <v>6.0</v>
      </c>
      <c r="I404" s="11">
        <v>213.0</v>
      </c>
      <c r="J404" s="11">
        <v>36.0</v>
      </c>
      <c r="K404" s="11" t="s">
        <v>1822</v>
      </c>
      <c r="L404" s="11" t="s">
        <v>129</v>
      </c>
      <c r="M404" s="10">
        <v>2.0</v>
      </c>
      <c r="N404" s="11">
        <v>56.0</v>
      </c>
      <c r="O404" s="12">
        <v>0.0</v>
      </c>
      <c r="P404" s="10">
        <v>4.0</v>
      </c>
      <c r="Q404" s="11">
        <v>26.0</v>
      </c>
      <c r="R404" s="11">
        <v>4.0</v>
      </c>
      <c r="S404" s="13">
        <v>0.06458333333333334</v>
      </c>
      <c r="T404" s="11">
        <v>2.0</v>
      </c>
      <c r="U404" s="11">
        <v>2.0</v>
      </c>
      <c r="V404" s="12">
        <v>0.0</v>
      </c>
      <c r="W404" s="21">
        <v>0.0</v>
      </c>
      <c r="X404" s="15">
        <v>-0.02013888888888889</v>
      </c>
      <c r="Y404" s="16" t="s">
        <v>1958</v>
      </c>
    </row>
    <row r="405">
      <c r="A405" s="6">
        <v>389.0</v>
      </c>
      <c r="B405" s="7" t="s">
        <v>1959</v>
      </c>
      <c r="C405" s="8" t="s">
        <v>1960</v>
      </c>
      <c r="D405" s="9" t="s">
        <v>66</v>
      </c>
      <c r="E405" s="7" t="s">
        <v>1961</v>
      </c>
      <c r="F405" s="9">
        <v>22.0</v>
      </c>
      <c r="G405" s="9">
        <v>2001.0</v>
      </c>
      <c r="H405" s="10">
        <v>7.0</v>
      </c>
      <c r="I405" s="11">
        <v>263.0</v>
      </c>
      <c r="J405" s="11">
        <v>38.0</v>
      </c>
      <c r="K405" s="11" t="s">
        <v>455</v>
      </c>
      <c r="L405" s="11" t="s">
        <v>362</v>
      </c>
      <c r="M405" s="10">
        <v>3.0</v>
      </c>
      <c r="N405" s="11">
        <v>79.0</v>
      </c>
      <c r="O405" s="11">
        <v>1.0</v>
      </c>
      <c r="P405" s="10">
        <v>4.0</v>
      </c>
      <c r="Q405" s="11">
        <v>7.0</v>
      </c>
      <c r="R405" s="11">
        <v>23.0</v>
      </c>
      <c r="S405" s="13">
        <v>0.05138888888888889</v>
      </c>
      <c r="T405" s="11">
        <v>3.0</v>
      </c>
      <c r="U405" s="11">
        <v>7.0</v>
      </c>
      <c r="V405" s="17">
        <v>-4.0</v>
      </c>
      <c r="W405" s="15">
        <v>-0.06736111111111111</v>
      </c>
      <c r="X405" s="15">
        <v>-0.052083333333333336</v>
      </c>
      <c r="Y405" s="16" t="s">
        <v>1962</v>
      </c>
    </row>
    <row r="406">
      <c r="A406" s="6">
        <v>390.0</v>
      </c>
      <c r="B406" s="7" t="s">
        <v>1963</v>
      </c>
      <c r="C406" s="8" t="s">
        <v>1964</v>
      </c>
      <c r="D406" s="9" t="s">
        <v>73</v>
      </c>
      <c r="E406" s="7" t="s">
        <v>1965</v>
      </c>
      <c r="F406" s="9">
        <v>32.0</v>
      </c>
      <c r="G406" s="9">
        <v>1991.0</v>
      </c>
      <c r="H406" s="10">
        <v>15.0</v>
      </c>
      <c r="I406" s="11">
        <v>1.35</v>
      </c>
      <c r="J406" s="11">
        <v>90.0</v>
      </c>
      <c r="K406" s="11" t="s">
        <v>174</v>
      </c>
      <c r="L406" s="11" t="s">
        <v>175</v>
      </c>
      <c r="M406" s="10">
        <v>15.0</v>
      </c>
      <c r="N406" s="11">
        <v>90.0</v>
      </c>
      <c r="O406" s="11">
        <v>15.0</v>
      </c>
      <c r="P406" s="18">
        <v>0.0</v>
      </c>
      <c r="Q406" s="19"/>
      <c r="R406" s="11">
        <v>8.0</v>
      </c>
      <c r="S406" s="13">
        <v>0.041666666666666664</v>
      </c>
      <c r="T406" s="11">
        <v>17.0</v>
      </c>
      <c r="U406" s="11">
        <v>21.0</v>
      </c>
      <c r="V406" s="17">
        <v>-4.0</v>
      </c>
      <c r="W406" s="15">
        <v>-0.01875</v>
      </c>
      <c r="X406" s="14" t="str">
        <f>+0.13</f>
        <v>#ERROR!</v>
      </c>
      <c r="Y406" s="16" t="s">
        <v>1966</v>
      </c>
    </row>
    <row r="407">
      <c r="A407" s="6">
        <v>391.0</v>
      </c>
      <c r="B407" s="7" t="s">
        <v>1967</v>
      </c>
      <c r="C407" s="8" t="s">
        <v>1968</v>
      </c>
      <c r="D407" s="9" t="s">
        <v>52</v>
      </c>
      <c r="E407" s="7" t="s">
        <v>1969</v>
      </c>
      <c r="F407" s="9">
        <v>17.0</v>
      </c>
      <c r="G407" s="9">
        <v>2006.0</v>
      </c>
      <c r="H407" s="18">
        <v>0.0</v>
      </c>
      <c r="I407" s="19"/>
      <c r="J407" s="19"/>
      <c r="K407" s="19"/>
      <c r="L407" s="19"/>
      <c r="M407" s="18">
        <v>0.0</v>
      </c>
      <c r="N407" s="19"/>
      <c r="O407" s="12">
        <v>0.0</v>
      </c>
      <c r="P407" s="18">
        <v>0.0</v>
      </c>
      <c r="Q407" s="19"/>
      <c r="R407" s="11">
        <v>6.0</v>
      </c>
      <c r="S407" s="24"/>
      <c r="T407" s="19"/>
      <c r="U407" s="19"/>
      <c r="V407" s="19"/>
      <c r="W407" s="19"/>
      <c r="X407" s="19"/>
      <c r="Y407" s="16" t="s">
        <v>1970</v>
      </c>
    </row>
    <row r="408">
      <c r="A408" s="6">
        <v>392.0</v>
      </c>
      <c r="B408" s="7" t="s">
        <v>1971</v>
      </c>
      <c r="C408" s="8" t="s">
        <v>1972</v>
      </c>
      <c r="D408" s="9" t="s">
        <v>66</v>
      </c>
      <c r="E408" s="7" t="s">
        <v>1973</v>
      </c>
      <c r="F408" s="9">
        <v>15.0</v>
      </c>
      <c r="G408" s="9">
        <v>2008.0</v>
      </c>
      <c r="H408" s="18">
        <v>0.0</v>
      </c>
      <c r="I408" s="19"/>
      <c r="J408" s="19"/>
      <c r="K408" s="19"/>
      <c r="L408" s="19"/>
      <c r="M408" s="18">
        <v>0.0</v>
      </c>
      <c r="N408" s="19"/>
      <c r="O408" s="12">
        <v>0.0</v>
      </c>
      <c r="P408" s="18">
        <v>0.0</v>
      </c>
      <c r="Q408" s="19"/>
      <c r="R408" s="11">
        <v>1.0</v>
      </c>
      <c r="S408" s="24"/>
      <c r="T408" s="19"/>
      <c r="U408" s="19"/>
      <c r="V408" s="19"/>
      <c r="W408" s="19"/>
      <c r="X408" s="19"/>
      <c r="Y408" s="16" t="s">
        <v>1974</v>
      </c>
    </row>
    <row r="409">
      <c r="A409" s="6">
        <v>393.0</v>
      </c>
      <c r="B409" s="7" t="s">
        <v>1975</v>
      </c>
      <c r="C409" s="8" t="s">
        <v>1976</v>
      </c>
      <c r="D409" s="9" t="s">
        <v>52</v>
      </c>
      <c r="E409" s="7" t="s">
        <v>1977</v>
      </c>
      <c r="F409" s="9">
        <v>33.0</v>
      </c>
      <c r="G409" s="9">
        <v>1990.0</v>
      </c>
      <c r="H409" s="10">
        <v>25.0</v>
      </c>
      <c r="I409" s="11">
        <v>402.0</v>
      </c>
      <c r="J409" s="11">
        <v>16.0</v>
      </c>
      <c r="K409" s="11" t="s">
        <v>1715</v>
      </c>
      <c r="L409" s="11" t="s">
        <v>623</v>
      </c>
      <c r="M409" s="10">
        <v>2.0</v>
      </c>
      <c r="N409" s="11">
        <v>60.0</v>
      </c>
      <c r="O409" s="12">
        <v>0.0</v>
      </c>
      <c r="P409" s="10">
        <v>23.0</v>
      </c>
      <c r="Q409" s="11">
        <v>12.0</v>
      </c>
      <c r="R409" s="11">
        <v>2.0</v>
      </c>
      <c r="S409" s="13">
        <v>0.04722222222222222</v>
      </c>
      <c r="T409" s="11">
        <v>6.0</v>
      </c>
      <c r="U409" s="11">
        <v>5.0</v>
      </c>
      <c r="V409" s="14">
        <f>+1</f>
        <v>1</v>
      </c>
      <c r="W409" s="14" t="str">
        <f>+0.22</f>
        <v>#ERROR!</v>
      </c>
      <c r="X409" s="14" t="str">
        <f>+0.93</f>
        <v>#ERROR!</v>
      </c>
      <c r="Y409" s="16" t="s">
        <v>1978</v>
      </c>
    </row>
    <row r="410">
      <c r="A410" s="6">
        <v>394.0</v>
      </c>
      <c r="B410" s="7" t="s">
        <v>1979</v>
      </c>
      <c r="C410" s="8" t="s">
        <v>1980</v>
      </c>
      <c r="D410" s="9" t="s">
        <v>73</v>
      </c>
      <c r="E410" s="7" t="s">
        <v>1981</v>
      </c>
      <c r="F410" s="9">
        <v>30.0</v>
      </c>
      <c r="G410" s="9">
        <v>1993.0</v>
      </c>
      <c r="H410" s="10">
        <v>10.0</v>
      </c>
      <c r="I410" s="11">
        <v>900.0</v>
      </c>
      <c r="J410" s="11">
        <v>90.0</v>
      </c>
      <c r="K410" s="11" t="s">
        <v>1982</v>
      </c>
      <c r="L410" s="11" t="s">
        <v>268</v>
      </c>
      <c r="M410" s="10">
        <v>10.0</v>
      </c>
      <c r="N410" s="11">
        <v>90.0</v>
      </c>
      <c r="O410" s="11">
        <v>10.0</v>
      </c>
      <c r="P410" s="18">
        <v>0.0</v>
      </c>
      <c r="Q410" s="19"/>
      <c r="R410" s="11">
        <v>20.0</v>
      </c>
      <c r="S410" s="13">
        <v>0.10416666666666667</v>
      </c>
      <c r="T410" s="11">
        <v>17.0</v>
      </c>
      <c r="U410" s="11">
        <v>11.0</v>
      </c>
      <c r="V410" s="14">
        <f>+6</f>
        <v>6</v>
      </c>
      <c r="W410" s="14" t="str">
        <f>+0.60</f>
        <v>#ERROR!</v>
      </c>
      <c r="X410" s="15">
        <v>-0.05555555555555555</v>
      </c>
      <c r="Y410" s="16" t="s">
        <v>1983</v>
      </c>
    </row>
    <row r="411">
      <c r="A411" s="6">
        <v>395.0</v>
      </c>
      <c r="B411" s="7" t="s">
        <v>1984</v>
      </c>
      <c r="C411" s="8" t="s">
        <v>1985</v>
      </c>
      <c r="D411" s="9" t="s">
        <v>66</v>
      </c>
      <c r="E411" s="7" t="s">
        <v>1986</v>
      </c>
      <c r="F411" s="9">
        <v>18.0</v>
      </c>
      <c r="G411" s="9">
        <v>2005.0</v>
      </c>
      <c r="H411" s="10">
        <v>2.0</v>
      </c>
      <c r="I411" s="11">
        <v>43.0</v>
      </c>
      <c r="J411" s="11">
        <v>22.0</v>
      </c>
      <c r="K411" s="11" t="s">
        <v>1415</v>
      </c>
      <c r="L411" s="11" t="s">
        <v>201</v>
      </c>
      <c r="M411" s="18">
        <v>0.0</v>
      </c>
      <c r="N411" s="19"/>
      <c r="O411" s="12">
        <v>0.0</v>
      </c>
      <c r="P411" s="10">
        <v>2.0</v>
      </c>
      <c r="Q411" s="11">
        <v>22.0</v>
      </c>
      <c r="R411" s="11">
        <v>2.0</v>
      </c>
      <c r="S411" s="13">
        <v>0.08333333333333333</v>
      </c>
      <c r="T411" s="12">
        <v>0.0</v>
      </c>
      <c r="U411" s="12">
        <v>0.0</v>
      </c>
      <c r="V411" s="12">
        <v>0.0</v>
      </c>
      <c r="W411" s="21">
        <v>0.0</v>
      </c>
      <c r="X411" s="15">
        <v>-0.01875</v>
      </c>
      <c r="Y411" s="16" t="s">
        <v>1987</v>
      </c>
    </row>
    <row r="412">
      <c r="A412" s="6">
        <v>396.0</v>
      </c>
      <c r="B412" s="7" t="s">
        <v>1988</v>
      </c>
      <c r="C412" s="8" t="s">
        <v>1989</v>
      </c>
      <c r="D412" s="9" t="s">
        <v>59</v>
      </c>
      <c r="E412" s="7" t="s">
        <v>1990</v>
      </c>
      <c r="F412" s="9">
        <v>36.0</v>
      </c>
      <c r="G412" s="9">
        <v>1987.0</v>
      </c>
      <c r="H412" s="10">
        <v>20.0</v>
      </c>
      <c r="I412" s="11">
        <v>733.0</v>
      </c>
      <c r="J412" s="11">
        <v>37.0</v>
      </c>
      <c r="K412" s="11" t="s">
        <v>373</v>
      </c>
      <c r="L412" s="11" t="s">
        <v>94</v>
      </c>
      <c r="M412" s="10">
        <v>6.0</v>
      </c>
      <c r="N412" s="11">
        <v>69.0</v>
      </c>
      <c r="O412" s="12">
        <v>0.0</v>
      </c>
      <c r="P412" s="10">
        <v>14.0</v>
      </c>
      <c r="Q412" s="11">
        <v>23.0</v>
      </c>
      <c r="R412" s="11">
        <v>1.0</v>
      </c>
      <c r="S412" s="13">
        <v>0.1076388888888889</v>
      </c>
      <c r="T412" s="11">
        <v>20.0</v>
      </c>
      <c r="U412" s="11">
        <v>6.0</v>
      </c>
      <c r="V412" s="14">
        <f>+14</f>
        <v>14</v>
      </c>
      <c r="W412" s="14" t="str">
        <f>+1.72</f>
        <v>#ERROR!</v>
      </c>
      <c r="X412" s="14" t="str">
        <f>+0.44</f>
        <v>#ERROR!</v>
      </c>
      <c r="Y412" s="16" t="s">
        <v>1991</v>
      </c>
    </row>
    <row r="413">
      <c r="A413" s="6">
        <v>397.0</v>
      </c>
      <c r="B413" s="7" t="s">
        <v>1992</v>
      </c>
      <c r="C413" s="8" t="s">
        <v>1993</v>
      </c>
      <c r="D413" s="9" t="s">
        <v>52</v>
      </c>
      <c r="E413" s="7" t="s">
        <v>1994</v>
      </c>
      <c r="F413" s="9">
        <v>21.0</v>
      </c>
      <c r="G413" s="9">
        <v>2002.0</v>
      </c>
      <c r="H413" s="10">
        <v>6.0</v>
      </c>
      <c r="I413" s="11">
        <v>133.0</v>
      </c>
      <c r="J413" s="11">
        <v>22.0</v>
      </c>
      <c r="K413" s="11" t="s">
        <v>1697</v>
      </c>
      <c r="L413" s="11" t="s">
        <v>256</v>
      </c>
      <c r="M413" s="10">
        <v>1.0</v>
      </c>
      <c r="N413" s="11">
        <v>45.0</v>
      </c>
      <c r="O413" s="12">
        <v>0.0</v>
      </c>
      <c r="P413" s="10">
        <v>5.0</v>
      </c>
      <c r="Q413" s="11">
        <v>18.0</v>
      </c>
      <c r="R413" s="11">
        <v>13.0</v>
      </c>
      <c r="S413" s="13">
        <v>0.041666666666666664</v>
      </c>
      <c r="T413" s="11">
        <v>2.0</v>
      </c>
      <c r="U413" s="11">
        <v>3.0</v>
      </c>
      <c r="V413" s="17">
        <v>-1.0</v>
      </c>
      <c r="W413" s="15">
        <v>-0.04722222222222222</v>
      </c>
      <c r="X413" s="15">
        <v>-0.06180555555555556</v>
      </c>
      <c r="Y413" s="16" t="s">
        <v>1995</v>
      </c>
    </row>
    <row r="414">
      <c r="A414" s="6">
        <v>398.0</v>
      </c>
      <c r="B414" s="7" t="s">
        <v>1996</v>
      </c>
      <c r="C414" s="8" t="s">
        <v>1997</v>
      </c>
      <c r="D414" s="9" t="s">
        <v>45</v>
      </c>
      <c r="E414" s="7" t="s">
        <v>1998</v>
      </c>
      <c r="F414" s="9">
        <v>32.0</v>
      </c>
      <c r="G414" s="9">
        <v>1991.0</v>
      </c>
      <c r="H414" s="10">
        <v>29.0</v>
      </c>
      <c r="I414" s="11">
        <v>1.929</v>
      </c>
      <c r="J414" s="11">
        <v>67.0</v>
      </c>
      <c r="K414" s="11" t="s">
        <v>1999</v>
      </c>
      <c r="L414" s="11" t="s">
        <v>930</v>
      </c>
      <c r="M414" s="10">
        <v>23.0</v>
      </c>
      <c r="N414" s="11">
        <v>76.0</v>
      </c>
      <c r="O414" s="11">
        <v>6.0</v>
      </c>
      <c r="P414" s="10">
        <v>6.0</v>
      </c>
      <c r="Q414" s="11">
        <v>29.0</v>
      </c>
      <c r="R414" s="12">
        <v>0.0</v>
      </c>
      <c r="S414" s="13">
        <v>0.06458333333333334</v>
      </c>
      <c r="T414" s="11">
        <v>25.0</v>
      </c>
      <c r="U414" s="11">
        <v>41.0</v>
      </c>
      <c r="V414" s="17">
        <v>-16.0</v>
      </c>
      <c r="W414" s="15">
        <v>-0.052083333333333336</v>
      </c>
      <c r="X414" s="15">
        <v>-0.019444444444444445</v>
      </c>
      <c r="Y414" s="16" t="s">
        <v>2000</v>
      </c>
    </row>
    <row r="415">
      <c r="A415" s="6">
        <v>399.0</v>
      </c>
      <c r="B415" s="7" t="s">
        <v>2001</v>
      </c>
      <c r="C415" s="8" t="s">
        <v>2002</v>
      </c>
      <c r="D415" s="9" t="s">
        <v>73</v>
      </c>
      <c r="E415" s="7" t="s">
        <v>2003</v>
      </c>
      <c r="F415" s="9">
        <v>30.0</v>
      </c>
      <c r="G415" s="9">
        <v>1993.0</v>
      </c>
      <c r="H415" s="10">
        <v>9.0</v>
      </c>
      <c r="I415" s="11">
        <v>664.0</v>
      </c>
      <c r="J415" s="11">
        <v>74.0</v>
      </c>
      <c r="K415" s="11" t="s">
        <v>1106</v>
      </c>
      <c r="L415" s="11" t="s">
        <v>251</v>
      </c>
      <c r="M415" s="10">
        <v>8.0</v>
      </c>
      <c r="N415" s="11">
        <v>79.0</v>
      </c>
      <c r="O415" s="11">
        <v>6.0</v>
      </c>
      <c r="P415" s="10">
        <v>1.0</v>
      </c>
      <c r="Q415" s="11">
        <v>34.0</v>
      </c>
      <c r="R415" s="11">
        <v>2.0</v>
      </c>
      <c r="S415" s="13">
        <v>0.05694444444444444</v>
      </c>
      <c r="T415" s="11">
        <v>5.0</v>
      </c>
      <c r="U415" s="11">
        <v>13.0</v>
      </c>
      <c r="V415" s="17">
        <v>-8.0</v>
      </c>
      <c r="W415" s="15">
        <v>-0.04722222222222222</v>
      </c>
      <c r="X415" s="15">
        <v>-0.10277777777777777</v>
      </c>
      <c r="Y415" s="16" t="s">
        <v>2004</v>
      </c>
    </row>
    <row r="416">
      <c r="A416" s="6">
        <v>400.0</v>
      </c>
      <c r="B416" s="7" t="s">
        <v>2005</v>
      </c>
      <c r="C416" s="8" t="s">
        <v>2006</v>
      </c>
      <c r="D416" s="9" t="s">
        <v>52</v>
      </c>
      <c r="E416" s="7" t="s">
        <v>2007</v>
      </c>
      <c r="F416" s="9">
        <v>38.0</v>
      </c>
      <c r="G416" s="9">
        <v>1985.0</v>
      </c>
      <c r="H416" s="10">
        <v>29.0</v>
      </c>
      <c r="I416" s="11">
        <v>1.864</v>
      </c>
      <c r="J416" s="11">
        <v>64.0</v>
      </c>
      <c r="K416" s="11" t="s">
        <v>2008</v>
      </c>
      <c r="L416" s="11" t="s">
        <v>2009</v>
      </c>
      <c r="M416" s="10">
        <v>20.0</v>
      </c>
      <c r="N416" s="11">
        <v>81.0</v>
      </c>
      <c r="O416" s="11">
        <v>11.0</v>
      </c>
      <c r="P416" s="10">
        <v>9.0</v>
      </c>
      <c r="Q416" s="11">
        <v>27.0</v>
      </c>
      <c r="R416" s="12">
        <v>0.0</v>
      </c>
      <c r="S416" s="13">
        <v>0.06458333333333334</v>
      </c>
      <c r="T416" s="11">
        <v>27.0</v>
      </c>
      <c r="U416" s="11">
        <v>43.0</v>
      </c>
      <c r="V416" s="17">
        <v>-16.0</v>
      </c>
      <c r="W416" s="15">
        <v>-0.05347222222222222</v>
      </c>
      <c r="X416" s="15">
        <v>-0.02361111111111111</v>
      </c>
      <c r="Y416" s="16" t="s">
        <v>2010</v>
      </c>
    </row>
    <row r="417">
      <c r="A417" s="25" t="s">
        <v>0</v>
      </c>
      <c r="B417" s="26" t="s">
        <v>1</v>
      </c>
      <c r="C417" s="27" t="s">
        <v>2</v>
      </c>
      <c r="D417" s="27" t="s">
        <v>3</v>
      </c>
      <c r="E417" s="27" t="s">
        <v>4</v>
      </c>
      <c r="F417" s="27" t="s">
        <v>5</v>
      </c>
      <c r="G417" s="27" t="s">
        <v>6</v>
      </c>
      <c r="H417" s="28" t="s">
        <v>7</v>
      </c>
      <c r="I417" s="27" t="s">
        <v>8</v>
      </c>
      <c r="J417" s="27" t="s">
        <v>9</v>
      </c>
      <c r="K417" s="27" t="s">
        <v>10</v>
      </c>
      <c r="L417" s="27" t="s">
        <v>11</v>
      </c>
      <c r="M417" s="28" t="s">
        <v>12</v>
      </c>
      <c r="N417" s="27" t="s">
        <v>13</v>
      </c>
      <c r="O417" s="27" t="s">
        <v>14</v>
      </c>
      <c r="P417" s="28" t="s">
        <v>15</v>
      </c>
      <c r="Q417" s="27" t="s">
        <v>16</v>
      </c>
      <c r="R417" s="27" t="s">
        <v>17</v>
      </c>
      <c r="S417" s="28" t="s">
        <v>18</v>
      </c>
      <c r="T417" s="27" t="s">
        <v>19</v>
      </c>
      <c r="U417" s="27" t="s">
        <v>20</v>
      </c>
      <c r="V417" s="29" t="str">
        <f>+/-</f>
        <v>#ERROR!</v>
      </c>
      <c r="W417" s="29" t="str">
        <f>+/-90</f>
        <v>#ERROR!</v>
      </c>
      <c r="X417" s="27" t="s">
        <v>21</v>
      </c>
      <c r="Y417" s="28" t="s">
        <v>22</v>
      </c>
    </row>
    <row r="418">
      <c r="A418" s="6">
        <v>401.0</v>
      </c>
      <c r="B418" s="7" t="s">
        <v>2011</v>
      </c>
      <c r="C418" s="8" t="s">
        <v>2012</v>
      </c>
      <c r="D418" s="9" t="s">
        <v>73</v>
      </c>
      <c r="E418" s="7" t="s">
        <v>2013</v>
      </c>
      <c r="F418" s="9">
        <v>24.0</v>
      </c>
      <c r="G418" s="9">
        <v>1999.0</v>
      </c>
      <c r="H418" s="10">
        <v>15.0</v>
      </c>
      <c r="I418" s="11">
        <v>1.35</v>
      </c>
      <c r="J418" s="11">
        <v>90.0</v>
      </c>
      <c r="K418" s="11" t="s">
        <v>174</v>
      </c>
      <c r="L418" s="11" t="s">
        <v>175</v>
      </c>
      <c r="M418" s="10">
        <v>15.0</v>
      </c>
      <c r="N418" s="11">
        <v>90.0</v>
      </c>
      <c r="O418" s="11">
        <v>15.0</v>
      </c>
      <c r="P418" s="18">
        <v>0.0</v>
      </c>
      <c r="Q418" s="19"/>
      <c r="R418" s="11">
        <v>13.0</v>
      </c>
      <c r="S418" s="13">
        <v>0.06944444444444445</v>
      </c>
      <c r="T418" s="11">
        <v>18.0</v>
      </c>
      <c r="U418" s="11">
        <v>23.0</v>
      </c>
      <c r="V418" s="17">
        <v>-5.0</v>
      </c>
      <c r="W418" s="15">
        <v>-0.022916666666666665</v>
      </c>
      <c r="X418" s="14" t="str">
        <f>+0.53</f>
        <v>#ERROR!</v>
      </c>
      <c r="Y418" s="16" t="s">
        <v>2014</v>
      </c>
    </row>
    <row r="419">
      <c r="A419" s="6">
        <v>402.0</v>
      </c>
      <c r="B419" s="7" t="s">
        <v>2015</v>
      </c>
      <c r="C419" s="8" t="s">
        <v>2016</v>
      </c>
      <c r="D419" s="9" t="s">
        <v>73</v>
      </c>
      <c r="E419" s="7" t="s">
        <v>2017</v>
      </c>
      <c r="F419" s="9">
        <v>17.0</v>
      </c>
      <c r="G419" s="9">
        <v>2006.0</v>
      </c>
      <c r="H419" s="18">
        <v>0.0</v>
      </c>
      <c r="I419" s="19"/>
      <c r="J419" s="19"/>
      <c r="K419" s="19"/>
      <c r="L419" s="19"/>
      <c r="M419" s="18">
        <v>0.0</v>
      </c>
      <c r="N419" s="19"/>
      <c r="O419" s="12">
        <v>0.0</v>
      </c>
      <c r="P419" s="18">
        <v>0.0</v>
      </c>
      <c r="Q419" s="19"/>
      <c r="R419" s="11">
        <v>4.0</v>
      </c>
      <c r="S419" s="24"/>
      <c r="T419" s="19"/>
      <c r="U419" s="19"/>
      <c r="V419" s="19"/>
      <c r="W419" s="19"/>
      <c r="X419" s="19"/>
      <c r="Y419" s="16" t="s">
        <v>2018</v>
      </c>
    </row>
    <row r="420">
      <c r="A420" s="6">
        <v>403.0</v>
      </c>
      <c r="B420" s="7" t="s">
        <v>2019</v>
      </c>
      <c r="C420" s="8" t="s">
        <v>2020</v>
      </c>
      <c r="D420" s="9" t="s">
        <v>52</v>
      </c>
      <c r="E420" s="7" t="s">
        <v>2021</v>
      </c>
      <c r="F420" s="9">
        <v>20.0</v>
      </c>
      <c r="G420" s="9">
        <v>2003.0</v>
      </c>
      <c r="H420" s="10">
        <v>26.0</v>
      </c>
      <c r="I420" s="11">
        <v>1.109</v>
      </c>
      <c r="J420" s="11">
        <v>43.0</v>
      </c>
      <c r="K420" s="11" t="s">
        <v>2022</v>
      </c>
      <c r="L420" s="11" t="s">
        <v>225</v>
      </c>
      <c r="M420" s="10">
        <v>12.0</v>
      </c>
      <c r="N420" s="11">
        <v>77.0</v>
      </c>
      <c r="O420" s="11">
        <v>3.0</v>
      </c>
      <c r="P420" s="10">
        <v>14.0</v>
      </c>
      <c r="Q420" s="11">
        <v>13.0</v>
      </c>
      <c r="R420" s="11">
        <v>2.0</v>
      </c>
      <c r="S420" s="13">
        <v>0.08611111111111111</v>
      </c>
      <c r="T420" s="11">
        <v>27.0</v>
      </c>
      <c r="U420" s="11">
        <v>9.0</v>
      </c>
      <c r="V420" s="14">
        <f>+18</f>
        <v>18</v>
      </c>
      <c r="W420" s="14" t="str">
        <f>+1.46</f>
        <v>#ERROR!</v>
      </c>
      <c r="X420" s="14" t="str">
        <f>+0.10</f>
        <v>#ERROR!</v>
      </c>
      <c r="Y420" s="16" t="s">
        <v>2023</v>
      </c>
    </row>
    <row r="421">
      <c r="A421" s="6">
        <v>404.0</v>
      </c>
      <c r="B421" s="7" t="s">
        <v>2024</v>
      </c>
      <c r="C421" s="8" t="s">
        <v>2025</v>
      </c>
      <c r="D421" s="9" t="s">
        <v>66</v>
      </c>
      <c r="E421" s="7" t="s">
        <v>2026</v>
      </c>
      <c r="F421" s="9">
        <v>23.0</v>
      </c>
      <c r="G421" s="9">
        <v>2000.0</v>
      </c>
      <c r="H421" s="10">
        <v>14.0</v>
      </c>
      <c r="I421" s="11">
        <v>1.214</v>
      </c>
      <c r="J421" s="11">
        <v>87.0</v>
      </c>
      <c r="K421" s="11" t="s">
        <v>1377</v>
      </c>
      <c r="L421" s="11" t="s">
        <v>549</v>
      </c>
      <c r="M421" s="10">
        <v>14.0</v>
      </c>
      <c r="N421" s="11">
        <v>87.0</v>
      </c>
      <c r="O421" s="11">
        <v>13.0</v>
      </c>
      <c r="P421" s="18">
        <v>0.0</v>
      </c>
      <c r="Q421" s="19"/>
      <c r="R421" s="12">
        <v>0.0</v>
      </c>
      <c r="S421" s="13">
        <v>0.09652777777777778</v>
      </c>
      <c r="T421" s="11">
        <v>22.0</v>
      </c>
      <c r="U421" s="11">
        <v>17.0</v>
      </c>
      <c r="V421" s="14">
        <f>+5</f>
        <v>5</v>
      </c>
      <c r="W421" s="14" t="str">
        <f>+0.37</f>
        <v>#ERROR!</v>
      </c>
      <c r="X421" s="14" t="str">
        <f>+0.13</f>
        <v>#ERROR!</v>
      </c>
      <c r="Y421" s="16" t="s">
        <v>2027</v>
      </c>
    </row>
    <row r="422">
      <c r="A422" s="6">
        <v>405.0</v>
      </c>
      <c r="B422" s="7" t="s">
        <v>2028</v>
      </c>
      <c r="C422" s="8" t="s">
        <v>2029</v>
      </c>
      <c r="D422" s="9" t="s">
        <v>66</v>
      </c>
      <c r="E422" s="7" t="s">
        <v>2030</v>
      </c>
      <c r="F422" s="9">
        <v>23.0</v>
      </c>
      <c r="G422" s="9">
        <v>2000.0</v>
      </c>
      <c r="H422" s="10">
        <v>11.0</v>
      </c>
      <c r="I422" s="11">
        <v>952.0</v>
      </c>
      <c r="J422" s="11">
        <v>87.0</v>
      </c>
      <c r="K422" s="11" t="s">
        <v>2031</v>
      </c>
      <c r="L422" s="11" t="s">
        <v>901</v>
      </c>
      <c r="M422" s="10">
        <v>11.0</v>
      </c>
      <c r="N422" s="11">
        <v>87.0</v>
      </c>
      <c r="O422" s="11">
        <v>9.0</v>
      </c>
      <c r="P422" s="18">
        <v>0.0</v>
      </c>
      <c r="Q422" s="19"/>
      <c r="R422" s="12">
        <v>0.0</v>
      </c>
      <c r="S422" s="13">
        <v>0.10208333333333333</v>
      </c>
      <c r="T422" s="11">
        <v>22.0</v>
      </c>
      <c r="U422" s="11">
        <v>8.0</v>
      </c>
      <c r="V422" s="14">
        <f>+14</f>
        <v>14</v>
      </c>
      <c r="W422" s="14" t="str">
        <f>+1.32</f>
        <v>#ERROR!</v>
      </c>
      <c r="X422" s="15">
        <v>-0.008333333333333333</v>
      </c>
      <c r="Y422" s="16" t="s">
        <v>2032</v>
      </c>
    </row>
    <row r="423">
      <c r="A423" s="6">
        <v>406.0</v>
      </c>
      <c r="B423" s="7" t="s">
        <v>2033</v>
      </c>
      <c r="C423" s="8" t="s">
        <v>2034</v>
      </c>
      <c r="D423" s="9" t="s">
        <v>66</v>
      </c>
      <c r="E423" s="7" t="s">
        <v>2035</v>
      </c>
      <c r="F423" s="9">
        <v>17.0</v>
      </c>
      <c r="G423" s="9">
        <v>2006.0</v>
      </c>
      <c r="H423" s="18">
        <v>0.0</v>
      </c>
      <c r="I423" s="19"/>
      <c r="J423" s="19"/>
      <c r="K423" s="19"/>
      <c r="L423" s="19"/>
      <c r="M423" s="18">
        <v>0.0</v>
      </c>
      <c r="N423" s="19"/>
      <c r="O423" s="12">
        <v>0.0</v>
      </c>
      <c r="P423" s="18">
        <v>0.0</v>
      </c>
      <c r="Q423" s="19"/>
      <c r="R423" s="11">
        <v>1.0</v>
      </c>
      <c r="S423" s="24"/>
      <c r="T423" s="19"/>
      <c r="U423" s="19"/>
      <c r="V423" s="19"/>
      <c r="W423" s="19"/>
      <c r="X423" s="19"/>
      <c r="Y423" s="16" t="s">
        <v>2036</v>
      </c>
    </row>
    <row r="424">
      <c r="A424" s="6">
        <v>407.0</v>
      </c>
      <c r="B424" s="7" t="s">
        <v>2037</v>
      </c>
      <c r="C424" s="8" t="s">
        <v>2038</v>
      </c>
      <c r="D424" s="9" t="s">
        <v>52</v>
      </c>
      <c r="E424" s="7" t="s">
        <v>2039</v>
      </c>
      <c r="F424" s="9">
        <v>33.0</v>
      </c>
      <c r="G424" s="9">
        <v>1990.0</v>
      </c>
      <c r="H424" s="10">
        <v>26.0</v>
      </c>
      <c r="I424" s="11">
        <v>1.801</v>
      </c>
      <c r="J424" s="11">
        <v>69.0</v>
      </c>
      <c r="K424" s="11" t="s">
        <v>653</v>
      </c>
      <c r="L424" s="11" t="s">
        <v>654</v>
      </c>
      <c r="M424" s="10">
        <v>21.0</v>
      </c>
      <c r="N424" s="11">
        <v>79.0</v>
      </c>
      <c r="O424" s="11">
        <v>7.0</v>
      </c>
      <c r="P424" s="10">
        <v>5.0</v>
      </c>
      <c r="Q424" s="11">
        <v>30.0</v>
      </c>
      <c r="R424" s="12">
        <v>0.0</v>
      </c>
      <c r="S424" s="13">
        <v>0.07083333333333333</v>
      </c>
      <c r="T424" s="11">
        <v>43.0</v>
      </c>
      <c r="U424" s="11">
        <v>30.0</v>
      </c>
      <c r="V424" s="14">
        <f>+13</f>
        <v>13</v>
      </c>
      <c r="W424" s="14" t="str">
        <f>+0.65</f>
        <v>#ERROR!</v>
      </c>
      <c r="X424" s="14" t="str">
        <f>+1.65</f>
        <v>#ERROR!</v>
      </c>
      <c r="Y424" s="16" t="s">
        <v>2040</v>
      </c>
    </row>
    <row r="425">
      <c r="A425" s="6">
        <v>408.0</v>
      </c>
      <c r="B425" s="7" t="s">
        <v>2041</v>
      </c>
      <c r="C425" s="8" t="s">
        <v>2042</v>
      </c>
      <c r="D425" s="9" t="s">
        <v>52</v>
      </c>
      <c r="E425" s="7" t="s">
        <v>2043</v>
      </c>
      <c r="F425" s="9">
        <v>25.0</v>
      </c>
      <c r="G425" s="9">
        <v>1998.0</v>
      </c>
      <c r="H425" s="10">
        <v>28.0</v>
      </c>
      <c r="I425" s="11">
        <v>2.406</v>
      </c>
      <c r="J425" s="11">
        <v>86.0</v>
      </c>
      <c r="K425" s="11" t="s">
        <v>2044</v>
      </c>
      <c r="L425" s="11" t="s">
        <v>950</v>
      </c>
      <c r="M425" s="10">
        <v>27.0</v>
      </c>
      <c r="N425" s="11">
        <v>87.0</v>
      </c>
      <c r="O425" s="11">
        <v>23.0</v>
      </c>
      <c r="P425" s="10">
        <v>1.0</v>
      </c>
      <c r="Q425" s="11">
        <v>45.0</v>
      </c>
      <c r="R425" s="12">
        <v>0.0</v>
      </c>
      <c r="S425" s="13">
        <v>0.08125</v>
      </c>
      <c r="T425" s="11">
        <v>39.0</v>
      </c>
      <c r="U425" s="11">
        <v>32.0</v>
      </c>
      <c r="V425" s="14">
        <f t="shared" ref="V425:V426" si="5">+7</f>
        <v>7</v>
      </c>
      <c r="W425" s="14" t="str">
        <f>+0.26</f>
        <v>#ERROR!</v>
      </c>
      <c r="X425" s="15">
        <v>-0.024305555555555556</v>
      </c>
      <c r="Y425" s="16" t="s">
        <v>2045</v>
      </c>
    </row>
    <row r="426">
      <c r="A426" s="6">
        <v>409.0</v>
      </c>
      <c r="B426" s="7" t="s">
        <v>2046</v>
      </c>
      <c r="C426" s="8" t="s">
        <v>2047</v>
      </c>
      <c r="D426" s="9" t="s">
        <v>52</v>
      </c>
      <c r="E426" s="7" t="s">
        <v>2048</v>
      </c>
      <c r="F426" s="9">
        <v>26.0</v>
      </c>
      <c r="G426" s="9">
        <v>1998.0</v>
      </c>
      <c r="H426" s="10">
        <v>27.0</v>
      </c>
      <c r="I426" s="11">
        <v>1.984</v>
      </c>
      <c r="J426" s="11">
        <v>73.0</v>
      </c>
      <c r="K426" s="11" t="s">
        <v>2049</v>
      </c>
      <c r="L426" s="11" t="s">
        <v>2050</v>
      </c>
      <c r="M426" s="10">
        <v>22.0</v>
      </c>
      <c r="N426" s="11">
        <v>82.0</v>
      </c>
      <c r="O426" s="11">
        <v>13.0</v>
      </c>
      <c r="P426" s="10">
        <v>5.0</v>
      </c>
      <c r="Q426" s="11">
        <v>36.0</v>
      </c>
      <c r="R426" s="12">
        <v>0.0</v>
      </c>
      <c r="S426" s="13">
        <v>0.09027777777777778</v>
      </c>
      <c r="T426" s="11">
        <v>35.0</v>
      </c>
      <c r="U426" s="11">
        <v>28.0</v>
      </c>
      <c r="V426" s="14">
        <f t="shared" si="5"/>
        <v>7</v>
      </c>
      <c r="W426" s="14" t="str">
        <f>+0.32</f>
        <v>#ERROR!</v>
      </c>
      <c r="X426" s="15">
        <v>-0.004166666666666667</v>
      </c>
      <c r="Y426" s="16" t="s">
        <v>2051</v>
      </c>
    </row>
    <row r="427">
      <c r="A427" s="6">
        <v>410.0</v>
      </c>
      <c r="B427" s="7" t="s">
        <v>2052</v>
      </c>
      <c r="C427" s="8" t="s">
        <v>2053</v>
      </c>
      <c r="D427" s="9" t="s">
        <v>59</v>
      </c>
      <c r="E427" s="7" t="s">
        <v>2054</v>
      </c>
      <c r="F427" s="9">
        <v>24.0</v>
      </c>
      <c r="G427" s="9">
        <v>1999.0</v>
      </c>
      <c r="H427" s="10">
        <v>10.0</v>
      </c>
      <c r="I427" s="11">
        <v>415.0</v>
      </c>
      <c r="J427" s="11">
        <v>42.0</v>
      </c>
      <c r="K427" s="11" t="s">
        <v>392</v>
      </c>
      <c r="L427" s="11" t="s">
        <v>303</v>
      </c>
      <c r="M427" s="10">
        <v>4.0</v>
      </c>
      <c r="N427" s="11">
        <v>74.0</v>
      </c>
      <c r="O427" s="11">
        <v>1.0</v>
      </c>
      <c r="P427" s="10">
        <v>6.0</v>
      </c>
      <c r="Q427" s="11">
        <v>20.0</v>
      </c>
      <c r="R427" s="11">
        <v>2.0</v>
      </c>
      <c r="S427" s="13">
        <v>0.09722222222222222</v>
      </c>
      <c r="T427" s="11">
        <v>7.0</v>
      </c>
      <c r="U427" s="11">
        <v>7.0</v>
      </c>
      <c r="V427" s="12">
        <v>0.0</v>
      </c>
      <c r="W427" s="21">
        <v>0.0</v>
      </c>
      <c r="X427" s="15">
        <v>-0.06319444444444444</v>
      </c>
      <c r="Y427" s="16" t="s">
        <v>2055</v>
      </c>
    </row>
    <row r="428">
      <c r="A428" s="6">
        <v>411.0</v>
      </c>
      <c r="B428" s="7" t="s">
        <v>2056</v>
      </c>
      <c r="C428" s="8" t="s">
        <v>2057</v>
      </c>
      <c r="D428" s="9" t="s">
        <v>45</v>
      </c>
      <c r="E428" s="7" t="s">
        <v>2058</v>
      </c>
      <c r="F428" s="9">
        <v>24.0</v>
      </c>
      <c r="G428" s="9">
        <v>1999.0</v>
      </c>
      <c r="H428" s="10">
        <v>18.0</v>
      </c>
      <c r="I428" s="11">
        <v>1.504</v>
      </c>
      <c r="J428" s="11">
        <v>84.0</v>
      </c>
      <c r="K428" s="11" t="s">
        <v>2059</v>
      </c>
      <c r="L428" s="11" t="s">
        <v>293</v>
      </c>
      <c r="M428" s="10">
        <v>17.0</v>
      </c>
      <c r="N428" s="11">
        <v>87.0</v>
      </c>
      <c r="O428" s="11">
        <v>10.0</v>
      </c>
      <c r="P428" s="10">
        <v>1.0</v>
      </c>
      <c r="Q428" s="11">
        <v>33.0</v>
      </c>
      <c r="R428" s="12">
        <v>0.0</v>
      </c>
      <c r="S428" s="13">
        <v>0.05763888888888889</v>
      </c>
      <c r="T428" s="11">
        <v>16.0</v>
      </c>
      <c r="U428" s="11">
        <v>25.0</v>
      </c>
      <c r="V428" s="17">
        <v>-9.0</v>
      </c>
      <c r="W428" s="15">
        <v>-0.0375</v>
      </c>
      <c r="X428" s="14" t="str">
        <f>+0.06</f>
        <v>#ERROR!</v>
      </c>
      <c r="Y428" s="16" t="s">
        <v>2060</v>
      </c>
    </row>
    <row r="429">
      <c r="A429" s="6">
        <v>412.0</v>
      </c>
      <c r="B429" s="7" t="s">
        <v>2061</v>
      </c>
      <c r="C429" s="8" t="s">
        <v>2062</v>
      </c>
      <c r="D429" s="9" t="s">
        <v>52</v>
      </c>
      <c r="E429" s="7" t="s">
        <v>2063</v>
      </c>
      <c r="F429" s="9">
        <v>19.0</v>
      </c>
      <c r="G429" s="9">
        <v>2004.0</v>
      </c>
      <c r="H429" s="18">
        <v>0.0</v>
      </c>
      <c r="I429" s="19"/>
      <c r="J429" s="19"/>
      <c r="K429" s="19"/>
      <c r="L429" s="19"/>
      <c r="M429" s="18">
        <v>0.0</v>
      </c>
      <c r="N429" s="19"/>
      <c r="O429" s="12">
        <v>0.0</v>
      </c>
      <c r="P429" s="18">
        <v>0.0</v>
      </c>
      <c r="Q429" s="19"/>
      <c r="R429" s="11">
        <v>9.0</v>
      </c>
      <c r="S429" s="24"/>
      <c r="T429" s="19"/>
      <c r="U429" s="19"/>
      <c r="V429" s="19"/>
      <c r="W429" s="19"/>
      <c r="X429" s="19"/>
      <c r="Y429" s="16" t="s">
        <v>2064</v>
      </c>
    </row>
    <row r="430">
      <c r="A430" s="6">
        <v>413.0</v>
      </c>
      <c r="B430" s="7" t="s">
        <v>2065</v>
      </c>
      <c r="C430" s="8" t="s">
        <v>2066</v>
      </c>
      <c r="D430" s="9" t="s">
        <v>32</v>
      </c>
      <c r="E430" s="7" t="s">
        <v>2067</v>
      </c>
      <c r="F430" s="9">
        <v>22.0</v>
      </c>
      <c r="G430" s="9">
        <v>2002.0</v>
      </c>
      <c r="H430" s="10">
        <v>27.0</v>
      </c>
      <c r="I430" s="11">
        <v>2.219</v>
      </c>
      <c r="J430" s="11">
        <v>82.0</v>
      </c>
      <c r="K430" s="11" t="s">
        <v>2068</v>
      </c>
      <c r="L430" s="11" t="s">
        <v>250</v>
      </c>
      <c r="M430" s="10">
        <v>24.0</v>
      </c>
      <c r="N430" s="11">
        <v>90.0</v>
      </c>
      <c r="O430" s="11">
        <v>23.0</v>
      </c>
      <c r="P430" s="10">
        <v>3.0</v>
      </c>
      <c r="Q430" s="11">
        <v>23.0</v>
      </c>
      <c r="R430" s="11">
        <v>1.0</v>
      </c>
      <c r="S430" s="13">
        <v>0.0625</v>
      </c>
      <c r="T430" s="11">
        <v>35.0</v>
      </c>
      <c r="U430" s="11">
        <v>39.0</v>
      </c>
      <c r="V430" s="17">
        <v>-4.0</v>
      </c>
      <c r="W430" s="15">
        <v>-0.011111111111111112</v>
      </c>
      <c r="X430" s="15">
        <v>-0.04861111111111111</v>
      </c>
      <c r="Y430" s="16" t="s">
        <v>2069</v>
      </c>
    </row>
    <row r="431">
      <c r="A431" s="6">
        <v>414.0</v>
      </c>
      <c r="B431" s="7" t="s">
        <v>2070</v>
      </c>
      <c r="C431" s="8" t="s">
        <v>2071</v>
      </c>
      <c r="D431" s="9" t="s">
        <v>52</v>
      </c>
      <c r="E431" s="7" t="s">
        <v>2072</v>
      </c>
      <c r="F431" s="9">
        <v>27.0</v>
      </c>
      <c r="G431" s="9">
        <v>1996.0</v>
      </c>
      <c r="H431" s="10">
        <v>27.0</v>
      </c>
      <c r="I431" s="11">
        <v>2.327</v>
      </c>
      <c r="J431" s="11">
        <v>86.0</v>
      </c>
      <c r="K431" s="11" t="s">
        <v>2073</v>
      </c>
      <c r="L431" s="11" t="s">
        <v>324</v>
      </c>
      <c r="M431" s="10">
        <v>27.0</v>
      </c>
      <c r="N431" s="11">
        <v>86.0</v>
      </c>
      <c r="O431" s="11">
        <v>21.0</v>
      </c>
      <c r="P431" s="18">
        <v>0.0</v>
      </c>
      <c r="Q431" s="19"/>
      <c r="R431" s="11">
        <v>1.0</v>
      </c>
      <c r="S431" s="13">
        <v>0.10347222222222222</v>
      </c>
      <c r="T431" s="11">
        <v>38.0</v>
      </c>
      <c r="U431" s="11">
        <v>33.0</v>
      </c>
      <c r="V431" s="14">
        <f>+5</f>
        <v>5</v>
      </c>
      <c r="W431" s="14" t="str">
        <f>+0.19</f>
        <v>#ERROR!</v>
      </c>
      <c r="X431" s="14" t="str">
        <f>+0.19</f>
        <v>#ERROR!</v>
      </c>
      <c r="Y431" s="16" t="s">
        <v>2074</v>
      </c>
    </row>
    <row r="432">
      <c r="A432" s="6">
        <v>415.0</v>
      </c>
      <c r="B432" s="7" t="s">
        <v>2075</v>
      </c>
      <c r="C432" s="8" t="s">
        <v>2076</v>
      </c>
      <c r="D432" s="9" t="s">
        <v>284</v>
      </c>
      <c r="E432" s="7" t="s">
        <v>2077</v>
      </c>
      <c r="F432" s="9">
        <v>21.0</v>
      </c>
      <c r="G432" s="9">
        <v>2002.0</v>
      </c>
      <c r="H432" s="10">
        <v>25.0</v>
      </c>
      <c r="I432" s="11">
        <v>1.716</v>
      </c>
      <c r="J432" s="11">
        <v>69.0</v>
      </c>
      <c r="K432" s="11" t="s">
        <v>2078</v>
      </c>
      <c r="L432" s="11" t="s">
        <v>2079</v>
      </c>
      <c r="M432" s="10">
        <v>19.0</v>
      </c>
      <c r="N432" s="11">
        <v>83.0</v>
      </c>
      <c r="O432" s="11">
        <v>8.0</v>
      </c>
      <c r="P432" s="10">
        <v>6.0</v>
      </c>
      <c r="Q432" s="11">
        <v>22.0</v>
      </c>
      <c r="R432" s="11">
        <v>4.0</v>
      </c>
      <c r="S432" s="13">
        <v>0.05555555555555555</v>
      </c>
      <c r="T432" s="11">
        <v>20.0</v>
      </c>
      <c r="U432" s="11">
        <v>35.0</v>
      </c>
      <c r="V432" s="17">
        <v>-15.0</v>
      </c>
      <c r="W432" s="15">
        <v>-0.05486111111111111</v>
      </c>
      <c r="X432" s="15">
        <v>-0.016666666666666666</v>
      </c>
      <c r="Y432" s="16" t="s">
        <v>2080</v>
      </c>
    </row>
    <row r="433">
      <c r="A433" s="6">
        <v>416.0</v>
      </c>
      <c r="B433" s="7" t="s">
        <v>2081</v>
      </c>
      <c r="C433" s="8" t="s">
        <v>2082</v>
      </c>
      <c r="D433" s="9" t="s">
        <v>59</v>
      </c>
      <c r="E433" s="7" t="s">
        <v>2083</v>
      </c>
      <c r="F433" s="9">
        <v>22.0</v>
      </c>
      <c r="G433" s="9">
        <v>2001.0</v>
      </c>
      <c r="H433" s="10">
        <v>10.0</v>
      </c>
      <c r="I433" s="11">
        <v>393.0</v>
      </c>
      <c r="J433" s="11">
        <v>39.0</v>
      </c>
      <c r="K433" s="11" t="s">
        <v>106</v>
      </c>
      <c r="L433" s="11" t="s">
        <v>2084</v>
      </c>
      <c r="M433" s="10">
        <v>4.0</v>
      </c>
      <c r="N433" s="11">
        <v>56.0</v>
      </c>
      <c r="O433" s="12">
        <v>0.0</v>
      </c>
      <c r="P433" s="10">
        <v>6.0</v>
      </c>
      <c r="Q433" s="11">
        <v>28.0</v>
      </c>
      <c r="R433" s="11">
        <v>8.0</v>
      </c>
      <c r="S433" s="13">
        <v>0.041666666666666664</v>
      </c>
      <c r="T433" s="11">
        <v>3.0</v>
      </c>
      <c r="U433" s="11">
        <v>8.0</v>
      </c>
      <c r="V433" s="17">
        <v>-5.0</v>
      </c>
      <c r="W433" s="15">
        <v>-0.052083333333333336</v>
      </c>
      <c r="X433" s="15">
        <v>-0.06597222222222222</v>
      </c>
      <c r="Y433" s="16" t="s">
        <v>2085</v>
      </c>
    </row>
    <row r="434">
      <c r="A434" s="6">
        <v>417.0</v>
      </c>
      <c r="B434" s="7" t="s">
        <v>2086</v>
      </c>
      <c r="C434" s="8" t="s">
        <v>2087</v>
      </c>
      <c r="D434" s="9" t="s">
        <v>284</v>
      </c>
      <c r="E434" s="7" t="s">
        <v>2088</v>
      </c>
      <c r="F434" s="9">
        <v>34.0</v>
      </c>
      <c r="G434" s="9">
        <v>1989.0</v>
      </c>
      <c r="H434" s="10">
        <v>16.0</v>
      </c>
      <c r="I434" s="11">
        <v>612.0</v>
      </c>
      <c r="J434" s="11">
        <v>38.0</v>
      </c>
      <c r="K434" s="11" t="s">
        <v>1564</v>
      </c>
      <c r="L434" s="11" t="s">
        <v>2089</v>
      </c>
      <c r="M434" s="10">
        <v>4.0</v>
      </c>
      <c r="N434" s="11">
        <v>80.0</v>
      </c>
      <c r="O434" s="11">
        <v>2.0</v>
      </c>
      <c r="P434" s="10">
        <v>12.0</v>
      </c>
      <c r="Q434" s="11">
        <v>24.0</v>
      </c>
      <c r="R434" s="11">
        <v>4.0</v>
      </c>
      <c r="S434" s="13">
        <v>0.06111111111111111</v>
      </c>
      <c r="T434" s="11">
        <v>6.0</v>
      </c>
      <c r="U434" s="11">
        <v>17.0</v>
      </c>
      <c r="V434" s="17">
        <v>-11.0</v>
      </c>
      <c r="W434" s="15">
        <v>-0.08472222222222223</v>
      </c>
      <c r="X434" s="15">
        <v>-0.0875</v>
      </c>
      <c r="Y434" s="16" t="s">
        <v>2090</v>
      </c>
    </row>
    <row r="435">
      <c r="A435" s="6">
        <v>418.0</v>
      </c>
      <c r="B435" s="7" t="s">
        <v>2091</v>
      </c>
      <c r="C435" s="8" t="s">
        <v>2092</v>
      </c>
      <c r="D435" s="9" t="s">
        <v>66</v>
      </c>
      <c r="E435" s="7" t="s">
        <v>2093</v>
      </c>
      <c r="F435" s="9">
        <v>29.0</v>
      </c>
      <c r="G435" s="9">
        <v>1994.0</v>
      </c>
      <c r="H435" s="10">
        <v>1.0</v>
      </c>
      <c r="I435" s="11">
        <v>4.0</v>
      </c>
      <c r="J435" s="11">
        <v>4.0</v>
      </c>
      <c r="K435" s="11" t="s">
        <v>155</v>
      </c>
      <c r="L435" s="12" t="s">
        <v>470</v>
      </c>
      <c r="M435" s="18">
        <v>0.0</v>
      </c>
      <c r="N435" s="19"/>
      <c r="O435" s="12">
        <v>0.0</v>
      </c>
      <c r="P435" s="10">
        <v>1.0</v>
      </c>
      <c r="Q435" s="11">
        <v>4.0</v>
      </c>
      <c r="R435" s="11">
        <v>11.0</v>
      </c>
      <c r="S435" s="13">
        <v>0.041666666666666664</v>
      </c>
      <c r="T435" s="12">
        <v>0.0</v>
      </c>
      <c r="U435" s="11">
        <v>2.0</v>
      </c>
      <c r="V435" s="17">
        <v>-2.0</v>
      </c>
      <c r="W435" s="15">
        <v>-1.875</v>
      </c>
      <c r="X435" s="15">
        <v>-1.8868055555555556</v>
      </c>
      <c r="Y435" s="16" t="s">
        <v>2094</v>
      </c>
    </row>
    <row r="436">
      <c r="A436" s="6">
        <v>419.0</v>
      </c>
      <c r="B436" s="7" t="s">
        <v>2095</v>
      </c>
      <c r="C436" s="8" t="s">
        <v>2096</v>
      </c>
      <c r="D436" s="9" t="s">
        <v>52</v>
      </c>
      <c r="E436" s="7" t="s">
        <v>2097</v>
      </c>
      <c r="F436" s="9">
        <v>18.0</v>
      </c>
      <c r="G436" s="9">
        <v>2005.0</v>
      </c>
      <c r="H436" s="10">
        <v>12.0</v>
      </c>
      <c r="I436" s="11">
        <v>377.0</v>
      </c>
      <c r="J436" s="11">
        <v>31.0</v>
      </c>
      <c r="K436" s="11" t="s">
        <v>1335</v>
      </c>
      <c r="L436" s="11" t="s">
        <v>837</v>
      </c>
      <c r="M436" s="10">
        <v>3.0</v>
      </c>
      <c r="N436" s="11">
        <v>66.0</v>
      </c>
      <c r="O436" s="12">
        <v>0.0</v>
      </c>
      <c r="P436" s="10">
        <v>9.0</v>
      </c>
      <c r="Q436" s="11">
        <v>20.0</v>
      </c>
      <c r="R436" s="11">
        <v>12.0</v>
      </c>
      <c r="S436" s="13">
        <v>0.06388888888888888</v>
      </c>
      <c r="T436" s="11">
        <v>7.0</v>
      </c>
      <c r="U436" s="11">
        <v>12.0</v>
      </c>
      <c r="V436" s="17">
        <v>-5.0</v>
      </c>
      <c r="W436" s="15">
        <v>-0.05486111111111111</v>
      </c>
      <c r="X436" s="15">
        <v>-0.03958333333333333</v>
      </c>
      <c r="Y436" s="16" t="s">
        <v>2098</v>
      </c>
    </row>
    <row r="437">
      <c r="A437" s="6">
        <v>420.0</v>
      </c>
      <c r="B437" s="7" t="s">
        <v>2099</v>
      </c>
      <c r="C437" s="8" t="s">
        <v>2100</v>
      </c>
      <c r="D437" s="9" t="s">
        <v>45</v>
      </c>
      <c r="E437" s="7" t="s">
        <v>2101</v>
      </c>
      <c r="F437" s="9">
        <v>25.0</v>
      </c>
      <c r="G437" s="9">
        <v>1998.0</v>
      </c>
      <c r="H437" s="10">
        <v>20.0</v>
      </c>
      <c r="I437" s="11">
        <v>1.685</v>
      </c>
      <c r="J437" s="11">
        <v>84.0</v>
      </c>
      <c r="K437" s="11" t="s">
        <v>2102</v>
      </c>
      <c r="L437" s="11" t="s">
        <v>2103</v>
      </c>
      <c r="M437" s="10">
        <v>19.0</v>
      </c>
      <c r="N437" s="11">
        <v>87.0</v>
      </c>
      <c r="O437" s="11">
        <v>16.0</v>
      </c>
      <c r="P437" s="10">
        <v>1.0</v>
      </c>
      <c r="Q437" s="11">
        <v>29.0</v>
      </c>
      <c r="R437" s="11">
        <v>1.0</v>
      </c>
      <c r="S437" s="13">
        <v>0.041666666666666664</v>
      </c>
      <c r="T437" s="11">
        <v>20.0</v>
      </c>
      <c r="U437" s="11">
        <v>28.0</v>
      </c>
      <c r="V437" s="17">
        <v>-8.0</v>
      </c>
      <c r="W437" s="15">
        <v>-0.029861111111111113</v>
      </c>
      <c r="X437" s="15">
        <v>-0.017361111111111112</v>
      </c>
      <c r="Y437" s="16" t="s">
        <v>2104</v>
      </c>
    </row>
    <row r="438">
      <c r="A438" s="6">
        <v>421.0</v>
      </c>
      <c r="B438" s="7" t="s">
        <v>2105</v>
      </c>
      <c r="C438" s="8" t="s">
        <v>2106</v>
      </c>
      <c r="D438" s="9" t="s">
        <v>32</v>
      </c>
      <c r="E438" s="7" t="s">
        <v>2107</v>
      </c>
      <c r="F438" s="9">
        <v>18.0</v>
      </c>
      <c r="G438" s="9">
        <v>2005.0</v>
      </c>
      <c r="H438" s="10">
        <v>6.0</v>
      </c>
      <c r="I438" s="11">
        <v>208.0</v>
      </c>
      <c r="J438" s="11">
        <v>35.0</v>
      </c>
      <c r="K438" s="11" t="s">
        <v>206</v>
      </c>
      <c r="L438" s="11" t="s">
        <v>207</v>
      </c>
      <c r="M438" s="10">
        <v>2.0</v>
      </c>
      <c r="N438" s="11">
        <v>81.0</v>
      </c>
      <c r="O438" s="11">
        <v>1.0</v>
      </c>
      <c r="P438" s="10">
        <v>4.0</v>
      </c>
      <c r="Q438" s="11">
        <v>12.0</v>
      </c>
      <c r="R438" s="11">
        <v>1.0</v>
      </c>
      <c r="S438" s="13">
        <v>0.04652777777777778</v>
      </c>
      <c r="T438" s="11">
        <v>2.0</v>
      </c>
      <c r="U438" s="11">
        <v>2.0</v>
      </c>
      <c r="V438" s="12">
        <v>0.0</v>
      </c>
      <c r="W438" s="21">
        <v>0.0</v>
      </c>
      <c r="X438" s="14" t="str">
        <f>+0.61</f>
        <v>#ERROR!</v>
      </c>
      <c r="Y438" s="16" t="s">
        <v>2108</v>
      </c>
    </row>
    <row r="439">
      <c r="A439" s="6">
        <v>422.0</v>
      </c>
      <c r="B439" s="7" t="s">
        <v>2109</v>
      </c>
      <c r="C439" s="8" t="s">
        <v>2110</v>
      </c>
      <c r="D439" s="9" t="s">
        <v>52</v>
      </c>
      <c r="E439" s="7" t="s">
        <v>2111</v>
      </c>
      <c r="F439" s="9">
        <v>32.0</v>
      </c>
      <c r="G439" s="9">
        <v>1991.0</v>
      </c>
      <c r="H439" s="10">
        <v>14.0</v>
      </c>
      <c r="I439" s="11">
        <v>831.0</v>
      </c>
      <c r="J439" s="11">
        <v>59.0</v>
      </c>
      <c r="K439" s="11" t="s">
        <v>2112</v>
      </c>
      <c r="L439" s="11" t="s">
        <v>2113</v>
      </c>
      <c r="M439" s="10">
        <v>12.0</v>
      </c>
      <c r="N439" s="11">
        <v>64.0</v>
      </c>
      <c r="O439" s="11">
        <v>3.0</v>
      </c>
      <c r="P439" s="10">
        <v>2.0</v>
      </c>
      <c r="Q439" s="11">
        <v>30.0</v>
      </c>
      <c r="R439" s="11">
        <v>1.0</v>
      </c>
      <c r="S439" s="13">
        <v>0.08125</v>
      </c>
      <c r="T439" s="11">
        <v>9.0</v>
      </c>
      <c r="U439" s="11">
        <v>15.0</v>
      </c>
      <c r="V439" s="17">
        <v>-6.0</v>
      </c>
      <c r="W439" s="15">
        <v>-0.04513888888888889</v>
      </c>
      <c r="X439" s="15">
        <v>-0.07083333333333333</v>
      </c>
      <c r="Y439" s="16" t="s">
        <v>2114</v>
      </c>
    </row>
    <row r="440">
      <c r="A440" s="6">
        <v>423.0</v>
      </c>
      <c r="B440" s="7" t="s">
        <v>2115</v>
      </c>
      <c r="C440" s="8" t="s">
        <v>2116</v>
      </c>
      <c r="D440" s="9" t="s">
        <v>73</v>
      </c>
      <c r="E440" s="7" t="s">
        <v>2117</v>
      </c>
      <c r="F440" s="9">
        <v>21.0</v>
      </c>
      <c r="G440" s="9">
        <v>2003.0</v>
      </c>
      <c r="H440" s="18">
        <v>0.0</v>
      </c>
      <c r="I440" s="19"/>
      <c r="J440" s="19"/>
      <c r="K440" s="19"/>
      <c r="L440" s="19"/>
      <c r="M440" s="18">
        <v>0.0</v>
      </c>
      <c r="N440" s="19"/>
      <c r="O440" s="12">
        <v>0.0</v>
      </c>
      <c r="P440" s="18">
        <v>0.0</v>
      </c>
      <c r="Q440" s="19"/>
      <c r="R440" s="11">
        <v>1.0</v>
      </c>
      <c r="S440" s="24"/>
      <c r="T440" s="19"/>
      <c r="U440" s="19"/>
      <c r="V440" s="19"/>
      <c r="W440" s="19"/>
      <c r="X440" s="19"/>
      <c r="Y440" s="16" t="s">
        <v>2118</v>
      </c>
    </row>
    <row r="441">
      <c r="A441" s="6">
        <v>424.0</v>
      </c>
      <c r="B441" s="7" t="s">
        <v>2119</v>
      </c>
      <c r="C441" s="8" t="s">
        <v>2120</v>
      </c>
      <c r="D441" s="9" t="s">
        <v>52</v>
      </c>
      <c r="E441" s="7" t="s">
        <v>2121</v>
      </c>
      <c r="F441" s="9">
        <v>17.0</v>
      </c>
      <c r="G441" s="9">
        <v>2006.0</v>
      </c>
      <c r="H441" s="10">
        <v>1.0</v>
      </c>
      <c r="I441" s="11">
        <v>6.0</v>
      </c>
      <c r="J441" s="11">
        <v>6.0</v>
      </c>
      <c r="K441" s="11" t="s">
        <v>48</v>
      </c>
      <c r="L441" s="11" t="s">
        <v>155</v>
      </c>
      <c r="M441" s="18">
        <v>0.0</v>
      </c>
      <c r="N441" s="19"/>
      <c r="O441" s="12">
        <v>0.0</v>
      </c>
      <c r="P441" s="10">
        <v>1.0</v>
      </c>
      <c r="Q441" s="11">
        <v>6.0</v>
      </c>
      <c r="R441" s="11">
        <v>2.0</v>
      </c>
      <c r="S441" s="20">
        <v>0.0</v>
      </c>
      <c r="T441" s="11">
        <v>1.0</v>
      </c>
      <c r="U441" s="12">
        <v>0.0</v>
      </c>
      <c r="V441" s="14">
        <f>+1</f>
        <v>1</v>
      </c>
      <c r="W441" s="14" t="str">
        <f>+15.00</f>
        <v>#ERROR!</v>
      </c>
      <c r="X441" s="14" t="str">
        <f>+15.73</f>
        <v>#ERROR!</v>
      </c>
      <c r="Y441" s="16" t="s">
        <v>2122</v>
      </c>
    </row>
    <row r="442">
      <c r="A442" s="6">
        <v>425.0</v>
      </c>
      <c r="B442" s="7" t="s">
        <v>2123</v>
      </c>
      <c r="C442" s="22"/>
      <c r="D442" s="9" t="s">
        <v>32</v>
      </c>
      <c r="E442" s="7" t="s">
        <v>2124</v>
      </c>
      <c r="F442" s="9">
        <v>17.0</v>
      </c>
      <c r="G442" s="9">
        <v>2006.0</v>
      </c>
      <c r="H442" s="10">
        <v>5.0</v>
      </c>
      <c r="I442" s="11">
        <v>150.0</v>
      </c>
      <c r="J442" s="11">
        <v>30.0</v>
      </c>
      <c r="K442" s="11" t="s">
        <v>2125</v>
      </c>
      <c r="L442" s="11" t="s">
        <v>200</v>
      </c>
      <c r="M442" s="10">
        <v>1.0</v>
      </c>
      <c r="N442" s="11">
        <v>90.0</v>
      </c>
      <c r="O442" s="11">
        <v>1.0</v>
      </c>
      <c r="P442" s="10">
        <v>4.0</v>
      </c>
      <c r="Q442" s="11">
        <v>15.0</v>
      </c>
      <c r="R442" s="11">
        <v>2.0</v>
      </c>
      <c r="S442" s="13">
        <v>0.013888888888888888</v>
      </c>
      <c r="T442" s="12">
        <v>0.0</v>
      </c>
      <c r="U442" s="11">
        <v>2.0</v>
      </c>
      <c r="V442" s="17">
        <v>-2.0</v>
      </c>
      <c r="W442" s="15">
        <v>-0.05555555555555555</v>
      </c>
      <c r="X442" s="15">
        <v>-0.043055555555555555</v>
      </c>
      <c r="Y442" s="16" t="s">
        <v>2126</v>
      </c>
    </row>
    <row r="443">
      <c r="A443" s="25" t="s">
        <v>0</v>
      </c>
      <c r="B443" s="26" t="s">
        <v>1</v>
      </c>
      <c r="C443" s="27" t="s">
        <v>2</v>
      </c>
      <c r="D443" s="27" t="s">
        <v>3</v>
      </c>
      <c r="E443" s="27" t="s">
        <v>4</v>
      </c>
      <c r="F443" s="27" t="s">
        <v>5</v>
      </c>
      <c r="G443" s="27" t="s">
        <v>6</v>
      </c>
      <c r="H443" s="28" t="s">
        <v>7</v>
      </c>
      <c r="I443" s="27" t="s">
        <v>8</v>
      </c>
      <c r="J443" s="27" t="s">
        <v>9</v>
      </c>
      <c r="K443" s="27" t="s">
        <v>10</v>
      </c>
      <c r="L443" s="27" t="s">
        <v>11</v>
      </c>
      <c r="M443" s="28" t="s">
        <v>12</v>
      </c>
      <c r="N443" s="27" t="s">
        <v>13</v>
      </c>
      <c r="O443" s="27" t="s">
        <v>14</v>
      </c>
      <c r="P443" s="28" t="s">
        <v>15</v>
      </c>
      <c r="Q443" s="27" t="s">
        <v>16</v>
      </c>
      <c r="R443" s="27" t="s">
        <v>17</v>
      </c>
      <c r="S443" s="28" t="s">
        <v>18</v>
      </c>
      <c r="T443" s="27" t="s">
        <v>19</v>
      </c>
      <c r="U443" s="27" t="s">
        <v>20</v>
      </c>
      <c r="V443" s="29" t="str">
        <f>+/-</f>
        <v>#ERROR!</v>
      </c>
      <c r="W443" s="29" t="str">
        <f>+/-90</f>
        <v>#ERROR!</v>
      </c>
      <c r="X443" s="27" t="s">
        <v>21</v>
      </c>
      <c r="Y443" s="28" t="s">
        <v>22</v>
      </c>
    </row>
    <row r="444">
      <c r="A444" s="6">
        <v>426.0</v>
      </c>
      <c r="B444" s="7" t="s">
        <v>2127</v>
      </c>
      <c r="C444" s="8" t="s">
        <v>2128</v>
      </c>
      <c r="D444" s="9" t="s">
        <v>52</v>
      </c>
      <c r="E444" s="7" t="s">
        <v>2129</v>
      </c>
      <c r="F444" s="9">
        <v>24.0</v>
      </c>
      <c r="G444" s="9">
        <v>1999.0</v>
      </c>
      <c r="H444" s="10">
        <v>16.0</v>
      </c>
      <c r="I444" s="11">
        <v>538.0</v>
      </c>
      <c r="J444" s="11">
        <v>34.0</v>
      </c>
      <c r="K444" s="11" t="s">
        <v>1949</v>
      </c>
      <c r="L444" s="11" t="s">
        <v>1485</v>
      </c>
      <c r="M444" s="10">
        <v>6.0</v>
      </c>
      <c r="N444" s="11">
        <v>68.0</v>
      </c>
      <c r="O444" s="12">
        <v>0.0</v>
      </c>
      <c r="P444" s="10">
        <v>10.0</v>
      </c>
      <c r="Q444" s="11">
        <v>13.0</v>
      </c>
      <c r="R444" s="11">
        <v>12.0</v>
      </c>
      <c r="S444" s="13">
        <v>0.05486111111111111</v>
      </c>
      <c r="T444" s="11">
        <v>6.0</v>
      </c>
      <c r="U444" s="11">
        <v>12.0</v>
      </c>
      <c r="V444" s="17">
        <v>-6.0</v>
      </c>
      <c r="W444" s="15">
        <v>-0.041666666666666664</v>
      </c>
      <c r="X444" s="15">
        <v>-0.02638888888888889</v>
      </c>
      <c r="Y444" s="16" t="s">
        <v>2130</v>
      </c>
    </row>
    <row r="445">
      <c r="A445" s="6">
        <v>427.0</v>
      </c>
      <c r="B445" s="7" t="s">
        <v>2131</v>
      </c>
      <c r="C445" s="8" t="s">
        <v>2132</v>
      </c>
      <c r="D445" s="9" t="s">
        <v>66</v>
      </c>
      <c r="E445" s="7" t="s">
        <v>2133</v>
      </c>
      <c r="F445" s="9">
        <v>20.0</v>
      </c>
      <c r="G445" s="9">
        <v>2003.0</v>
      </c>
      <c r="H445" s="18">
        <v>0.0</v>
      </c>
      <c r="I445" s="19"/>
      <c r="J445" s="19"/>
      <c r="K445" s="19"/>
      <c r="L445" s="19"/>
      <c r="M445" s="18">
        <v>0.0</v>
      </c>
      <c r="N445" s="19"/>
      <c r="O445" s="12">
        <v>0.0</v>
      </c>
      <c r="P445" s="18">
        <v>0.0</v>
      </c>
      <c r="Q445" s="19"/>
      <c r="R445" s="11">
        <v>4.0</v>
      </c>
      <c r="S445" s="24"/>
      <c r="T445" s="19"/>
      <c r="U445" s="19"/>
      <c r="V445" s="19"/>
      <c r="W445" s="19"/>
      <c r="X445" s="19"/>
      <c r="Y445" s="16" t="s">
        <v>2134</v>
      </c>
    </row>
    <row r="446">
      <c r="A446" s="6">
        <v>428.0</v>
      </c>
      <c r="B446" s="7" t="s">
        <v>2135</v>
      </c>
      <c r="C446" s="8" t="s">
        <v>2136</v>
      </c>
      <c r="D446" s="9" t="s">
        <v>73</v>
      </c>
      <c r="E446" s="7" t="s">
        <v>2137</v>
      </c>
      <c r="F446" s="9">
        <v>18.0</v>
      </c>
      <c r="G446" s="9">
        <v>2005.0</v>
      </c>
      <c r="H446" s="10">
        <v>12.0</v>
      </c>
      <c r="I446" s="11">
        <v>1.08</v>
      </c>
      <c r="J446" s="11">
        <v>90.0</v>
      </c>
      <c r="K446" s="11" t="s">
        <v>75</v>
      </c>
      <c r="L446" s="11" t="s">
        <v>76</v>
      </c>
      <c r="M446" s="10">
        <v>12.0</v>
      </c>
      <c r="N446" s="11">
        <v>90.0</v>
      </c>
      <c r="O446" s="11">
        <v>12.0</v>
      </c>
      <c r="P446" s="18">
        <v>0.0</v>
      </c>
      <c r="Q446" s="19"/>
      <c r="R446" s="11">
        <v>4.0</v>
      </c>
      <c r="S446" s="13">
        <v>0.052083333333333336</v>
      </c>
      <c r="T446" s="11">
        <v>13.0</v>
      </c>
      <c r="U446" s="11">
        <v>22.0</v>
      </c>
      <c r="V446" s="17">
        <v>-9.0</v>
      </c>
      <c r="W446" s="15">
        <v>-0.052083333333333336</v>
      </c>
      <c r="X446" s="15">
        <v>-0.059722222222222225</v>
      </c>
      <c r="Y446" s="16" t="s">
        <v>2138</v>
      </c>
    </row>
    <row r="447">
      <c r="A447" s="6">
        <v>429.0</v>
      </c>
      <c r="B447" s="7" t="s">
        <v>2139</v>
      </c>
      <c r="C447" s="8" t="s">
        <v>2140</v>
      </c>
      <c r="D447" s="9" t="s">
        <v>73</v>
      </c>
      <c r="E447" s="7" t="s">
        <v>2141</v>
      </c>
      <c r="F447" s="9">
        <v>20.0</v>
      </c>
      <c r="G447" s="9">
        <v>2003.0</v>
      </c>
      <c r="H447" s="10">
        <v>8.0</v>
      </c>
      <c r="I447" s="11">
        <v>646.0</v>
      </c>
      <c r="J447" s="11">
        <v>81.0</v>
      </c>
      <c r="K447" s="11" t="s">
        <v>135</v>
      </c>
      <c r="L447" s="11" t="s">
        <v>644</v>
      </c>
      <c r="M447" s="10">
        <v>7.0</v>
      </c>
      <c r="N447" s="11">
        <v>90.0</v>
      </c>
      <c r="O447" s="11">
        <v>6.0</v>
      </c>
      <c r="P447" s="10">
        <v>1.0</v>
      </c>
      <c r="Q447" s="11">
        <v>17.0</v>
      </c>
      <c r="R447" s="11">
        <v>17.0</v>
      </c>
      <c r="S447" s="13">
        <v>0.08541666666666667</v>
      </c>
      <c r="T447" s="11">
        <v>10.0</v>
      </c>
      <c r="U447" s="11">
        <v>11.0</v>
      </c>
      <c r="V447" s="17">
        <v>-1.0</v>
      </c>
      <c r="W447" s="15">
        <v>-0.009722222222222222</v>
      </c>
      <c r="X447" s="15">
        <v>-0.01875</v>
      </c>
      <c r="Y447" s="16" t="s">
        <v>2142</v>
      </c>
    </row>
    <row r="448">
      <c r="A448" s="6">
        <v>430.0</v>
      </c>
      <c r="B448" s="7" t="s">
        <v>2143</v>
      </c>
      <c r="C448" s="8" t="s">
        <v>2144</v>
      </c>
      <c r="D448" s="9" t="s">
        <v>59</v>
      </c>
      <c r="E448" s="7" t="s">
        <v>2145</v>
      </c>
      <c r="F448" s="9">
        <v>22.0</v>
      </c>
      <c r="G448" s="9">
        <v>2001.0</v>
      </c>
      <c r="H448" s="10">
        <v>14.0</v>
      </c>
      <c r="I448" s="11">
        <v>522.0</v>
      </c>
      <c r="J448" s="11">
        <v>37.0</v>
      </c>
      <c r="K448" s="11" t="s">
        <v>2146</v>
      </c>
      <c r="L448" s="11" t="s">
        <v>1800</v>
      </c>
      <c r="M448" s="10">
        <v>4.0</v>
      </c>
      <c r="N448" s="11">
        <v>76.0</v>
      </c>
      <c r="O448" s="11">
        <v>1.0</v>
      </c>
      <c r="P448" s="10">
        <v>10.0</v>
      </c>
      <c r="Q448" s="11">
        <v>22.0</v>
      </c>
      <c r="R448" s="11">
        <v>2.0</v>
      </c>
      <c r="S448" s="13">
        <v>0.05625</v>
      </c>
      <c r="T448" s="11">
        <v>10.0</v>
      </c>
      <c r="U448" s="11">
        <v>7.0</v>
      </c>
      <c r="V448" s="14">
        <f>+3</f>
        <v>3</v>
      </c>
      <c r="W448" s="14" t="str">
        <f>+0.52</f>
        <v>#ERROR!</v>
      </c>
      <c r="X448" s="14" t="str">
        <f>+0.60</f>
        <v>#ERROR!</v>
      </c>
      <c r="Y448" s="16" t="s">
        <v>2147</v>
      </c>
    </row>
    <row r="449">
      <c r="A449" s="6">
        <v>431.0</v>
      </c>
      <c r="B449" s="7" t="s">
        <v>2148</v>
      </c>
      <c r="C449" s="8" t="s">
        <v>2149</v>
      </c>
      <c r="D449" s="9" t="s">
        <v>32</v>
      </c>
      <c r="E449" s="7" t="s">
        <v>2150</v>
      </c>
      <c r="F449" s="9">
        <v>17.0</v>
      </c>
      <c r="G449" s="9">
        <v>2006.0</v>
      </c>
      <c r="H449" s="18">
        <v>0.0</v>
      </c>
      <c r="I449" s="19"/>
      <c r="J449" s="19"/>
      <c r="K449" s="19"/>
      <c r="L449" s="19"/>
      <c r="M449" s="18">
        <v>0.0</v>
      </c>
      <c r="N449" s="19"/>
      <c r="O449" s="12">
        <v>0.0</v>
      </c>
      <c r="P449" s="18">
        <v>0.0</v>
      </c>
      <c r="Q449" s="19"/>
      <c r="R449" s="11">
        <v>2.0</v>
      </c>
      <c r="S449" s="24"/>
      <c r="T449" s="19"/>
      <c r="U449" s="19"/>
      <c r="V449" s="19"/>
      <c r="W449" s="19"/>
      <c r="X449" s="19"/>
      <c r="Y449" s="16" t="s">
        <v>2151</v>
      </c>
    </row>
    <row r="450">
      <c r="A450" s="6">
        <v>432.0</v>
      </c>
      <c r="B450" s="7" t="s">
        <v>2152</v>
      </c>
      <c r="C450" s="8" t="s">
        <v>2153</v>
      </c>
      <c r="D450" s="9" t="s">
        <v>66</v>
      </c>
      <c r="E450" s="7" t="s">
        <v>2154</v>
      </c>
      <c r="F450" s="9">
        <v>31.0</v>
      </c>
      <c r="G450" s="9">
        <v>1992.0</v>
      </c>
      <c r="H450" s="10">
        <v>25.0</v>
      </c>
      <c r="I450" s="11">
        <v>1.856</v>
      </c>
      <c r="J450" s="11">
        <v>74.0</v>
      </c>
      <c r="K450" s="11" t="s">
        <v>1402</v>
      </c>
      <c r="L450" s="11" t="s">
        <v>831</v>
      </c>
      <c r="M450" s="10">
        <v>20.0</v>
      </c>
      <c r="N450" s="11">
        <v>86.0</v>
      </c>
      <c r="O450" s="11">
        <v>17.0</v>
      </c>
      <c r="P450" s="10">
        <v>5.0</v>
      </c>
      <c r="Q450" s="11">
        <v>27.0</v>
      </c>
      <c r="R450" s="11">
        <v>5.0</v>
      </c>
      <c r="S450" s="13">
        <v>0.044444444444444446</v>
      </c>
      <c r="T450" s="11">
        <v>31.0</v>
      </c>
      <c r="U450" s="11">
        <v>44.0</v>
      </c>
      <c r="V450" s="17">
        <v>-13.0</v>
      </c>
      <c r="W450" s="15">
        <v>-0.04375</v>
      </c>
      <c r="X450" s="14" t="str">
        <f>+0.12</f>
        <v>#ERROR!</v>
      </c>
      <c r="Y450" s="16" t="s">
        <v>2155</v>
      </c>
    </row>
    <row r="451">
      <c r="A451" s="6">
        <v>433.0</v>
      </c>
      <c r="B451" s="7" t="s">
        <v>2156</v>
      </c>
      <c r="C451" s="8" t="s">
        <v>2157</v>
      </c>
      <c r="D451" s="9" t="s">
        <v>32</v>
      </c>
      <c r="E451" s="7" t="s">
        <v>2158</v>
      </c>
      <c r="F451" s="9">
        <v>21.0</v>
      </c>
      <c r="G451" s="9">
        <v>2002.0</v>
      </c>
      <c r="H451" s="10">
        <v>19.0</v>
      </c>
      <c r="I451" s="11">
        <v>1.216</v>
      </c>
      <c r="J451" s="11">
        <v>64.0</v>
      </c>
      <c r="K451" s="11" t="s">
        <v>1377</v>
      </c>
      <c r="L451" s="11" t="s">
        <v>549</v>
      </c>
      <c r="M451" s="10">
        <v>14.0</v>
      </c>
      <c r="N451" s="11">
        <v>80.0</v>
      </c>
      <c r="O451" s="11">
        <v>7.0</v>
      </c>
      <c r="P451" s="10">
        <v>5.0</v>
      </c>
      <c r="Q451" s="11">
        <v>19.0</v>
      </c>
      <c r="R451" s="11">
        <v>1.0</v>
      </c>
      <c r="S451" s="13">
        <v>0.049305555555555554</v>
      </c>
      <c r="T451" s="11">
        <v>17.0</v>
      </c>
      <c r="U451" s="11">
        <v>13.0</v>
      </c>
      <c r="V451" s="14">
        <f>+4</f>
        <v>4</v>
      </c>
      <c r="W451" s="14" t="str">
        <f>+0.30</f>
        <v>#ERROR!</v>
      </c>
      <c r="X451" s="14" t="str">
        <f>+1.15</f>
        <v>#ERROR!</v>
      </c>
      <c r="Y451" s="16" t="s">
        <v>2159</v>
      </c>
    </row>
    <row r="452">
      <c r="A452" s="6">
        <v>434.0</v>
      </c>
      <c r="B452" s="7" t="s">
        <v>2160</v>
      </c>
      <c r="C452" s="8" t="s">
        <v>2161</v>
      </c>
      <c r="D452" s="9" t="s">
        <v>66</v>
      </c>
      <c r="E452" s="7" t="s">
        <v>2162</v>
      </c>
      <c r="F452" s="9">
        <v>19.0</v>
      </c>
      <c r="G452" s="9">
        <v>2004.0</v>
      </c>
      <c r="H452" s="10">
        <v>29.0</v>
      </c>
      <c r="I452" s="11">
        <v>2.12</v>
      </c>
      <c r="J452" s="11">
        <v>73.0</v>
      </c>
      <c r="K452" s="11" t="s">
        <v>2163</v>
      </c>
      <c r="L452" s="11" t="s">
        <v>1794</v>
      </c>
      <c r="M452" s="10">
        <v>25.0</v>
      </c>
      <c r="N452" s="11">
        <v>81.0</v>
      </c>
      <c r="O452" s="11">
        <v>13.0</v>
      </c>
      <c r="P452" s="10">
        <v>4.0</v>
      </c>
      <c r="Q452" s="11">
        <v>23.0</v>
      </c>
      <c r="R452" s="12">
        <v>0.0</v>
      </c>
      <c r="S452" s="13">
        <v>0.09444444444444444</v>
      </c>
      <c r="T452" s="11">
        <v>40.0</v>
      </c>
      <c r="U452" s="11">
        <v>15.0</v>
      </c>
      <c r="V452" s="14">
        <f>+25</f>
        <v>25</v>
      </c>
      <c r="W452" s="14" t="str">
        <f>+1.06</f>
        <v>#ERROR!</v>
      </c>
      <c r="X452" s="14" t="str">
        <f>+1.37</f>
        <v>#ERROR!</v>
      </c>
      <c r="Y452" s="16" t="s">
        <v>2164</v>
      </c>
    </row>
    <row r="453">
      <c r="A453" s="6">
        <v>435.0</v>
      </c>
      <c r="B453" s="7" t="s">
        <v>2165</v>
      </c>
      <c r="C453" s="8" t="s">
        <v>2166</v>
      </c>
      <c r="D453" s="9" t="s">
        <v>25</v>
      </c>
      <c r="E453" s="7" t="s">
        <v>2167</v>
      </c>
      <c r="F453" s="9">
        <v>18.0</v>
      </c>
      <c r="G453" s="9">
        <v>2005.0</v>
      </c>
      <c r="H453" s="10">
        <v>8.0</v>
      </c>
      <c r="I453" s="11">
        <v>341.0</v>
      </c>
      <c r="J453" s="11">
        <v>43.0</v>
      </c>
      <c r="K453" s="11" t="s">
        <v>882</v>
      </c>
      <c r="L453" s="11" t="s">
        <v>2168</v>
      </c>
      <c r="M453" s="10">
        <v>4.0</v>
      </c>
      <c r="N453" s="11">
        <v>71.0</v>
      </c>
      <c r="O453" s="11">
        <v>1.0</v>
      </c>
      <c r="P453" s="10">
        <v>4.0</v>
      </c>
      <c r="Q453" s="11">
        <v>14.0</v>
      </c>
      <c r="R453" s="11">
        <v>18.0</v>
      </c>
      <c r="S453" s="13">
        <v>0.11805555555555555</v>
      </c>
      <c r="T453" s="11">
        <v>4.0</v>
      </c>
      <c r="U453" s="11">
        <v>5.0</v>
      </c>
      <c r="V453" s="17">
        <v>-1.0</v>
      </c>
      <c r="W453" s="15">
        <v>-0.018055555555555554</v>
      </c>
      <c r="X453" s="15">
        <v>-0.10416666666666667</v>
      </c>
      <c r="Y453" s="16" t="s">
        <v>2169</v>
      </c>
    </row>
    <row r="454">
      <c r="A454" s="6">
        <v>436.0</v>
      </c>
      <c r="B454" s="7" t="s">
        <v>2170</v>
      </c>
      <c r="C454" s="8" t="s">
        <v>2171</v>
      </c>
      <c r="D454" s="9" t="s">
        <v>59</v>
      </c>
      <c r="E454" s="7" t="s">
        <v>2172</v>
      </c>
      <c r="F454" s="9">
        <v>29.0</v>
      </c>
      <c r="G454" s="9">
        <v>1995.0</v>
      </c>
      <c r="H454" s="10">
        <v>28.0</v>
      </c>
      <c r="I454" s="11">
        <v>2.288</v>
      </c>
      <c r="J454" s="11">
        <v>82.0</v>
      </c>
      <c r="K454" s="11" t="s">
        <v>2173</v>
      </c>
      <c r="L454" s="11" t="s">
        <v>2174</v>
      </c>
      <c r="M454" s="10">
        <v>27.0</v>
      </c>
      <c r="N454" s="11">
        <v>83.0</v>
      </c>
      <c r="O454" s="11">
        <v>21.0</v>
      </c>
      <c r="P454" s="10">
        <v>1.0</v>
      </c>
      <c r="Q454" s="11">
        <v>34.0</v>
      </c>
      <c r="R454" s="12">
        <v>0.0</v>
      </c>
      <c r="S454" s="13">
        <v>0.06666666666666667</v>
      </c>
      <c r="T454" s="11">
        <v>34.0</v>
      </c>
      <c r="U454" s="11">
        <v>49.0</v>
      </c>
      <c r="V454" s="17">
        <v>-15.0</v>
      </c>
      <c r="W454" s="15">
        <v>-0.04097222222222222</v>
      </c>
      <c r="X454" s="14" t="str">
        <f>+0.50</f>
        <v>#ERROR!</v>
      </c>
      <c r="Y454" s="16" t="s">
        <v>2175</v>
      </c>
    </row>
    <row r="455">
      <c r="A455" s="6">
        <v>437.0</v>
      </c>
      <c r="B455" s="7" t="s">
        <v>2176</v>
      </c>
      <c r="C455" s="8" t="s">
        <v>2177</v>
      </c>
      <c r="D455" s="9" t="s">
        <v>66</v>
      </c>
      <c r="E455" s="7" t="s">
        <v>2178</v>
      </c>
      <c r="F455" s="9">
        <v>21.0</v>
      </c>
      <c r="G455" s="9">
        <v>2003.0</v>
      </c>
      <c r="H455" s="10">
        <v>6.0</v>
      </c>
      <c r="I455" s="11">
        <v>442.0</v>
      </c>
      <c r="J455" s="11">
        <v>74.0</v>
      </c>
      <c r="K455" s="11" t="s">
        <v>28</v>
      </c>
      <c r="L455" s="11" t="s">
        <v>1697</v>
      </c>
      <c r="M455" s="10">
        <v>6.0</v>
      </c>
      <c r="N455" s="11">
        <v>74.0</v>
      </c>
      <c r="O455" s="11">
        <v>2.0</v>
      </c>
      <c r="P455" s="18">
        <v>0.0</v>
      </c>
      <c r="Q455" s="19"/>
      <c r="R455" s="11">
        <v>5.0</v>
      </c>
      <c r="S455" s="13">
        <v>0.034722222222222224</v>
      </c>
      <c r="T455" s="11">
        <v>3.0</v>
      </c>
      <c r="U455" s="11">
        <v>10.0</v>
      </c>
      <c r="V455" s="17">
        <v>-7.0</v>
      </c>
      <c r="W455" s="15">
        <v>-0.07152777777777777</v>
      </c>
      <c r="X455" s="15">
        <v>-0.04375</v>
      </c>
      <c r="Y455" s="16" t="s">
        <v>2179</v>
      </c>
    </row>
    <row r="456">
      <c r="A456" s="6">
        <v>438.0</v>
      </c>
      <c r="B456" s="7" t="s">
        <v>2180</v>
      </c>
      <c r="C456" s="8" t="s">
        <v>2181</v>
      </c>
      <c r="D456" s="9" t="s">
        <v>284</v>
      </c>
      <c r="E456" s="7" t="s">
        <v>2182</v>
      </c>
      <c r="F456" s="9">
        <v>21.0</v>
      </c>
      <c r="G456" s="9">
        <v>2002.0</v>
      </c>
      <c r="H456" s="10">
        <v>22.0</v>
      </c>
      <c r="I456" s="11">
        <v>1.677</v>
      </c>
      <c r="J456" s="11">
        <v>76.0</v>
      </c>
      <c r="K456" s="11" t="s">
        <v>2183</v>
      </c>
      <c r="L456" s="11" t="s">
        <v>743</v>
      </c>
      <c r="M456" s="10">
        <v>20.0</v>
      </c>
      <c r="N456" s="11">
        <v>83.0</v>
      </c>
      <c r="O456" s="11">
        <v>14.0</v>
      </c>
      <c r="P456" s="10">
        <v>2.0</v>
      </c>
      <c r="Q456" s="11">
        <v>7.0</v>
      </c>
      <c r="R456" s="11">
        <v>1.0</v>
      </c>
      <c r="S456" s="13">
        <v>0.08958333333333333</v>
      </c>
      <c r="T456" s="11">
        <v>23.0</v>
      </c>
      <c r="U456" s="11">
        <v>12.0</v>
      </c>
      <c r="V456" s="14">
        <f>+11</f>
        <v>11</v>
      </c>
      <c r="W456" s="14" t="str">
        <f>+0.59</f>
        <v>#ERROR!</v>
      </c>
      <c r="X456" s="14" t="str">
        <f>+1.12</f>
        <v>#ERROR!</v>
      </c>
      <c r="Y456" s="16" t="s">
        <v>2184</v>
      </c>
    </row>
    <row r="457">
      <c r="A457" s="6">
        <v>439.0</v>
      </c>
      <c r="B457" s="7" t="s">
        <v>2185</v>
      </c>
      <c r="C457" s="8" t="s">
        <v>2186</v>
      </c>
      <c r="D457" s="9" t="s">
        <v>52</v>
      </c>
      <c r="E457" s="7" t="s">
        <v>2187</v>
      </c>
      <c r="F457" s="9">
        <v>22.0</v>
      </c>
      <c r="G457" s="9">
        <v>2001.0</v>
      </c>
      <c r="H457" s="10">
        <v>7.0</v>
      </c>
      <c r="I457" s="11">
        <v>335.0</v>
      </c>
      <c r="J457" s="11">
        <v>48.0</v>
      </c>
      <c r="K457" s="11" t="s">
        <v>2188</v>
      </c>
      <c r="L457" s="11" t="s">
        <v>226</v>
      </c>
      <c r="M457" s="10">
        <v>4.0</v>
      </c>
      <c r="N457" s="11">
        <v>74.0</v>
      </c>
      <c r="O457" s="11">
        <v>1.0</v>
      </c>
      <c r="P457" s="10">
        <v>3.0</v>
      </c>
      <c r="Q457" s="11">
        <v>14.0</v>
      </c>
      <c r="R457" s="11">
        <v>3.0</v>
      </c>
      <c r="S457" s="13">
        <v>0.02013888888888889</v>
      </c>
      <c r="T457" s="11">
        <v>3.0</v>
      </c>
      <c r="U457" s="11">
        <v>9.0</v>
      </c>
      <c r="V457" s="17">
        <v>-6.0</v>
      </c>
      <c r="W457" s="15">
        <v>-0.08402777777777778</v>
      </c>
      <c r="X457" s="15">
        <v>-0.05277777777777778</v>
      </c>
      <c r="Y457" s="16" t="s">
        <v>2189</v>
      </c>
    </row>
    <row r="458">
      <c r="A458" s="6">
        <v>440.0</v>
      </c>
      <c r="B458" s="7" t="s">
        <v>2190</v>
      </c>
      <c r="C458" s="8" t="s">
        <v>2191</v>
      </c>
      <c r="D458" s="9" t="s">
        <v>52</v>
      </c>
      <c r="E458" s="7" t="s">
        <v>2192</v>
      </c>
      <c r="F458" s="9">
        <v>22.0</v>
      </c>
      <c r="G458" s="9">
        <v>2001.0</v>
      </c>
      <c r="H458" s="10">
        <v>10.0</v>
      </c>
      <c r="I458" s="11">
        <v>458.0</v>
      </c>
      <c r="J458" s="11">
        <v>46.0</v>
      </c>
      <c r="K458" s="11" t="s">
        <v>124</v>
      </c>
      <c r="L458" s="11" t="s">
        <v>169</v>
      </c>
      <c r="M458" s="10">
        <v>4.0</v>
      </c>
      <c r="N458" s="11">
        <v>73.0</v>
      </c>
      <c r="O458" s="11">
        <v>1.0</v>
      </c>
      <c r="P458" s="10">
        <v>6.0</v>
      </c>
      <c r="Q458" s="11">
        <v>28.0</v>
      </c>
      <c r="R458" s="11">
        <v>6.0</v>
      </c>
      <c r="S458" s="13">
        <v>0.0625</v>
      </c>
      <c r="T458" s="11">
        <v>7.0</v>
      </c>
      <c r="U458" s="11">
        <v>8.0</v>
      </c>
      <c r="V458" s="17">
        <v>-1.0</v>
      </c>
      <c r="W458" s="15">
        <v>-0.013888888888888888</v>
      </c>
      <c r="X458" s="15">
        <v>-0.03888888888888889</v>
      </c>
      <c r="Y458" s="16" t="s">
        <v>2193</v>
      </c>
    </row>
    <row r="459">
      <c r="A459" s="6">
        <v>441.0</v>
      </c>
      <c r="B459" s="7" t="s">
        <v>2194</v>
      </c>
      <c r="C459" s="8" t="s">
        <v>2195</v>
      </c>
      <c r="D459" s="9" t="s">
        <v>25</v>
      </c>
      <c r="E459" s="7" t="s">
        <v>2196</v>
      </c>
      <c r="F459" s="9">
        <v>30.0</v>
      </c>
      <c r="G459" s="9">
        <v>1994.0</v>
      </c>
      <c r="H459" s="10">
        <v>9.0</v>
      </c>
      <c r="I459" s="11">
        <v>376.0</v>
      </c>
      <c r="J459" s="11">
        <v>42.0</v>
      </c>
      <c r="K459" s="11" t="s">
        <v>2197</v>
      </c>
      <c r="L459" s="11" t="s">
        <v>837</v>
      </c>
      <c r="M459" s="10">
        <v>4.0</v>
      </c>
      <c r="N459" s="11">
        <v>72.0</v>
      </c>
      <c r="O459" s="12">
        <v>0.0</v>
      </c>
      <c r="P459" s="10">
        <v>5.0</v>
      </c>
      <c r="Q459" s="11">
        <v>18.0</v>
      </c>
      <c r="R459" s="12">
        <v>0.0</v>
      </c>
      <c r="S459" s="13">
        <v>0.06180555555555556</v>
      </c>
      <c r="T459" s="11">
        <v>8.0</v>
      </c>
      <c r="U459" s="11">
        <v>7.0</v>
      </c>
      <c r="V459" s="14">
        <f>+1</f>
        <v>1</v>
      </c>
      <c r="W459" s="14" t="str">
        <f>+0.24</f>
        <v>#ERROR!</v>
      </c>
      <c r="X459" s="14" t="str">
        <f>+0.55</f>
        <v>#ERROR!</v>
      </c>
      <c r="Y459" s="16" t="s">
        <v>2198</v>
      </c>
    </row>
    <row r="460">
      <c r="A460" s="6">
        <v>442.0</v>
      </c>
      <c r="B460" s="7" t="s">
        <v>2199</v>
      </c>
      <c r="C460" s="8" t="s">
        <v>2200</v>
      </c>
      <c r="D460" s="9" t="s">
        <v>66</v>
      </c>
      <c r="E460" s="7" t="s">
        <v>2201</v>
      </c>
      <c r="F460" s="9">
        <v>26.0</v>
      </c>
      <c r="G460" s="9">
        <v>1998.0</v>
      </c>
      <c r="H460" s="10">
        <v>14.0</v>
      </c>
      <c r="I460" s="11">
        <v>930.0</v>
      </c>
      <c r="J460" s="11">
        <v>66.0</v>
      </c>
      <c r="K460" s="11" t="s">
        <v>1424</v>
      </c>
      <c r="L460" s="11" t="s">
        <v>357</v>
      </c>
      <c r="M460" s="10">
        <v>11.0</v>
      </c>
      <c r="N460" s="11">
        <v>83.0</v>
      </c>
      <c r="O460" s="11">
        <v>9.0</v>
      </c>
      <c r="P460" s="10">
        <v>3.0</v>
      </c>
      <c r="Q460" s="11">
        <v>5.0</v>
      </c>
      <c r="R460" s="11">
        <v>14.0</v>
      </c>
      <c r="S460" s="13">
        <v>0.07152777777777777</v>
      </c>
      <c r="T460" s="11">
        <v>10.0</v>
      </c>
      <c r="U460" s="11">
        <v>17.0</v>
      </c>
      <c r="V460" s="17">
        <v>-7.0</v>
      </c>
      <c r="W460" s="15">
        <v>-0.04722222222222222</v>
      </c>
      <c r="X460" s="14" t="str">
        <f>+0.03</f>
        <v>#ERROR!</v>
      </c>
      <c r="Y460" s="16" t="s">
        <v>2202</v>
      </c>
    </row>
    <row r="461">
      <c r="A461" s="6">
        <v>443.0</v>
      </c>
      <c r="B461" s="7" t="s">
        <v>2203</v>
      </c>
      <c r="C461" s="8" t="s">
        <v>2204</v>
      </c>
      <c r="D461" s="9" t="s">
        <v>25</v>
      </c>
      <c r="E461" s="7" t="s">
        <v>2205</v>
      </c>
      <c r="F461" s="9">
        <v>27.0</v>
      </c>
      <c r="G461" s="9">
        <v>1996.0</v>
      </c>
      <c r="H461" s="10">
        <v>13.0</v>
      </c>
      <c r="I461" s="11">
        <v>857.0</v>
      </c>
      <c r="J461" s="11">
        <v>66.0</v>
      </c>
      <c r="K461" s="11" t="s">
        <v>974</v>
      </c>
      <c r="L461" s="11" t="s">
        <v>975</v>
      </c>
      <c r="M461" s="10">
        <v>11.0</v>
      </c>
      <c r="N461" s="11">
        <v>74.0</v>
      </c>
      <c r="O461" s="11">
        <v>5.0</v>
      </c>
      <c r="P461" s="10">
        <v>2.0</v>
      </c>
      <c r="Q461" s="11">
        <v>22.0</v>
      </c>
      <c r="R461" s="11">
        <v>1.0</v>
      </c>
      <c r="S461" s="13">
        <v>0.06319444444444444</v>
      </c>
      <c r="T461" s="11">
        <v>12.0</v>
      </c>
      <c r="U461" s="11">
        <v>19.0</v>
      </c>
      <c r="V461" s="17">
        <v>-7.0</v>
      </c>
      <c r="W461" s="15">
        <v>-0.05138888888888889</v>
      </c>
      <c r="X461" s="15">
        <v>-0.003472222222222222</v>
      </c>
      <c r="Y461" s="16" t="s">
        <v>2206</v>
      </c>
    </row>
    <row r="462">
      <c r="A462" s="6">
        <v>444.0</v>
      </c>
      <c r="B462" s="7" t="s">
        <v>2207</v>
      </c>
      <c r="C462" s="8" t="s">
        <v>2208</v>
      </c>
      <c r="D462" s="9" t="s">
        <v>66</v>
      </c>
      <c r="E462" s="7" t="s">
        <v>2209</v>
      </c>
      <c r="F462" s="9">
        <v>29.0</v>
      </c>
      <c r="G462" s="9">
        <v>1994.0</v>
      </c>
      <c r="H462" s="10">
        <v>13.0</v>
      </c>
      <c r="I462" s="11">
        <v>1.125</v>
      </c>
      <c r="J462" s="11">
        <v>87.0</v>
      </c>
      <c r="K462" s="11" t="s">
        <v>509</v>
      </c>
      <c r="L462" s="11" t="s">
        <v>510</v>
      </c>
      <c r="M462" s="10">
        <v>12.0</v>
      </c>
      <c r="N462" s="11">
        <v>90.0</v>
      </c>
      <c r="O462" s="11">
        <v>12.0</v>
      </c>
      <c r="P462" s="10">
        <v>1.0</v>
      </c>
      <c r="Q462" s="11">
        <v>45.0</v>
      </c>
      <c r="R462" s="12">
        <v>0.0</v>
      </c>
      <c r="S462" s="13">
        <v>0.07361111111111111</v>
      </c>
      <c r="T462" s="11">
        <v>15.0</v>
      </c>
      <c r="U462" s="11">
        <v>19.0</v>
      </c>
      <c r="V462" s="17">
        <v>-4.0</v>
      </c>
      <c r="W462" s="15">
        <v>-0.022222222222222223</v>
      </c>
      <c r="X462" s="15">
        <v>-0.05</v>
      </c>
      <c r="Y462" s="16" t="s">
        <v>2210</v>
      </c>
    </row>
    <row r="463">
      <c r="A463" s="6">
        <v>445.0</v>
      </c>
      <c r="B463" s="7" t="s">
        <v>2211</v>
      </c>
      <c r="C463" s="8" t="s">
        <v>2212</v>
      </c>
      <c r="D463" s="9" t="s">
        <v>25</v>
      </c>
      <c r="E463" s="7" t="s">
        <v>2213</v>
      </c>
      <c r="F463" s="9">
        <v>29.0</v>
      </c>
      <c r="G463" s="9">
        <v>1994.0</v>
      </c>
      <c r="H463" s="10">
        <v>16.0</v>
      </c>
      <c r="I463" s="11">
        <v>1.371</v>
      </c>
      <c r="J463" s="11">
        <v>86.0</v>
      </c>
      <c r="K463" s="11" t="s">
        <v>2214</v>
      </c>
      <c r="L463" s="11" t="s">
        <v>790</v>
      </c>
      <c r="M463" s="10">
        <v>15.0</v>
      </c>
      <c r="N463" s="11">
        <v>88.0</v>
      </c>
      <c r="O463" s="11">
        <v>13.0</v>
      </c>
      <c r="P463" s="10">
        <v>1.0</v>
      </c>
      <c r="Q463" s="11">
        <v>46.0</v>
      </c>
      <c r="R463" s="12">
        <v>0.0</v>
      </c>
      <c r="S463" s="13">
        <v>0.09791666666666667</v>
      </c>
      <c r="T463" s="11">
        <v>28.0</v>
      </c>
      <c r="U463" s="11">
        <v>21.0</v>
      </c>
      <c r="V463" s="14">
        <f>+7</f>
        <v>7</v>
      </c>
      <c r="W463" s="14" t="str">
        <f>+0.46</f>
        <v>#ERROR!</v>
      </c>
      <c r="X463" s="14" t="str">
        <f>+0.32</f>
        <v>#ERROR!</v>
      </c>
      <c r="Y463" s="16" t="s">
        <v>2215</v>
      </c>
    </row>
    <row r="464">
      <c r="A464" s="6">
        <v>446.0</v>
      </c>
      <c r="B464" s="7" t="s">
        <v>2216</v>
      </c>
      <c r="C464" s="8" t="s">
        <v>2217</v>
      </c>
      <c r="D464" s="9" t="s">
        <v>25</v>
      </c>
      <c r="E464" s="7" t="s">
        <v>2218</v>
      </c>
      <c r="F464" s="9">
        <v>24.0</v>
      </c>
      <c r="G464" s="9">
        <v>1999.0</v>
      </c>
      <c r="H464" s="10">
        <v>11.0</v>
      </c>
      <c r="I464" s="11">
        <v>600.0</v>
      </c>
      <c r="J464" s="11">
        <v>55.0</v>
      </c>
      <c r="K464" s="11" t="s">
        <v>1580</v>
      </c>
      <c r="L464" s="11" t="s">
        <v>412</v>
      </c>
      <c r="M464" s="10">
        <v>6.0</v>
      </c>
      <c r="N464" s="11">
        <v>74.0</v>
      </c>
      <c r="O464" s="12">
        <v>0.0</v>
      </c>
      <c r="P464" s="10">
        <v>5.0</v>
      </c>
      <c r="Q464" s="11">
        <v>31.0</v>
      </c>
      <c r="R464" s="12">
        <v>0.0</v>
      </c>
      <c r="S464" s="13">
        <v>0.09861111111111111</v>
      </c>
      <c r="T464" s="11">
        <v>10.0</v>
      </c>
      <c r="U464" s="11">
        <v>4.0</v>
      </c>
      <c r="V464" s="14">
        <f>+6</f>
        <v>6</v>
      </c>
      <c r="W464" s="14" t="str">
        <f>+0.90</f>
        <v>#ERROR!</v>
      </c>
      <c r="X464" s="14" t="str">
        <f>+0.77</f>
        <v>#ERROR!</v>
      </c>
      <c r="Y464" s="16" t="s">
        <v>2219</v>
      </c>
    </row>
    <row r="465">
      <c r="A465" s="6">
        <v>447.0</v>
      </c>
      <c r="B465" s="7" t="s">
        <v>2220</v>
      </c>
      <c r="C465" s="8" t="s">
        <v>2221</v>
      </c>
      <c r="D465" s="9" t="s">
        <v>66</v>
      </c>
      <c r="E465" s="7" t="s">
        <v>2222</v>
      </c>
      <c r="F465" s="9">
        <v>23.0</v>
      </c>
      <c r="G465" s="9">
        <v>2000.0</v>
      </c>
      <c r="H465" s="10">
        <v>17.0</v>
      </c>
      <c r="I465" s="11">
        <v>1.407</v>
      </c>
      <c r="J465" s="11">
        <v>83.0</v>
      </c>
      <c r="K465" s="11" t="s">
        <v>219</v>
      </c>
      <c r="L465" s="11" t="s">
        <v>220</v>
      </c>
      <c r="M465" s="10">
        <v>16.0</v>
      </c>
      <c r="N465" s="11">
        <v>87.0</v>
      </c>
      <c r="O465" s="11">
        <v>14.0</v>
      </c>
      <c r="P465" s="10">
        <v>1.0</v>
      </c>
      <c r="Q465" s="11">
        <v>20.0</v>
      </c>
      <c r="R465" s="12">
        <v>0.0</v>
      </c>
      <c r="S465" s="13">
        <v>0.05694444444444444</v>
      </c>
      <c r="T465" s="11">
        <v>11.0</v>
      </c>
      <c r="U465" s="11">
        <v>20.0</v>
      </c>
      <c r="V465" s="17">
        <v>-9.0</v>
      </c>
      <c r="W465" s="15">
        <v>-0.04027777777777778</v>
      </c>
      <c r="X465" s="15">
        <v>-0.035416666666666666</v>
      </c>
      <c r="Y465" s="16" t="s">
        <v>2223</v>
      </c>
    </row>
    <row r="466">
      <c r="A466" s="6">
        <v>448.0</v>
      </c>
      <c r="B466" s="7" t="s">
        <v>2224</v>
      </c>
      <c r="C466" s="8" t="s">
        <v>2225</v>
      </c>
      <c r="D466" s="9" t="s">
        <v>52</v>
      </c>
      <c r="E466" s="7" t="s">
        <v>2226</v>
      </c>
      <c r="F466" s="9">
        <v>26.0</v>
      </c>
      <c r="G466" s="9">
        <v>1997.0</v>
      </c>
      <c r="H466" s="10">
        <v>15.0</v>
      </c>
      <c r="I466" s="11">
        <v>1.14</v>
      </c>
      <c r="J466" s="11">
        <v>76.0</v>
      </c>
      <c r="K466" s="11" t="s">
        <v>146</v>
      </c>
      <c r="L466" s="11" t="s">
        <v>147</v>
      </c>
      <c r="M466" s="10">
        <v>14.0</v>
      </c>
      <c r="N466" s="11">
        <v>80.0</v>
      </c>
      <c r="O466" s="11">
        <v>6.0</v>
      </c>
      <c r="P466" s="10">
        <v>1.0</v>
      </c>
      <c r="Q466" s="11">
        <v>25.0</v>
      </c>
      <c r="R466" s="12">
        <v>0.0</v>
      </c>
      <c r="S466" s="13">
        <v>0.06458333333333334</v>
      </c>
      <c r="T466" s="11">
        <v>19.0</v>
      </c>
      <c r="U466" s="11">
        <v>19.0</v>
      </c>
      <c r="V466" s="12">
        <v>0.0</v>
      </c>
      <c r="W466" s="21">
        <v>0.0</v>
      </c>
      <c r="X466" s="15">
        <v>-0.004166666666666667</v>
      </c>
      <c r="Y466" s="16" t="s">
        <v>2227</v>
      </c>
    </row>
    <row r="467">
      <c r="A467" s="6">
        <v>449.0</v>
      </c>
      <c r="B467" s="7" t="s">
        <v>2228</v>
      </c>
      <c r="C467" s="8" t="s">
        <v>2229</v>
      </c>
      <c r="D467" s="9" t="s">
        <v>52</v>
      </c>
      <c r="E467" s="7" t="s">
        <v>2230</v>
      </c>
      <c r="F467" s="9">
        <v>26.0</v>
      </c>
      <c r="G467" s="9">
        <v>1997.0</v>
      </c>
      <c r="H467" s="10">
        <v>8.0</v>
      </c>
      <c r="I467" s="11">
        <v>417.0</v>
      </c>
      <c r="J467" s="11">
        <v>52.0</v>
      </c>
      <c r="K467" s="11" t="s">
        <v>392</v>
      </c>
      <c r="L467" s="11" t="s">
        <v>303</v>
      </c>
      <c r="M467" s="10">
        <v>5.0</v>
      </c>
      <c r="N467" s="11">
        <v>70.0</v>
      </c>
      <c r="O467" s="11">
        <v>1.0</v>
      </c>
      <c r="P467" s="10">
        <v>3.0</v>
      </c>
      <c r="Q467" s="11">
        <v>22.0</v>
      </c>
      <c r="R467" s="11">
        <v>4.0</v>
      </c>
      <c r="S467" s="13">
        <v>0.0763888888888889</v>
      </c>
      <c r="T467" s="11">
        <v>6.0</v>
      </c>
      <c r="U467" s="11">
        <v>5.0</v>
      </c>
      <c r="V467" s="14">
        <f>+1</f>
        <v>1</v>
      </c>
      <c r="W467" s="14" t="str">
        <f>+0.22</f>
        <v>#ERROR!</v>
      </c>
      <c r="X467" s="15">
        <v>-0.009722222222222222</v>
      </c>
      <c r="Y467" s="16" t="s">
        <v>2231</v>
      </c>
    </row>
    <row r="468">
      <c r="A468" s="6">
        <v>450.0</v>
      </c>
      <c r="B468" s="7" t="s">
        <v>2232</v>
      </c>
      <c r="C468" s="8" t="s">
        <v>2233</v>
      </c>
      <c r="D468" s="9" t="s">
        <v>32</v>
      </c>
      <c r="E468" s="7" t="s">
        <v>2234</v>
      </c>
      <c r="F468" s="9">
        <v>17.0</v>
      </c>
      <c r="G468" s="9">
        <v>2006.0</v>
      </c>
      <c r="H468" s="10">
        <v>2.0</v>
      </c>
      <c r="I468" s="11">
        <v>13.0</v>
      </c>
      <c r="J468" s="11">
        <v>7.0</v>
      </c>
      <c r="K468" s="11" t="s">
        <v>201</v>
      </c>
      <c r="L468" s="11" t="s">
        <v>155</v>
      </c>
      <c r="M468" s="18">
        <v>0.0</v>
      </c>
      <c r="N468" s="19"/>
      <c r="O468" s="12">
        <v>0.0</v>
      </c>
      <c r="P468" s="10">
        <v>2.0</v>
      </c>
      <c r="Q468" s="11">
        <v>7.0</v>
      </c>
      <c r="R468" s="11">
        <v>7.0</v>
      </c>
      <c r="S468" s="20">
        <v>0.0</v>
      </c>
      <c r="T468" s="12">
        <v>0.0</v>
      </c>
      <c r="U468" s="11">
        <v>1.0</v>
      </c>
      <c r="V468" s="17">
        <v>-1.0</v>
      </c>
      <c r="W468" s="15">
        <v>-0.3138888888888889</v>
      </c>
      <c r="X468" s="15">
        <v>-0.3</v>
      </c>
      <c r="Y468" s="16" t="s">
        <v>2235</v>
      </c>
    </row>
    <row r="469">
      <c r="A469" s="25" t="s">
        <v>0</v>
      </c>
      <c r="B469" s="26" t="s">
        <v>1</v>
      </c>
      <c r="C469" s="27" t="s">
        <v>2</v>
      </c>
      <c r="D469" s="27" t="s">
        <v>3</v>
      </c>
      <c r="E469" s="27" t="s">
        <v>4</v>
      </c>
      <c r="F469" s="27" t="s">
        <v>5</v>
      </c>
      <c r="G469" s="27" t="s">
        <v>6</v>
      </c>
      <c r="H469" s="28" t="s">
        <v>7</v>
      </c>
      <c r="I469" s="27" t="s">
        <v>8</v>
      </c>
      <c r="J469" s="27" t="s">
        <v>9</v>
      </c>
      <c r="K469" s="27" t="s">
        <v>10</v>
      </c>
      <c r="L469" s="27" t="s">
        <v>11</v>
      </c>
      <c r="M469" s="28" t="s">
        <v>12</v>
      </c>
      <c r="N469" s="27" t="s">
        <v>13</v>
      </c>
      <c r="O469" s="27" t="s">
        <v>14</v>
      </c>
      <c r="P469" s="28" t="s">
        <v>15</v>
      </c>
      <c r="Q469" s="27" t="s">
        <v>16</v>
      </c>
      <c r="R469" s="27" t="s">
        <v>17</v>
      </c>
      <c r="S469" s="28" t="s">
        <v>18</v>
      </c>
      <c r="T469" s="27" t="s">
        <v>19</v>
      </c>
      <c r="U469" s="27" t="s">
        <v>20</v>
      </c>
      <c r="V469" s="29" t="str">
        <f>+/-</f>
        <v>#ERROR!</v>
      </c>
      <c r="W469" s="29" t="str">
        <f>+/-90</f>
        <v>#ERROR!</v>
      </c>
      <c r="X469" s="27" t="s">
        <v>21</v>
      </c>
      <c r="Y469" s="28" t="s">
        <v>22</v>
      </c>
    </row>
    <row r="470">
      <c r="A470" s="6">
        <v>451.0</v>
      </c>
      <c r="B470" s="7" t="s">
        <v>2236</v>
      </c>
      <c r="C470" s="8" t="s">
        <v>2237</v>
      </c>
      <c r="D470" s="9" t="s">
        <v>284</v>
      </c>
      <c r="E470" s="7" t="s">
        <v>2238</v>
      </c>
      <c r="F470" s="9">
        <v>30.0</v>
      </c>
      <c r="G470" s="9">
        <v>1993.0</v>
      </c>
      <c r="H470" s="10">
        <v>14.0</v>
      </c>
      <c r="I470" s="11">
        <v>217.0</v>
      </c>
      <c r="J470" s="11">
        <v>16.0</v>
      </c>
      <c r="K470" s="11" t="s">
        <v>951</v>
      </c>
      <c r="L470" s="11" t="s">
        <v>129</v>
      </c>
      <c r="M470" s="18">
        <v>0.0</v>
      </c>
      <c r="N470" s="19"/>
      <c r="O470" s="12">
        <v>0.0</v>
      </c>
      <c r="P470" s="10">
        <v>14.0</v>
      </c>
      <c r="Q470" s="11">
        <v>16.0</v>
      </c>
      <c r="R470" s="11">
        <v>9.0</v>
      </c>
      <c r="S470" s="13">
        <v>0.10138888888888889</v>
      </c>
      <c r="T470" s="11">
        <v>3.0</v>
      </c>
      <c r="U470" s="11">
        <v>1.0</v>
      </c>
      <c r="V470" s="14">
        <f>+2</f>
        <v>2</v>
      </c>
      <c r="W470" s="14" t="str">
        <f>+0.83</f>
        <v>#ERROR!</v>
      </c>
      <c r="X470" s="14" t="str">
        <f>+0.07</f>
        <v>#ERROR!</v>
      </c>
      <c r="Y470" s="16" t="s">
        <v>2239</v>
      </c>
    </row>
    <row r="471">
      <c r="A471" s="6">
        <v>452.0</v>
      </c>
      <c r="B471" s="7" t="s">
        <v>2240</v>
      </c>
      <c r="C471" s="8" t="s">
        <v>2241</v>
      </c>
      <c r="D471" s="9" t="s">
        <v>25</v>
      </c>
      <c r="E471" s="7" t="s">
        <v>2242</v>
      </c>
      <c r="F471" s="9">
        <v>21.0</v>
      </c>
      <c r="G471" s="9">
        <v>2002.0</v>
      </c>
      <c r="H471" s="10">
        <v>29.0</v>
      </c>
      <c r="I471" s="11">
        <v>2.386</v>
      </c>
      <c r="J471" s="11">
        <v>82.0</v>
      </c>
      <c r="K471" s="11" t="s">
        <v>1479</v>
      </c>
      <c r="L471" s="11" t="s">
        <v>1480</v>
      </c>
      <c r="M471" s="10">
        <v>27.0</v>
      </c>
      <c r="N471" s="11">
        <v>87.0</v>
      </c>
      <c r="O471" s="11">
        <v>20.0</v>
      </c>
      <c r="P471" s="10">
        <v>2.0</v>
      </c>
      <c r="Q471" s="11">
        <v>21.0</v>
      </c>
      <c r="R471" s="12">
        <v>0.0</v>
      </c>
      <c r="S471" s="13">
        <v>0.09166666666666666</v>
      </c>
      <c r="T471" s="11">
        <v>37.0</v>
      </c>
      <c r="U471" s="11">
        <v>31.0</v>
      </c>
      <c r="V471" s="14">
        <f>+6</f>
        <v>6</v>
      </c>
      <c r="W471" s="14" t="str">
        <f>+0.23</f>
        <v>#ERROR!</v>
      </c>
      <c r="X471" s="15">
        <v>-0.04375</v>
      </c>
      <c r="Y471" s="16" t="s">
        <v>2243</v>
      </c>
    </row>
    <row r="472">
      <c r="A472" s="6">
        <v>453.0</v>
      </c>
      <c r="B472" s="7" t="s">
        <v>2244</v>
      </c>
      <c r="C472" s="8" t="s">
        <v>2245</v>
      </c>
      <c r="D472" s="9" t="s">
        <v>66</v>
      </c>
      <c r="E472" s="7" t="s">
        <v>2246</v>
      </c>
      <c r="F472" s="9">
        <v>32.0</v>
      </c>
      <c r="G472" s="9">
        <v>1991.0</v>
      </c>
      <c r="H472" s="10">
        <v>24.0</v>
      </c>
      <c r="I472" s="11">
        <v>1.999</v>
      </c>
      <c r="J472" s="11">
        <v>83.0</v>
      </c>
      <c r="K472" s="11" t="s">
        <v>2247</v>
      </c>
      <c r="L472" s="11" t="s">
        <v>1580</v>
      </c>
      <c r="M472" s="10">
        <v>22.0</v>
      </c>
      <c r="N472" s="11">
        <v>89.0</v>
      </c>
      <c r="O472" s="11">
        <v>19.0</v>
      </c>
      <c r="P472" s="10">
        <v>2.0</v>
      </c>
      <c r="Q472" s="11">
        <v>21.0</v>
      </c>
      <c r="R472" s="11">
        <v>1.0</v>
      </c>
      <c r="S472" s="13">
        <v>0.10972222222222222</v>
      </c>
      <c r="T472" s="11">
        <v>56.0</v>
      </c>
      <c r="U472" s="11">
        <v>13.0</v>
      </c>
      <c r="V472" s="14">
        <f>+43</f>
        <v>43</v>
      </c>
      <c r="W472" s="14" t="str">
        <f>+1.94</f>
        <v>#ERROR!</v>
      </c>
      <c r="X472" s="14" t="str">
        <f>+2.06</f>
        <v>#ERROR!</v>
      </c>
      <c r="Y472" s="16" t="s">
        <v>2248</v>
      </c>
    </row>
    <row r="473">
      <c r="A473" s="6">
        <v>454.0</v>
      </c>
      <c r="B473" s="7" t="s">
        <v>2249</v>
      </c>
      <c r="C473" s="8" t="s">
        <v>2250</v>
      </c>
      <c r="D473" s="9" t="s">
        <v>52</v>
      </c>
      <c r="E473" s="7" t="s">
        <v>2251</v>
      </c>
      <c r="F473" s="9">
        <v>24.0</v>
      </c>
      <c r="G473" s="9">
        <v>1999.0</v>
      </c>
      <c r="H473" s="10">
        <v>29.0</v>
      </c>
      <c r="I473" s="11">
        <v>2.457</v>
      </c>
      <c r="J473" s="11">
        <v>85.0</v>
      </c>
      <c r="K473" s="11" t="s">
        <v>2252</v>
      </c>
      <c r="L473" s="11" t="s">
        <v>2253</v>
      </c>
      <c r="M473" s="10">
        <v>29.0</v>
      </c>
      <c r="N473" s="11">
        <v>85.0</v>
      </c>
      <c r="O473" s="11">
        <v>20.0</v>
      </c>
      <c r="P473" s="18">
        <v>0.0</v>
      </c>
      <c r="Q473" s="19"/>
      <c r="R473" s="12">
        <v>0.0</v>
      </c>
      <c r="S473" s="13">
        <v>0.05138888888888889</v>
      </c>
      <c r="T473" s="11">
        <v>29.0</v>
      </c>
      <c r="U473" s="11">
        <v>42.0</v>
      </c>
      <c r="V473" s="17">
        <v>-13.0</v>
      </c>
      <c r="W473" s="15">
        <v>-0.03333333333333333</v>
      </c>
      <c r="X473" s="14" t="str">
        <f>+1.38</f>
        <v>#ERROR!</v>
      </c>
      <c r="Y473" s="16" t="s">
        <v>2254</v>
      </c>
    </row>
    <row r="474">
      <c r="A474" s="6">
        <v>455.0</v>
      </c>
      <c r="B474" s="7" t="s">
        <v>2255</v>
      </c>
      <c r="C474" s="8" t="s">
        <v>2256</v>
      </c>
      <c r="D474" s="9" t="s">
        <v>66</v>
      </c>
      <c r="E474" s="7" t="s">
        <v>2257</v>
      </c>
      <c r="F474" s="9">
        <v>36.0</v>
      </c>
      <c r="G474" s="9">
        <v>1987.0</v>
      </c>
      <c r="H474" s="10">
        <v>30.0</v>
      </c>
      <c r="I474" s="11">
        <v>2.684</v>
      </c>
      <c r="J474" s="11">
        <v>89.0</v>
      </c>
      <c r="K474" s="11" t="s">
        <v>2258</v>
      </c>
      <c r="L474" s="11" t="s">
        <v>2259</v>
      </c>
      <c r="M474" s="10">
        <v>30.0</v>
      </c>
      <c r="N474" s="11">
        <v>89.0</v>
      </c>
      <c r="O474" s="11">
        <v>29.0</v>
      </c>
      <c r="P474" s="18">
        <v>0.0</v>
      </c>
      <c r="Q474" s="19"/>
      <c r="R474" s="12">
        <v>0.0</v>
      </c>
      <c r="S474" s="13">
        <v>0.04375</v>
      </c>
      <c r="T474" s="11">
        <v>33.0</v>
      </c>
      <c r="U474" s="11">
        <v>43.0</v>
      </c>
      <c r="V474" s="17">
        <v>-10.0</v>
      </c>
      <c r="W474" s="15">
        <v>-0.02361111111111111</v>
      </c>
      <c r="X474" s="15">
        <v>-0.02361111111111111</v>
      </c>
      <c r="Y474" s="16" t="s">
        <v>2260</v>
      </c>
    </row>
    <row r="475">
      <c r="A475" s="6">
        <v>456.0</v>
      </c>
      <c r="B475" s="7" t="s">
        <v>2261</v>
      </c>
      <c r="C475" s="8" t="s">
        <v>2262</v>
      </c>
      <c r="D475" s="9" t="s">
        <v>66</v>
      </c>
      <c r="E475" s="7" t="s">
        <v>2263</v>
      </c>
      <c r="F475" s="9">
        <v>17.0</v>
      </c>
      <c r="G475" s="9">
        <v>2006.0</v>
      </c>
      <c r="H475" s="10">
        <v>2.0</v>
      </c>
      <c r="I475" s="11">
        <v>5.0</v>
      </c>
      <c r="J475" s="11">
        <v>3.0</v>
      </c>
      <c r="K475" s="11" t="s">
        <v>48</v>
      </c>
      <c r="L475" s="11" t="s">
        <v>155</v>
      </c>
      <c r="M475" s="18">
        <v>0.0</v>
      </c>
      <c r="N475" s="19"/>
      <c r="O475" s="12">
        <v>0.0</v>
      </c>
      <c r="P475" s="10">
        <v>2.0</v>
      </c>
      <c r="Q475" s="11">
        <v>3.0</v>
      </c>
      <c r="R475" s="11">
        <v>15.0</v>
      </c>
      <c r="S475" s="13">
        <v>0.125</v>
      </c>
      <c r="T475" s="12">
        <v>0.0</v>
      </c>
      <c r="U475" s="12">
        <v>0.0</v>
      </c>
      <c r="V475" s="12">
        <v>0.0</v>
      </c>
      <c r="W475" s="21">
        <v>0.0</v>
      </c>
      <c r="X475" s="15">
        <v>-0.020833333333333332</v>
      </c>
      <c r="Y475" s="16" t="s">
        <v>2264</v>
      </c>
    </row>
    <row r="476">
      <c r="A476" s="6">
        <v>457.0</v>
      </c>
      <c r="B476" s="7" t="s">
        <v>2265</v>
      </c>
      <c r="C476" s="8" t="s">
        <v>2266</v>
      </c>
      <c r="D476" s="9" t="s">
        <v>45</v>
      </c>
      <c r="E476" s="7" t="s">
        <v>2267</v>
      </c>
      <c r="F476" s="9">
        <v>25.0</v>
      </c>
      <c r="G476" s="9">
        <v>1998.0</v>
      </c>
      <c r="H476" s="10">
        <v>13.0</v>
      </c>
      <c r="I476" s="11">
        <v>540.0</v>
      </c>
      <c r="J476" s="11">
        <v>42.0</v>
      </c>
      <c r="K476" s="11" t="s">
        <v>654</v>
      </c>
      <c r="L476" s="11" t="s">
        <v>1485</v>
      </c>
      <c r="M476" s="10">
        <v>5.0</v>
      </c>
      <c r="N476" s="11">
        <v>67.0</v>
      </c>
      <c r="O476" s="12">
        <v>0.0</v>
      </c>
      <c r="P476" s="10">
        <v>8.0</v>
      </c>
      <c r="Q476" s="11">
        <v>25.0</v>
      </c>
      <c r="R476" s="11">
        <v>1.0</v>
      </c>
      <c r="S476" s="13">
        <v>0.052083333333333336</v>
      </c>
      <c r="T476" s="11">
        <v>8.0</v>
      </c>
      <c r="U476" s="11">
        <v>10.0</v>
      </c>
      <c r="V476" s="17">
        <v>-2.0</v>
      </c>
      <c r="W476" s="15">
        <v>-0.022916666666666665</v>
      </c>
      <c r="X476" s="14" t="str">
        <f>+0.42</f>
        <v>#ERROR!</v>
      </c>
      <c r="Y476" s="16" t="s">
        <v>2268</v>
      </c>
    </row>
    <row r="477">
      <c r="A477" s="6">
        <v>458.0</v>
      </c>
      <c r="B477" s="7" t="s">
        <v>2269</v>
      </c>
      <c r="C477" s="8" t="s">
        <v>2270</v>
      </c>
      <c r="D477" s="9" t="s">
        <v>66</v>
      </c>
      <c r="E477" s="7" t="s">
        <v>2271</v>
      </c>
      <c r="F477" s="9">
        <v>32.0</v>
      </c>
      <c r="G477" s="9">
        <v>1991.0</v>
      </c>
      <c r="H477" s="10">
        <v>28.0</v>
      </c>
      <c r="I477" s="11">
        <v>2.409</v>
      </c>
      <c r="J477" s="11">
        <v>86.0</v>
      </c>
      <c r="K477" s="11" t="s">
        <v>2272</v>
      </c>
      <c r="L477" s="11" t="s">
        <v>2273</v>
      </c>
      <c r="M477" s="10">
        <v>27.0</v>
      </c>
      <c r="N477" s="11">
        <v>89.0</v>
      </c>
      <c r="O477" s="11">
        <v>26.0</v>
      </c>
      <c r="P477" s="10">
        <v>1.0</v>
      </c>
      <c r="Q477" s="11">
        <v>5.0</v>
      </c>
      <c r="R477" s="12">
        <v>0.0</v>
      </c>
      <c r="S477" s="13">
        <v>0.04652777777777778</v>
      </c>
      <c r="T477" s="11">
        <v>33.0</v>
      </c>
      <c r="U477" s="11">
        <v>51.0</v>
      </c>
      <c r="V477" s="17">
        <v>-18.0</v>
      </c>
      <c r="W477" s="15">
        <v>-0.04652777777777778</v>
      </c>
      <c r="X477" s="15">
        <v>-0.003472222222222222</v>
      </c>
      <c r="Y477" s="16" t="s">
        <v>2274</v>
      </c>
    </row>
    <row r="478">
      <c r="A478" s="6">
        <v>459.0</v>
      </c>
      <c r="B478" s="7" t="s">
        <v>2275</v>
      </c>
      <c r="C478" s="8" t="s">
        <v>2276</v>
      </c>
      <c r="D478" s="9" t="s">
        <v>32</v>
      </c>
      <c r="E478" s="7" t="s">
        <v>2277</v>
      </c>
      <c r="F478" s="9">
        <v>19.0</v>
      </c>
      <c r="G478" s="9">
        <v>2004.0</v>
      </c>
      <c r="H478" s="10">
        <v>1.0</v>
      </c>
      <c r="I478" s="11">
        <v>1.0</v>
      </c>
      <c r="J478" s="11">
        <v>1.0</v>
      </c>
      <c r="K478" s="12" t="s">
        <v>470</v>
      </c>
      <c r="L478" s="12" t="s">
        <v>470</v>
      </c>
      <c r="M478" s="18">
        <v>0.0</v>
      </c>
      <c r="N478" s="19"/>
      <c r="O478" s="12">
        <v>0.0</v>
      </c>
      <c r="P478" s="10">
        <v>1.0</v>
      </c>
      <c r="Q478" s="11">
        <v>1.0</v>
      </c>
      <c r="R478" s="11">
        <v>5.0</v>
      </c>
      <c r="S478" s="13">
        <v>0.125</v>
      </c>
      <c r="T478" s="12">
        <v>0.0</v>
      </c>
      <c r="U478" s="12">
        <v>0.0</v>
      </c>
      <c r="V478" s="12">
        <v>0.0</v>
      </c>
      <c r="W478" s="21">
        <v>0.0</v>
      </c>
      <c r="X478" s="14" t="str">
        <f>+0.23</f>
        <v>#ERROR!</v>
      </c>
      <c r="Y478" s="16" t="s">
        <v>2278</v>
      </c>
    </row>
    <row r="479">
      <c r="A479" s="6">
        <v>460.0</v>
      </c>
      <c r="B479" s="7" t="s">
        <v>2279</v>
      </c>
      <c r="C479" s="8" t="s">
        <v>2280</v>
      </c>
      <c r="D479" s="9" t="s">
        <v>73</v>
      </c>
      <c r="E479" s="7" t="s">
        <v>2281</v>
      </c>
      <c r="F479" s="9">
        <v>23.0</v>
      </c>
      <c r="G479" s="9">
        <v>2000.0</v>
      </c>
      <c r="H479" s="10">
        <v>22.0</v>
      </c>
      <c r="I479" s="11">
        <v>1.98</v>
      </c>
      <c r="J479" s="11">
        <v>90.0</v>
      </c>
      <c r="K479" s="11" t="s">
        <v>2282</v>
      </c>
      <c r="L479" s="11" t="s">
        <v>2050</v>
      </c>
      <c r="M479" s="10">
        <v>22.0</v>
      </c>
      <c r="N479" s="11">
        <v>90.0</v>
      </c>
      <c r="O479" s="11">
        <v>22.0</v>
      </c>
      <c r="P479" s="18">
        <v>0.0</v>
      </c>
      <c r="Q479" s="19"/>
      <c r="R479" s="11">
        <v>8.0</v>
      </c>
      <c r="S479" s="13">
        <v>0.06666666666666667</v>
      </c>
      <c r="T479" s="11">
        <v>36.0</v>
      </c>
      <c r="U479" s="11">
        <v>35.0</v>
      </c>
      <c r="V479" s="14">
        <f t="shared" ref="V479:V480" si="6">+1</f>
        <v>1</v>
      </c>
      <c r="W479" s="14" t="str">
        <f>+0.05</f>
        <v>#ERROR!</v>
      </c>
      <c r="X479" s="14" t="str">
        <f>+0.05</f>
        <v>#ERROR!</v>
      </c>
      <c r="Y479" s="16" t="s">
        <v>2283</v>
      </c>
    </row>
    <row r="480">
      <c r="A480" s="6">
        <v>461.0</v>
      </c>
      <c r="B480" s="7" t="s">
        <v>2284</v>
      </c>
      <c r="C480" s="8" t="s">
        <v>2285</v>
      </c>
      <c r="D480" s="9" t="s">
        <v>52</v>
      </c>
      <c r="E480" s="7" t="s">
        <v>2286</v>
      </c>
      <c r="F480" s="9">
        <v>17.0</v>
      </c>
      <c r="G480" s="9">
        <v>2006.0</v>
      </c>
      <c r="H480" s="10">
        <v>7.0</v>
      </c>
      <c r="I480" s="11">
        <v>36.0</v>
      </c>
      <c r="J480" s="11">
        <v>5.0</v>
      </c>
      <c r="K480" s="11" t="s">
        <v>624</v>
      </c>
      <c r="L480" s="11" t="s">
        <v>318</v>
      </c>
      <c r="M480" s="18">
        <v>0.0</v>
      </c>
      <c r="N480" s="19"/>
      <c r="O480" s="12">
        <v>0.0</v>
      </c>
      <c r="P480" s="10">
        <v>7.0</v>
      </c>
      <c r="Q480" s="11">
        <v>5.0</v>
      </c>
      <c r="R480" s="11">
        <v>7.0</v>
      </c>
      <c r="S480" s="13">
        <v>0.10138888888888889</v>
      </c>
      <c r="T480" s="11">
        <v>2.0</v>
      </c>
      <c r="U480" s="11">
        <v>1.0</v>
      </c>
      <c r="V480" s="14">
        <f t="shared" si="6"/>
        <v>1</v>
      </c>
      <c r="W480" s="14" t="str">
        <f>+2.50</f>
        <v>#ERROR!</v>
      </c>
      <c r="X480" s="14" t="str">
        <f>+1.76</f>
        <v>#ERROR!</v>
      </c>
      <c r="Y480" s="16" t="s">
        <v>2287</v>
      </c>
    </row>
    <row r="481">
      <c r="A481" s="6">
        <v>462.0</v>
      </c>
      <c r="B481" s="7" t="s">
        <v>2288</v>
      </c>
      <c r="C481" s="8" t="s">
        <v>2289</v>
      </c>
      <c r="D481" s="9" t="s">
        <v>52</v>
      </c>
      <c r="E481" s="7" t="s">
        <v>2290</v>
      </c>
      <c r="F481" s="9">
        <v>26.0</v>
      </c>
      <c r="G481" s="9">
        <v>1997.0</v>
      </c>
      <c r="H481" s="10">
        <v>29.0</v>
      </c>
      <c r="I481" s="11">
        <v>2.245</v>
      </c>
      <c r="J481" s="11">
        <v>77.0</v>
      </c>
      <c r="K481" s="11" t="s">
        <v>1253</v>
      </c>
      <c r="L481" s="11" t="s">
        <v>701</v>
      </c>
      <c r="M481" s="10">
        <v>25.0</v>
      </c>
      <c r="N481" s="11">
        <v>86.0</v>
      </c>
      <c r="O481" s="11">
        <v>15.0</v>
      </c>
      <c r="P481" s="10">
        <v>4.0</v>
      </c>
      <c r="Q481" s="11">
        <v>27.0</v>
      </c>
      <c r="R481" s="12">
        <v>0.0</v>
      </c>
      <c r="S481" s="13">
        <v>0.09444444444444444</v>
      </c>
      <c r="T481" s="11">
        <v>43.0</v>
      </c>
      <c r="U481" s="11">
        <v>20.0</v>
      </c>
      <c r="V481" s="14">
        <f>+23</f>
        <v>23</v>
      </c>
      <c r="W481" s="14" t="str">
        <f>+0.92</f>
        <v>#ERROR!</v>
      </c>
      <c r="X481" s="14" t="str">
        <f>+0.92</f>
        <v>#ERROR!</v>
      </c>
      <c r="Y481" s="16" t="s">
        <v>2291</v>
      </c>
    </row>
    <row r="482">
      <c r="A482" s="6">
        <v>463.0</v>
      </c>
      <c r="B482" s="7" t="s">
        <v>2292</v>
      </c>
      <c r="C482" s="8" t="s">
        <v>2293</v>
      </c>
      <c r="D482" s="9" t="s">
        <v>66</v>
      </c>
      <c r="E482" s="7" t="s">
        <v>2294</v>
      </c>
      <c r="F482" s="9">
        <v>28.0</v>
      </c>
      <c r="G482" s="9">
        <v>1995.0</v>
      </c>
      <c r="H482" s="10">
        <v>27.0</v>
      </c>
      <c r="I482" s="11">
        <v>2.089</v>
      </c>
      <c r="J482" s="11">
        <v>77.0</v>
      </c>
      <c r="K482" s="11" t="s">
        <v>2295</v>
      </c>
      <c r="L482" s="11" t="s">
        <v>1236</v>
      </c>
      <c r="M482" s="10">
        <v>24.0</v>
      </c>
      <c r="N482" s="11">
        <v>82.0</v>
      </c>
      <c r="O482" s="11">
        <v>18.0</v>
      </c>
      <c r="P482" s="10">
        <v>3.0</v>
      </c>
      <c r="Q482" s="11">
        <v>37.0</v>
      </c>
      <c r="R482" s="11">
        <v>2.0</v>
      </c>
      <c r="S482" s="13">
        <v>0.09791666666666667</v>
      </c>
      <c r="T482" s="11">
        <v>36.0</v>
      </c>
      <c r="U482" s="11">
        <v>26.0</v>
      </c>
      <c r="V482" s="14">
        <f>+10</f>
        <v>10</v>
      </c>
      <c r="W482" s="14" t="str">
        <f>+0.43</f>
        <v>#ERROR!</v>
      </c>
      <c r="X482" s="14" t="str">
        <f>+0.43</f>
        <v>#ERROR!</v>
      </c>
      <c r="Y482" s="16" t="s">
        <v>2296</v>
      </c>
    </row>
    <row r="483">
      <c r="A483" s="6">
        <v>464.0</v>
      </c>
      <c r="B483" s="7" t="s">
        <v>2297</v>
      </c>
      <c r="C483" s="8" t="s">
        <v>2298</v>
      </c>
      <c r="D483" s="9" t="s">
        <v>284</v>
      </c>
      <c r="E483" s="7" t="s">
        <v>2299</v>
      </c>
      <c r="F483" s="9">
        <v>25.0</v>
      </c>
      <c r="G483" s="9">
        <v>1998.0</v>
      </c>
      <c r="H483" s="10">
        <v>13.0</v>
      </c>
      <c r="I483" s="11">
        <v>589.0</v>
      </c>
      <c r="J483" s="11">
        <v>45.0</v>
      </c>
      <c r="K483" s="11" t="s">
        <v>494</v>
      </c>
      <c r="L483" s="11" t="s">
        <v>1364</v>
      </c>
      <c r="M483" s="10">
        <v>6.0</v>
      </c>
      <c r="N483" s="11">
        <v>83.0</v>
      </c>
      <c r="O483" s="11">
        <v>5.0</v>
      </c>
      <c r="P483" s="10">
        <v>7.0</v>
      </c>
      <c r="Q483" s="11">
        <v>13.0</v>
      </c>
      <c r="R483" s="11">
        <v>14.0</v>
      </c>
      <c r="S483" s="13">
        <v>0.10555555555555556</v>
      </c>
      <c r="T483" s="11">
        <v>11.0</v>
      </c>
      <c r="U483" s="11">
        <v>7.0</v>
      </c>
      <c r="V483" s="14">
        <f>+4</f>
        <v>4</v>
      </c>
      <c r="W483" s="14" t="str">
        <f>+0.61</f>
        <v>#ERROR!</v>
      </c>
      <c r="X483" s="14" t="str">
        <f>+0.36</f>
        <v>#ERROR!</v>
      </c>
      <c r="Y483" s="16" t="s">
        <v>2300</v>
      </c>
    </row>
    <row r="484">
      <c r="A484" s="6">
        <v>465.0</v>
      </c>
      <c r="B484" s="7" t="s">
        <v>2301</v>
      </c>
      <c r="C484" s="8" t="s">
        <v>2302</v>
      </c>
      <c r="D484" s="9" t="s">
        <v>59</v>
      </c>
      <c r="E484" s="7" t="s">
        <v>2303</v>
      </c>
      <c r="F484" s="9">
        <v>31.0</v>
      </c>
      <c r="G484" s="9">
        <v>1992.0</v>
      </c>
      <c r="H484" s="10">
        <v>23.0</v>
      </c>
      <c r="I484" s="11">
        <v>1.692</v>
      </c>
      <c r="J484" s="11">
        <v>74.0</v>
      </c>
      <c r="K484" s="11" t="s">
        <v>2304</v>
      </c>
      <c r="L484" s="11" t="s">
        <v>262</v>
      </c>
      <c r="M484" s="10">
        <v>21.0</v>
      </c>
      <c r="N484" s="11">
        <v>79.0</v>
      </c>
      <c r="O484" s="11">
        <v>9.0</v>
      </c>
      <c r="P484" s="10">
        <v>2.0</v>
      </c>
      <c r="Q484" s="11">
        <v>19.0</v>
      </c>
      <c r="R484" s="11">
        <v>1.0</v>
      </c>
      <c r="S484" s="13">
        <v>0.06319444444444444</v>
      </c>
      <c r="T484" s="11">
        <v>14.0</v>
      </c>
      <c r="U484" s="11">
        <v>27.0</v>
      </c>
      <c r="V484" s="17">
        <v>-13.0</v>
      </c>
      <c r="W484" s="15">
        <v>-0.04791666666666667</v>
      </c>
      <c r="X484" s="15">
        <v>-0.06666666666666667</v>
      </c>
      <c r="Y484" s="16" t="s">
        <v>2305</v>
      </c>
    </row>
    <row r="485">
      <c r="A485" s="6">
        <v>466.0</v>
      </c>
      <c r="B485" s="7" t="s">
        <v>2306</v>
      </c>
      <c r="C485" s="8" t="s">
        <v>2307</v>
      </c>
      <c r="D485" s="9" t="s">
        <v>52</v>
      </c>
      <c r="E485" s="7" t="s">
        <v>2308</v>
      </c>
      <c r="F485" s="9">
        <v>17.0</v>
      </c>
      <c r="G485" s="9">
        <v>2006.0</v>
      </c>
      <c r="H485" s="18">
        <v>0.0</v>
      </c>
      <c r="I485" s="19"/>
      <c r="J485" s="19"/>
      <c r="K485" s="19"/>
      <c r="L485" s="19"/>
      <c r="M485" s="18">
        <v>0.0</v>
      </c>
      <c r="N485" s="19"/>
      <c r="O485" s="12">
        <v>0.0</v>
      </c>
      <c r="P485" s="18">
        <v>0.0</v>
      </c>
      <c r="Q485" s="19"/>
      <c r="R485" s="11">
        <v>4.0</v>
      </c>
      <c r="S485" s="24"/>
      <c r="T485" s="19"/>
      <c r="U485" s="19"/>
      <c r="V485" s="19"/>
      <c r="W485" s="19"/>
      <c r="X485" s="19"/>
      <c r="Y485" s="16" t="s">
        <v>2309</v>
      </c>
    </row>
    <row r="486">
      <c r="A486" s="6">
        <v>467.0</v>
      </c>
      <c r="B486" s="7" t="s">
        <v>2310</v>
      </c>
      <c r="C486" s="8" t="s">
        <v>2311</v>
      </c>
      <c r="D486" s="9" t="s">
        <v>52</v>
      </c>
      <c r="E486" s="7" t="s">
        <v>2312</v>
      </c>
      <c r="F486" s="9">
        <v>18.0</v>
      </c>
      <c r="G486" s="9">
        <v>2005.0</v>
      </c>
      <c r="H486" s="10">
        <v>2.0</v>
      </c>
      <c r="I486" s="11">
        <v>29.0</v>
      </c>
      <c r="J486" s="11">
        <v>15.0</v>
      </c>
      <c r="K486" s="11" t="s">
        <v>443</v>
      </c>
      <c r="L486" s="11" t="s">
        <v>195</v>
      </c>
      <c r="M486" s="18">
        <v>0.0</v>
      </c>
      <c r="N486" s="19"/>
      <c r="O486" s="12">
        <v>0.0</v>
      </c>
      <c r="P486" s="10">
        <v>2.0</v>
      </c>
      <c r="Q486" s="11">
        <v>15.0</v>
      </c>
      <c r="R486" s="11">
        <v>11.0</v>
      </c>
      <c r="S486" s="13">
        <v>0.125</v>
      </c>
      <c r="T486" s="11">
        <v>1.0</v>
      </c>
      <c r="U486" s="12">
        <v>0.0</v>
      </c>
      <c r="V486" s="14">
        <f>+1</f>
        <v>1</v>
      </c>
      <c r="W486" s="14" t="str">
        <f>+3.10</f>
        <v>#ERROR!</v>
      </c>
      <c r="X486" s="14" t="str">
        <f>+2.83</f>
        <v>#ERROR!</v>
      </c>
      <c r="Y486" s="16" t="s">
        <v>2313</v>
      </c>
    </row>
    <row r="487">
      <c r="A487" s="6">
        <v>468.0</v>
      </c>
      <c r="B487" s="7" t="s">
        <v>2314</v>
      </c>
      <c r="C487" s="8" t="s">
        <v>2315</v>
      </c>
      <c r="D487" s="9" t="s">
        <v>59</v>
      </c>
      <c r="E487" s="7" t="s">
        <v>2316</v>
      </c>
      <c r="F487" s="9">
        <v>23.0</v>
      </c>
      <c r="G487" s="9">
        <v>2001.0</v>
      </c>
      <c r="H487" s="10">
        <v>29.0</v>
      </c>
      <c r="I487" s="11">
        <v>2.581</v>
      </c>
      <c r="J487" s="11">
        <v>89.0</v>
      </c>
      <c r="K487" s="11" t="s">
        <v>2317</v>
      </c>
      <c r="L487" s="11" t="s">
        <v>2318</v>
      </c>
      <c r="M487" s="10">
        <v>29.0</v>
      </c>
      <c r="N487" s="11">
        <v>89.0</v>
      </c>
      <c r="O487" s="11">
        <v>25.0</v>
      </c>
      <c r="P487" s="18">
        <v>0.0</v>
      </c>
      <c r="Q487" s="19"/>
      <c r="R487" s="12">
        <v>0.0</v>
      </c>
      <c r="S487" s="13">
        <v>0.04652777777777778</v>
      </c>
      <c r="T487" s="11">
        <v>43.0</v>
      </c>
      <c r="U487" s="11">
        <v>53.0</v>
      </c>
      <c r="V487" s="17">
        <v>-10.0</v>
      </c>
      <c r="W487" s="15">
        <v>-0.024305555555555556</v>
      </c>
      <c r="X487" s="15">
        <v>-0.12638888888888888</v>
      </c>
      <c r="Y487" s="16" t="s">
        <v>2319</v>
      </c>
    </row>
    <row r="488">
      <c r="A488" s="6">
        <v>469.0</v>
      </c>
      <c r="B488" s="7" t="s">
        <v>2320</v>
      </c>
      <c r="C488" s="8" t="s">
        <v>2321</v>
      </c>
      <c r="D488" s="9" t="s">
        <v>284</v>
      </c>
      <c r="E488" s="7" t="s">
        <v>2322</v>
      </c>
      <c r="F488" s="9">
        <v>32.0</v>
      </c>
      <c r="G488" s="9">
        <v>1991.0</v>
      </c>
      <c r="H488" s="10">
        <v>3.0</v>
      </c>
      <c r="I488" s="11">
        <v>35.0</v>
      </c>
      <c r="J488" s="11">
        <v>12.0</v>
      </c>
      <c r="K488" s="11" t="s">
        <v>624</v>
      </c>
      <c r="L488" s="11" t="s">
        <v>318</v>
      </c>
      <c r="M488" s="18">
        <v>0.0</v>
      </c>
      <c r="N488" s="19"/>
      <c r="O488" s="12">
        <v>0.0</v>
      </c>
      <c r="P488" s="10">
        <v>3.0</v>
      </c>
      <c r="Q488" s="11">
        <v>12.0</v>
      </c>
      <c r="R488" s="11">
        <v>2.0</v>
      </c>
      <c r="S488" s="13">
        <v>0.08333333333333333</v>
      </c>
      <c r="T488" s="11">
        <v>1.0</v>
      </c>
      <c r="U488" s="11">
        <v>1.0</v>
      </c>
      <c r="V488" s="12">
        <v>0.0</v>
      </c>
      <c r="W488" s="21">
        <v>0.0</v>
      </c>
      <c r="X488" s="15">
        <v>-0.07083333333333333</v>
      </c>
      <c r="Y488" s="16" t="s">
        <v>2323</v>
      </c>
    </row>
    <row r="489">
      <c r="A489" s="6">
        <v>470.0</v>
      </c>
      <c r="B489" s="7" t="s">
        <v>2324</v>
      </c>
      <c r="C489" s="8" t="s">
        <v>2325</v>
      </c>
      <c r="D489" s="9" t="s">
        <v>66</v>
      </c>
      <c r="E489" s="7" t="s">
        <v>2326</v>
      </c>
      <c r="F489" s="9">
        <v>18.0</v>
      </c>
      <c r="G489" s="9">
        <v>2005.0</v>
      </c>
      <c r="H489" s="10">
        <v>2.0</v>
      </c>
      <c r="I489" s="11">
        <v>14.0</v>
      </c>
      <c r="J489" s="11">
        <v>7.0</v>
      </c>
      <c r="K489" s="11" t="s">
        <v>201</v>
      </c>
      <c r="L489" s="11" t="s">
        <v>48</v>
      </c>
      <c r="M489" s="18">
        <v>0.0</v>
      </c>
      <c r="N489" s="19"/>
      <c r="O489" s="12">
        <v>0.0</v>
      </c>
      <c r="P489" s="10">
        <v>2.0</v>
      </c>
      <c r="Q489" s="11">
        <v>7.0</v>
      </c>
      <c r="R489" s="11">
        <v>13.0</v>
      </c>
      <c r="S489" s="13">
        <v>0.0763888888888889</v>
      </c>
      <c r="T489" s="11">
        <v>1.0</v>
      </c>
      <c r="U489" s="12">
        <v>0.0</v>
      </c>
      <c r="V489" s="14">
        <f>+1</f>
        <v>1</v>
      </c>
      <c r="W489" s="14" t="str">
        <f>+6.43</f>
        <v>#ERROR!</v>
      </c>
      <c r="X489" s="14" t="str">
        <f>+6.80</f>
        <v>#ERROR!</v>
      </c>
      <c r="Y489" s="16" t="s">
        <v>2327</v>
      </c>
    </row>
    <row r="490">
      <c r="A490" s="6">
        <v>471.0</v>
      </c>
      <c r="B490" s="7" t="s">
        <v>2328</v>
      </c>
      <c r="C490" s="8" t="s">
        <v>2329</v>
      </c>
      <c r="D490" s="9" t="s">
        <v>73</v>
      </c>
      <c r="E490" s="7" t="s">
        <v>2330</v>
      </c>
      <c r="F490" s="9">
        <v>21.0</v>
      </c>
      <c r="G490" s="9">
        <v>2002.0</v>
      </c>
      <c r="H490" s="10">
        <v>27.0</v>
      </c>
      <c r="I490" s="11">
        <v>2.383</v>
      </c>
      <c r="J490" s="11">
        <v>88.0</v>
      </c>
      <c r="K490" s="11" t="s">
        <v>2331</v>
      </c>
      <c r="L490" s="11" t="s">
        <v>1480</v>
      </c>
      <c r="M490" s="10">
        <v>27.0</v>
      </c>
      <c r="N490" s="11">
        <v>88.0</v>
      </c>
      <c r="O490" s="11">
        <v>26.0</v>
      </c>
      <c r="P490" s="18">
        <v>0.0</v>
      </c>
      <c r="Q490" s="19"/>
      <c r="R490" s="11">
        <v>3.0</v>
      </c>
      <c r="S490" s="13">
        <v>0.09027777777777778</v>
      </c>
      <c r="T490" s="11">
        <v>39.0</v>
      </c>
      <c r="U490" s="11">
        <v>29.0</v>
      </c>
      <c r="V490" s="14">
        <f>+10</f>
        <v>10</v>
      </c>
      <c r="W490" s="14" t="str">
        <f>+0.38</f>
        <v>#ERROR!</v>
      </c>
      <c r="X490" s="14" t="str">
        <f>+0.66</f>
        <v>#ERROR!</v>
      </c>
      <c r="Y490" s="16" t="s">
        <v>2332</v>
      </c>
    </row>
    <row r="491">
      <c r="A491" s="6">
        <v>472.0</v>
      </c>
      <c r="B491" s="7" t="s">
        <v>2333</v>
      </c>
      <c r="C491" s="8" t="s">
        <v>2334</v>
      </c>
      <c r="D491" s="9" t="s">
        <v>52</v>
      </c>
      <c r="E491" s="7" t="s">
        <v>2335</v>
      </c>
      <c r="F491" s="9">
        <v>17.0</v>
      </c>
      <c r="G491" s="9">
        <v>2006.0</v>
      </c>
      <c r="H491" s="10">
        <v>23.0</v>
      </c>
      <c r="I491" s="11">
        <v>1.692</v>
      </c>
      <c r="J491" s="11">
        <v>74.0</v>
      </c>
      <c r="K491" s="11" t="s">
        <v>2304</v>
      </c>
      <c r="L491" s="11" t="s">
        <v>262</v>
      </c>
      <c r="M491" s="10">
        <v>20.0</v>
      </c>
      <c r="N491" s="11">
        <v>81.0</v>
      </c>
      <c r="O491" s="11">
        <v>4.0</v>
      </c>
      <c r="P491" s="10">
        <v>3.0</v>
      </c>
      <c r="Q491" s="11">
        <v>26.0</v>
      </c>
      <c r="R491" s="11">
        <v>5.0</v>
      </c>
      <c r="S491" s="13">
        <v>0.10486111111111111</v>
      </c>
      <c r="T491" s="11">
        <v>31.0</v>
      </c>
      <c r="U491" s="11">
        <v>9.0</v>
      </c>
      <c r="V491" s="14">
        <f>+22</f>
        <v>22</v>
      </c>
      <c r="W491" s="14" t="str">
        <f>+1.17</f>
        <v>#ERROR!</v>
      </c>
      <c r="X491" s="14" t="str">
        <f>+1.08</f>
        <v>#ERROR!</v>
      </c>
      <c r="Y491" s="16" t="s">
        <v>2336</v>
      </c>
    </row>
    <row r="492">
      <c r="A492" s="6">
        <v>473.0</v>
      </c>
      <c r="B492" s="7" t="s">
        <v>2337</v>
      </c>
      <c r="C492" s="8" t="s">
        <v>2338</v>
      </c>
      <c r="D492" s="9" t="s">
        <v>45</v>
      </c>
      <c r="E492" s="7" t="s">
        <v>2339</v>
      </c>
      <c r="F492" s="9">
        <v>23.0</v>
      </c>
      <c r="G492" s="9">
        <v>2000.0</v>
      </c>
      <c r="H492" s="10">
        <v>17.0</v>
      </c>
      <c r="I492" s="11">
        <v>1.493</v>
      </c>
      <c r="J492" s="11">
        <v>88.0</v>
      </c>
      <c r="K492" s="11" t="s">
        <v>2340</v>
      </c>
      <c r="L492" s="11" t="s">
        <v>55</v>
      </c>
      <c r="M492" s="10">
        <v>17.0</v>
      </c>
      <c r="N492" s="11">
        <v>88.0</v>
      </c>
      <c r="O492" s="11">
        <v>13.0</v>
      </c>
      <c r="P492" s="18">
        <v>0.0</v>
      </c>
      <c r="Q492" s="19"/>
      <c r="R492" s="12">
        <v>0.0</v>
      </c>
      <c r="S492" s="13">
        <v>0.06527777777777778</v>
      </c>
      <c r="T492" s="11">
        <v>22.0</v>
      </c>
      <c r="U492" s="11">
        <v>37.0</v>
      </c>
      <c r="V492" s="17">
        <v>-15.0</v>
      </c>
      <c r="W492" s="15">
        <v>-0.0625</v>
      </c>
      <c r="X492" s="15">
        <v>-0.03680555555555556</v>
      </c>
      <c r="Y492" s="16" t="s">
        <v>2341</v>
      </c>
    </row>
    <row r="493">
      <c r="A493" s="6">
        <v>474.0</v>
      </c>
      <c r="B493" s="7" t="s">
        <v>2342</v>
      </c>
      <c r="C493" s="8" t="s">
        <v>2343</v>
      </c>
      <c r="D493" s="9" t="s">
        <v>66</v>
      </c>
      <c r="E493" s="7" t="s">
        <v>2344</v>
      </c>
      <c r="F493" s="9">
        <v>28.0</v>
      </c>
      <c r="G493" s="9">
        <v>1995.0</v>
      </c>
      <c r="H493" s="10">
        <v>26.0</v>
      </c>
      <c r="I493" s="11">
        <v>1.564</v>
      </c>
      <c r="J493" s="11">
        <v>60.0</v>
      </c>
      <c r="K493" s="11" t="s">
        <v>2345</v>
      </c>
      <c r="L493" s="11" t="s">
        <v>1034</v>
      </c>
      <c r="M493" s="10">
        <v>19.0</v>
      </c>
      <c r="N493" s="11">
        <v>73.0</v>
      </c>
      <c r="O493" s="11">
        <v>4.0</v>
      </c>
      <c r="P493" s="10">
        <v>7.0</v>
      </c>
      <c r="Q493" s="11">
        <v>24.0</v>
      </c>
      <c r="R493" s="11">
        <v>2.0</v>
      </c>
      <c r="S493" s="13">
        <v>0.052083333333333336</v>
      </c>
      <c r="T493" s="11">
        <v>16.0</v>
      </c>
      <c r="U493" s="11">
        <v>18.0</v>
      </c>
      <c r="V493" s="17">
        <v>-2.0</v>
      </c>
      <c r="W493" s="15">
        <v>-0.008333333333333333</v>
      </c>
      <c r="X493" s="14" t="str">
        <f>+0.52</f>
        <v>#ERROR!</v>
      </c>
      <c r="Y493" s="16" t="s">
        <v>2346</v>
      </c>
    </row>
    <row r="494">
      <c r="A494" s="6">
        <v>475.0</v>
      </c>
      <c r="B494" s="7" t="s">
        <v>2347</v>
      </c>
      <c r="C494" s="8" t="s">
        <v>2348</v>
      </c>
      <c r="D494" s="9" t="s">
        <v>32</v>
      </c>
      <c r="E494" s="7" t="s">
        <v>2349</v>
      </c>
      <c r="F494" s="9">
        <v>20.0</v>
      </c>
      <c r="G494" s="9">
        <v>2003.0</v>
      </c>
      <c r="H494" s="18">
        <v>0.0</v>
      </c>
      <c r="I494" s="19"/>
      <c r="J494" s="19"/>
      <c r="K494" s="19"/>
      <c r="L494" s="19"/>
      <c r="M494" s="18">
        <v>0.0</v>
      </c>
      <c r="N494" s="19"/>
      <c r="O494" s="12">
        <v>0.0</v>
      </c>
      <c r="P494" s="18">
        <v>0.0</v>
      </c>
      <c r="Q494" s="19"/>
      <c r="R494" s="11">
        <v>2.0</v>
      </c>
      <c r="S494" s="24"/>
      <c r="T494" s="19"/>
      <c r="U494" s="19"/>
      <c r="V494" s="19"/>
      <c r="W494" s="19"/>
      <c r="X494" s="19"/>
      <c r="Y494" s="16" t="s">
        <v>2350</v>
      </c>
    </row>
    <row r="495">
      <c r="A495" s="25" t="s">
        <v>0</v>
      </c>
      <c r="B495" s="26" t="s">
        <v>1</v>
      </c>
      <c r="C495" s="27" t="s">
        <v>2</v>
      </c>
      <c r="D495" s="27" t="s">
        <v>3</v>
      </c>
      <c r="E495" s="27" t="s">
        <v>4</v>
      </c>
      <c r="F495" s="27" t="s">
        <v>5</v>
      </c>
      <c r="G495" s="27" t="s">
        <v>6</v>
      </c>
      <c r="H495" s="28" t="s">
        <v>7</v>
      </c>
      <c r="I495" s="27" t="s">
        <v>8</v>
      </c>
      <c r="J495" s="27" t="s">
        <v>9</v>
      </c>
      <c r="K495" s="27" t="s">
        <v>10</v>
      </c>
      <c r="L495" s="27" t="s">
        <v>11</v>
      </c>
      <c r="M495" s="28" t="s">
        <v>12</v>
      </c>
      <c r="N495" s="27" t="s">
        <v>13</v>
      </c>
      <c r="O495" s="27" t="s">
        <v>14</v>
      </c>
      <c r="P495" s="28" t="s">
        <v>15</v>
      </c>
      <c r="Q495" s="27" t="s">
        <v>16</v>
      </c>
      <c r="R495" s="27" t="s">
        <v>17</v>
      </c>
      <c r="S495" s="28" t="s">
        <v>18</v>
      </c>
      <c r="T495" s="27" t="s">
        <v>19</v>
      </c>
      <c r="U495" s="27" t="s">
        <v>20</v>
      </c>
      <c r="V495" s="29" t="str">
        <f>+/-</f>
        <v>#ERROR!</v>
      </c>
      <c r="W495" s="29" t="str">
        <f>+/-90</f>
        <v>#ERROR!</v>
      </c>
      <c r="X495" s="27" t="s">
        <v>21</v>
      </c>
      <c r="Y495" s="28" t="s">
        <v>22</v>
      </c>
    </row>
    <row r="496">
      <c r="A496" s="6">
        <v>476.0</v>
      </c>
      <c r="B496" s="7" t="s">
        <v>2351</v>
      </c>
      <c r="C496" s="8" t="s">
        <v>2352</v>
      </c>
      <c r="D496" s="9" t="s">
        <v>32</v>
      </c>
      <c r="E496" s="7" t="s">
        <v>2353</v>
      </c>
      <c r="F496" s="9">
        <v>29.0</v>
      </c>
      <c r="G496" s="9">
        <v>1994.0</v>
      </c>
      <c r="H496" s="10">
        <v>15.0</v>
      </c>
      <c r="I496" s="11">
        <v>603.0</v>
      </c>
      <c r="J496" s="11">
        <v>40.0</v>
      </c>
      <c r="K496" s="11" t="s">
        <v>1018</v>
      </c>
      <c r="L496" s="11" t="s">
        <v>412</v>
      </c>
      <c r="M496" s="10">
        <v>5.0</v>
      </c>
      <c r="N496" s="11">
        <v>72.0</v>
      </c>
      <c r="O496" s="11">
        <v>1.0</v>
      </c>
      <c r="P496" s="10">
        <v>10.0</v>
      </c>
      <c r="Q496" s="11">
        <v>24.0</v>
      </c>
      <c r="R496" s="11">
        <v>2.0</v>
      </c>
      <c r="S496" s="13">
        <v>0.06041666666666667</v>
      </c>
      <c r="T496" s="11">
        <v>5.0</v>
      </c>
      <c r="U496" s="11">
        <v>15.0</v>
      </c>
      <c r="V496" s="17">
        <v>-10.0</v>
      </c>
      <c r="W496" s="15">
        <v>-0.07569444444444444</v>
      </c>
      <c r="X496" s="15">
        <v>-0.052083333333333336</v>
      </c>
      <c r="Y496" s="16" t="s">
        <v>2354</v>
      </c>
    </row>
    <row r="497">
      <c r="A497" s="6">
        <v>477.0</v>
      </c>
      <c r="B497" s="7" t="s">
        <v>2355</v>
      </c>
      <c r="C497" s="8" t="s">
        <v>2356</v>
      </c>
      <c r="D497" s="9" t="s">
        <v>32</v>
      </c>
      <c r="E497" s="7" t="s">
        <v>2357</v>
      </c>
      <c r="F497" s="9">
        <v>29.0</v>
      </c>
      <c r="G497" s="9">
        <v>1994.0</v>
      </c>
      <c r="H497" s="10">
        <v>5.0</v>
      </c>
      <c r="I497" s="11">
        <v>201.0</v>
      </c>
      <c r="J497" s="11">
        <v>40.0</v>
      </c>
      <c r="K497" s="11" t="s">
        <v>251</v>
      </c>
      <c r="L497" s="11" t="s">
        <v>680</v>
      </c>
      <c r="M497" s="10">
        <v>2.0</v>
      </c>
      <c r="N497" s="11">
        <v>57.0</v>
      </c>
      <c r="O497" s="12">
        <v>0.0</v>
      </c>
      <c r="P497" s="10">
        <v>3.0</v>
      </c>
      <c r="Q497" s="11">
        <v>29.0</v>
      </c>
      <c r="R497" s="11">
        <v>8.0</v>
      </c>
      <c r="S497" s="13">
        <v>0.1111111111111111</v>
      </c>
      <c r="T497" s="11">
        <v>4.0</v>
      </c>
      <c r="U497" s="11">
        <v>1.0</v>
      </c>
      <c r="V497" s="14">
        <f>+3</f>
        <v>3</v>
      </c>
      <c r="W497" s="14" t="str">
        <f>+1.34</f>
        <v>#ERROR!</v>
      </c>
      <c r="X497" s="14" t="str">
        <f>+1.34</f>
        <v>#ERROR!</v>
      </c>
      <c r="Y497" s="16" t="s">
        <v>2358</v>
      </c>
    </row>
    <row r="498">
      <c r="A498" s="6">
        <v>478.0</v>
      </c>
      <c r="B498" s="7" t="s">
        <v>2359</v>
      </c>
      <c r="C498" s="8" t="s">
        <v>2360</v>
      </c>
      <c r="D498" s="9" t="s">
        <v>32</v>
      </c>
      <c r="E498" s="7" t="s">
        <v>2361</v>
      </c>
      <c r="F498" s="9">
        <v>21.0</v>
      </c>
      <c r="G498" s="9">
        <v>2002.0</v>
      </c>
      <c r="H498" s="10">
        <v>3.0</v>
      </c>
      <c r="I498" s="11">
        <v>53.0</v>
      </c>
      <c r="J498" s="11">
        <v>18.0</v>
      </c>
      <c r="K498" s="11" t="s">
        <v>413</v>
      </c>
      <c r="L498" s="11" t="s">
        <v>47</v>
      </c>
      <c r="M498" s="18">
        <v>0.0</v>
      </c>
      <c r="N498" s="19"/>
      <c r="O498" s="12">
        <v>0.0</v>
      </c>
      <c r="P498" s="10">
        <v>3.0</v>
      </c>
      <c r="Q498" s="11">
        <v>18.0</v>
      </c>
      <c r="R498" s="11">
        <v>7.0</v>
      </c>
      <c r="S498" s="13">
        <v>0.041666666666666664</v>
      </c>
      <c r="T498" s="12">
        <v>0.0</v>
      </c>
      <c r="U498" s="12">
        <v>0.0</v>
      </c>
      <c r="V498" s="12">
        <v>0.0</v>
      </c>
      <c r="W498" s="21">
        <v>0.0</v>
      </c>
      <c r="X498" s="15">
        <v>-0.011805555555555555</v>
      </c>
      <c r="Y498" s="16" t="s">
        <v>2362</v>
      </c>
    </row>
    <row r="499">
      <c r="A499" s="6">
        <v>479.0</v>
      </c>
      <c r="B499" s="7" t="s">
        <v>2363</v>
      </c>
      <c r="C499" s="8" t="s">
        <v>2364</v>
      </c>
      <c r="D499" s="9" t="s">
        <v>32</v>
      </c>
      <c r="E499" s="7" t="s">
        <v>2365</v>
      </c>
      <c r="F499" s="9">
        <v>17.0</v>
      </c>
      <c r="G499" s="9">
        <v>2006.0</v>
      </c>
      <c r="H499" s="18">
        <v>0.0</v>
      </c>
      <c r="I499" s="19"/>
      <c r="J499" s="19"/>
      <c r="K499" s="19"/>
      <c r="L499" s="19"/>
      <c r="M499" s="18">
        <v>0.0</v>
      </c>
      <c r="N499" s="19"/>
      <c r="O499" s="12">
        <v>0.0</v>
      </c>
      <c r="P499" s="18">
        <v>0.0</v>
      </c>
      <c r="Q499" s="19"/>
      <c r="R499" s="11">
        <v>1.0</v>
      </c>
      <c r="S499" s="24"/>
      <c r="T499" s="19"/>
      <c r="U499" s="19"/>
      <c r="V499" s="19"/>
      <c r="W499" s="19"/>
      <c r="X499" s="19"/>
      <c r="Y499" s="16" t="s">
        <v>2366</v>
      </c>
    </row>
    <row r="500">
      <c r="A500" s="6">
        <v>480.0</v>
      </c>
      <c r="B500" s="7" t="s">
        <v>2367</v>
      </c>
      <c r="C500" s="8" t="s">
        <v>2368</v>
      </c>
      <c r="D500" s="9" t="s">
        <v>66</v>
      </c>
      <c r="E500" s="7" t="s">
        <v>2369</v>
      </c>
      <c r="F500" s="9">
        <v>29.0</v>
      </c>
      <c r="G500" s="9">
        <v>1994.0</v>
      </c>
      <c r="H500" s="10">
        <v>22.0</v>
      </c>
      <c r="I500" s="11">
        <v>1.548</v>
      </c>
      <c r="J500" s="11">
        <v>70.0</v>
      </c>
      <c r="K500" s="11" t="s">
        <v>2370</v>
      </c>
      <c r="L500" s="11" t="s">
        <v>796</v>
      </c>
      <c r="M500" s="10">
        <v>16.0</v>
      </c>
      <c r="N500" s="11">
        <v>81.0</v>
      </c>
      <c r="O500" s="11">
        <v>12.0</v>
      </c>
      <c r="P500" s="10">
        <v>6.0</v>
      </c>
      <c r="Q500" s="11">
        <v>42.0</v>
      </c>
      <c r="R500" s="11">
        <v>6.0</v>
      </c>
      <c r="S500" s="13">
        <v>0.09513888888888888</v>
      </c>
      <c r="T500" s="11">
        <v>27.0</v>
      </c>
      <c r="U500" s="11">
        <v>19.0</v>
      </c>
      <c r="V500" s="14">
        <f>+8</f>
        <v>8</v>
      </c>
      <c r="W500" s="14" t="str">
        <f>+0.47</f>
        <v>#ERROR!</v>
      </c>
      <c r="X500" s="14" t="str">
        <f>+0.31</f>
        <v>#ERROR!</v>
      </c>
      <c r="Y500" s="16" t="s">
        <v>2371</v>
      </c>
    </row>
    <row r="501">
      <c r="A501" s="6">
        <v>481.0</v>
      </c>
      <c r="B501" s="7" t="s">
        <v>2372</v>
      </c>
      <c r="C501" s="8" t="s">
        <v>2373</v>
      </c>
      <c r="D501" s="9" t="s">
        <v>73</v>
      </c>
      <c r="E501" s="7" t="s">
        <v>2374</v>
      </c>
      <c r="F501" s="9">
        <v>21.0</v>
      </c>
      <c r="G501" s="9">
        <v>2002.0</v>
      </c>
      <c r="H501" s="18">
        <v>0.0</v>
      </c>
      <c r="I501" s="19"/>
      <c r="J501" s="19"/>
      <c r="K501" s="19"/>
      <c r="L501" s="19"/>
      <c r="M501" s="18">
        <v>0.0</v>
      </c>
      <c r="N501" s="19"/>
      <c r="O501" s="12">
        <v>0.0</v>
      </c>
      <c r="P501" s="18">
        <v>0.0</v>
      </c>
      <c r="Q501" s="19"/>
      <c r="R501" s="11">
        <v>1.0</v>
      </c>
      <c r="S501" s="24"/>
      <c r="T501" s="19"/>
      <c r="U501" s="19"/>
      <c r="V501" s="19"/>
      <c r="W501" s="19"/>
      <c r="X501" s="19"/>
      <c r="Y501" s="16" t="s">
        <v>2375</v>
      </c>
    </row>
    <row r="502">
      <c r="A502" s="6">
        <v>482.0</v>
      </c>
      <c r="B502" s="7" t="s">
        <v>2376</v>
      </c>
      <c r="C502" s="8" t="s">
        <v>2377</v>
      </c>
      <c r="D502" s="9" t="s">
        <v>66</v>
      </c>
      <c r="E502" s="7" t="s">
        <v>2378</v>
      </c>
      <c r="F502" s="9">
        <v>24.0</v>
      </c>
      <c r="G502" s="9">
        <v>2000.0</v>
      </c>
      <c r="H502" s="10">
        <v>23.0</v>
      </c>
      <c r="I502" s="11">
        <v>1.815</v>
      </c>
      <c r="J502" s="11">
        <v>79.0</v>
      </c>
      <c r="K502" s="11" t="s">
        <v>2379</v>
      </c>
      <c r="L502" s="11" t="s">
        <v>273</v>
      </c>
      <c r="M502" s="10">
        <v>20.0</v>
      </c>
      <c r="N502" s="11">
        <v>86.0</v>
      </c>
      <c r="O502" s="11">
        <v>18.0</v>
      </c>
      <c r="P502" s="10">
        <v>3.0</v>
      </c>
      <c r="Q502" s="11">
        <v>31.0</v>
      </c>
      <c r="R502" s="12">
        <v>0.0</v>
      </c>
      <c r="S502" s="13">
        <v>0.09583333333333334</v>
      </c>
      <c r="T502" s="11">
        <v>31.0</v>
      </c>
      <c r="U502" s="11">
        <v>16.0</v>
      </c>
      <c r="V502" s="14">
        <f>+15</f>
        <v>15</v>
      </c>
      <c r="W502" s="14" t="str">
        <f>+0.74</f>
        <v>#ERROR!</v>
      </c>
      <c r="X502" s="15">
        <v>-0.004861111111111111</v>
      </c>
      <c r="Y502" s="16" t="s">
        <v>2380</v>
      </c>
    </row>
    <row r="503">
      <c r="A503" s="6">
        <v>483.0</v>
      </c>
      <c r="B503" s="7" t="s">
        <v>2381</v>
      </c>
      <c r="C503" s="8" t="s">
        <v>2382</v>
      </c>
      <c r="D503" s="9" t="s">
        <v>59</v>
      </c>
      <c r="E503" s="7" t="s">
        <v>2383</v>
      </c>
      <c r="F503" s="9">
        <v>24.0</v>
      </c>
      <c r="G503" s="9">
        <v>1999.0</v>
      </c>
      <c r="H503" s="10">
        <v>10.0</v>
      </c>
      <c r="I503" s="11">
        <v>808.0</v>
      </c>
      <c r="J503" s="11">
        <v>81.0</v>
      </c>
      <c r="K503" s="11" t="s">
        <v>1554</v>
      </c>
      <c r="L503" s="11" t="s">
        <v>674</v>
      </c>
      <c r="M503" s="10">
        <v>10.0</v>
      </c>
      <c r="N503" s="11">
        <v>81.0</v>
      </c>
      <c r="O503" s="11">
        <v>4.0</v>
      </c>
      <c r="P503" s="18">
        <v>0.0</v>
      </c>
      <c r="Q503" s="19"/>
      <c r="R503" s="12">
        <v>0.0</v>
      </c>
      <c r="S503" s="13">
        <v>0.09722222222222222</v>
      </c>
      <c r="T503" s="11">
        <v>11.0</v>
      </c>
      <c r="U503" s="11">
        <v>6.0</v>
      </c>
      <c r="V503" s="14">
        <f>+5</f>
        <v>5</v>
      </c>
      <c r="W503" s="14" t="str">
        <f>+0.56</f>
        <v>#ERROR!</v>
      </c>
      <c r="X503" s="14" t="str">
        <f>+0.56</f>
        <v>#ERROR!</v>
      </c>
      <c r="Y503" s="16" t="s">
        <v>2384</v>
      </c>
    </row>
    <row r="504">
      <c r="A504" s="6">
        <v>484.0</v>
      </c>
      <c r="B504" s="7" t="s">
        <v>2385</v>
      </c>
      <c r="C504" s="8" t="s">
        <v>2386</v>
      </c>
      <c r="D504" s="9" t="s">
        <v>32</v>
      </c>
      <c r="E504" s="7" t="s">
        <v>2387</v>
      </c>
      <c r="F504" s="9">
        <v>32.0</v>
      </c>
      <c r="G504" s="9">
        <v>1991.0</v>
      </c>
      <c r="H504" s="10">
        <v>29.0</v>
      </c>
      <c r="I504" s="11">
        <v>2.295</v>
      </c>
      <c r="J504" s="11">
        <v>79.0</v>
      </c>
      <c r="K504" s="11" t="s">
        <v>2388</v>
      </c>
      <c r="L504" s="11" t="s">
        <v>2389</v>
      </c>
      <c r="M504" s="10">
        <v>28.0</v>
      </c>
      <c r="N504" s="11">
        <v>81.0</v>
      </c>
      <c r="O504" s="11">
        <v>18.0</v>
      </c>
      <c r="P504" s="10">
        <v>1.0</v>
      </c>
      <c r="Q504" s="11">
        <v>19.0</v>
      </c>
      <c r="R504" s="11">
        <v>1.0</v>
      </c>
      <c r="S504" s="13">
        <v>0.05347222222222222</v>
      </c>
      <c r="T504" s="11">
        <v>39.0</v>
      </c>
      <c r="U504" s="11">
        <v>45.0</v>
      </c>
      <c r="V504" s="17">
        <v>-6.0</v>
      </c>
      <c r="W504" s="15">
        <v>-0.016666666666666666</v>
      </c>
      <c r="X504" s="15">
        <v>-6.944444444444445E-4</v>
      </c>
      <c r="Y504" s="16" t="s">
        <v>2390</v>
      </c>
    </row>
    <row r="505">
      <c r="A505" s="6">
        <v>485.0</v>
      </c>
      <c r="B505" s="7" t="s">
        <v>2391</v>
      </c>
      <c r="C505" s="8" t="s">
        <v>2392</v>
      </c>
      <c r="D505" s="9" t="s">
        <v>45</v>
      </c>
      <c r="E505" s="7" t="s">
        <v>2393</v>
      </c>
      <c r="F505" s="9">
        <v>29.0</v>
      </c>
      <c r="G505" s="9">
        <v>1995.0</v>
      </c>
      <c r="H505" s="10">
        <v>2.0</v>
      </c>
      <c r="I505" s="11">
        <v>39.0</v>
      </c>
      <c r="J505" s="11">
        <v>20.0</v>
      </c>
      <c r="K505" s="11" t="s">
        <v>941</v>
      </c>
      <c r="L505" s="11" t="s">
        <v>318</v>
      </c>
      <c r="M505" s="18">
        <v>0.0</v>
      </c>
      <c r="N505" s="19"/>
      <c r="O505" s="12">
        <v>0.0</v>
      </c>
      <c r="P505" s="10">
        <v>2.0</v>
      </c>
      <c r="Q505" s="11">
        <v>20.0</v>
      </c>
      <c r="R505" s="12">
        <v>0.0</v>
      </c>
      <c r="S505" s="13">
        <v>0.125</v>
      </c>
      <c r="T505" s="11">
        <v>1.0</v>
      </c>
      <c r="U505" s="11">
        <v>1.0</v>
      </c>
      <c r="V505" s="12">
        <v>0.0</v>
      </c>
      <c r="W505" s="21">
        <v>0.0</v>
      </c>
      <c r="X505" s="15">
        <v>-0.07083333333333333</v>
      </c>
      <c r="Y505" s="16" t="s">
        <v>2394</v>
      </c>
    </row>
    <row r="506">
      <c r="A506" s="6">
        <v>486.0</v>
      </c>
      <c r="B506" s="7" t="s">
        <v>2395</v>
      </c>
      <c r="C506" s="8" t="s">
        <v>2396</v>
      </c>
      <c r="D506" s="9" t="s">
        <v>52</v>
      </c>
      <c r="E506" s="7" t="s">
        <v>2397</v>
      </c>
      <c r="F506" s="9">
        <v>19.0</v>
      </c>
      <c r="G506" s="9">
        <v>2004.0</v>
      </c>
      <c r="H506" s="10">
        <v>3.0</v>
      </c>
      <c r="I506" s="11">
        <v>165.0</v>
      </c>
      <c r="J506" s="11">
        <v>55.0</v>
      </c>
      <c r="K506" s="11" t="s">
        <v>274</v>
      </c>
      <c r="L506" s="11" t="s">
        <v>2398</v>
      </c>
      <c r="M506" s="10">
        <v>1.0</v>
      </c>
      <c r="N506" s="11">
        <v>90.0</v>
      </c>
      <c r="O506" s="11">
        <v>1.0</v>
      </c>
      <c r="P506" s="10">
        <v>2.0</v>
      </c>
      <c r="Q506" s="11">
        <v>38.0</v>
      </c>
      <c r="R506" s="11">
        <v>8.0</v>
      </c>
      <c r="S506" s="13">
        <v>0.022916666666666665</v>
      </c>
      <c r="T506" s="11">
        <v>1.0</v>
      </c>
      <c r="U506" s="11">
        <v>2.0</v>
      </c>
      <c r="V506" s="17">
        <v>-1.0</v>
      </c>
      <c r="W506" s="15">
        <v>-0.03819444444444445</v>
      </c>
      <c r="X506" s="15">
        <v>-0.022916666666666665</v>
      </c>
      <c r="Y506" s="16" t="s">
        <v>2399</v>
      </c>
    </row>
    <row r="507">
      <c r="A507" s="6">
        <v>487.0</v>
      </c>
      <c r="B507" s="7" t="s">
        <v>2400</v>
      </c>
      <c r="C507" s="8" t="s">
        <v>2401</v>
      </c>
      <c r="D507" s="9" t="s">
        <v>66</v>
      </c>
      <c r="E507" s="7" t="s">
        <v>2402</v>
      </c>
      <c r="F507" s="9">
        <v>23.0</v>
      </c>
      <c r="G507" s="9">
        <v>2000.0</v>
      </c>
      <c r="H507" s="10">
        <v>18.0</v>
      </c>
      <c r="I507" s="11">
        <v>1.167</v>
      </c>
      <c r="J507" s="11">
        <v>65.0</v>
      </c>
      <c r="K507" s="11" t="s">
        <v>2403</v>
      </c>
      <c r="L507" s="11" t="s">
        <v>691</v>
      </c>
      <c r="M507" s="10">
        <v>15.0</v>
      </c>
      <c r="N507" s="11">
        <v>78.0</v>
      </c>
      <c r="O507" s="11">
        <v>7.0</v>
      </c>
      <c r="P507" s="10">
        <v>3.0</v>
      </c>
      <c r="Q507" s="11">
        <v>1.0</v>
      </c>
      <c r="R507" s="11">
        <v>9.0</v>
      </c>
      <c r="S507" s="13">
        <v>0.05694444444444444</v>
      </c>
      <c r="T507" s="11">
        <v>16.0</v>
      </c>
      <c r="U507" s="11">
        <v>18.0</v>
      </c>
      <c r="V507" s="17">
        <v>-2.0</v>
      </c>
      <c r="W507" s="15">
        <v>-0.010416666666666666</v>
      </c>
      <c r="X507" s="15">
        <v>-0.022916666666666665</v>
      </c>
      <c r="Y507" s="16" t="s">
        <v>2404</v>
      </c>
    </row>
    <row r="508">
      <c r="A508" s="6">
        <v>488.0</v>
      </c>
      <c r="B508" s="7" t="s">
        <v>2405</v>
      </c>
      <c r="C508" s="8" t="s">
        <v>2406</v>
      </c>
      <c r="D508" s="9" t="s">
        <v>32</v>
      </c>
      <c r="E508" s="7" t="s">
        <v>2407</v>
      </c>
      <c r="F508" s="9">
        <v>21.0</v>
      </c>
      <c r="G508" s="9">
        <v>2003.0</v>
      </c>
      <c r="H508" s="10">
        <v>7.0</v>
      </c>
      <c r="I508" s="11">
        <v>73.0</v>
      </c>
      <c r="J508" s="11">
        <v>10.0</v>
      </c>
      <c r="K508" s="11" t="s">
        <v>618</v>
      </c>
      <c r="L508" s="11" t="s">
        <v>245</v>
      </c>
      <c r="M508" s="18">
        <v>0.0</v>
      </c>
      <c r="N508" s="19"/>
      <c r="O508" s="12">
        <v>0.0</v>
      </c>
      <c r="P508" s="10">
        <v>7.0</v>
      </c>
      <c r="Q508" s="11">
        <v>10.0</v>
      </c>
      <c r="R508" s="11">
        <v>2.0</v>
      </c>
      <c r="S508" s="13">
        <v>0.03958333333333333</v>
      </c>
      <c r="T508" s="11">
        <v>3.0</v>
      </c>
      <c r="U508" s="11">
        <v>1.0</v>
      </c>
      <c r="V508" s="14">
        <f>+2</f>
        <v>2</v>
      </c>
      <c r="W508" s="14" t="str">
        <f>+2.47</f>
        <v>#ERROR!</v>
      </c>
      <c r="X508" s="14" t="str">
        <f>+2.88</f>
        <v>#ERROR!</v>
      </c>
      <c r="Y508" s="16" t="s">
        <v>2408</v>
      </c>
    </row>
    <row r="509">
      <c r="A509" s="6">
        <v>489.0</v>
      </c>
      <c r="B509" s="7" t="s">
        <v>2409</v>
      </c>
      <c r="C509" s="8" t="s">
        <v>2410</v>
      </c>
      <c r="D509" s="9" t="s">
        <v>73</v>
      </c>
      <c r="E509" s="7" t="s">
        <v>2411</v>
      </c>
      <c r="F509" s="9">
        <v>19.0</v>
      </c>
      <c r="G509" s="9">
        <v>2004.0</v>
      </c>
      <c r="H509" s="18">
        <v>0.0</v>
      </c>
      <c r="I509" s="19"/>
      <c r="J509" s="19"/>
      <c r="K509" s="19"/>
      <c r="L509" s="19"/>
      <c r="M509" s="18">
        <v>0.0</v>
      </c>
      <c r="N509" s="19"/>
      <c r="O509" s="12">
        <v>0.0</v>
      </c>
      <c r="P509" s="18">
        <v>0.0</v>
      </c>
      <c r="Q509" s="19"/>
      <c r="R509" s="11">
        <v>5.0</v>
      </c>
      <c r="S509" s="24"/>
      <c r="T509" s="19"/>
      <c r="U509" s="19"/>
      <c r="V509" s="19"/>
      <c r="W509" s="19"/>
      <c r="X509" s="19"/>
      <c r="Y509" s="16" t="s">
        <v>2412</v>
      </c>
    </row>
    <row r="510">
      <c r="A510" s="6">
        <v>490.0</v>
      </c>
      <c r="B510" s="7" t="s">
        <v>2413</v>
      </c>
      <c r="C510" s="8" t="s">
        <v>2414</v>
      </c>
      <c r="D510" s="9" t="s">
        <v>66</v>
      </c>
      <c r="E510" s="7" t="s">
        <v>2415</v>
      </c>
      <c r="F510" s="9">
        <v>22.0</v>
      </c>
      <c r="G510" s="9">
        <v>2001.0</v>
      </c>
      <c r="H510" s="10">
        <v>28.0</v>
      </c>
      <c r="I510" s="11">
        <v>2.131</v>
      </c>
      <c r="J510" s="11">
        <v>76.0</v>
      </c>
      <c r="K510" s="11" t="s">
        <v>448</v>
      </c>
      <c r="L510" s="11" t="s">
        <v>449</v>
      </c>
      <c r="M510" s="10">
        <v>25.0</v>
      </c>
      <c r="N510" s="11">
        <v>83.0</v>
      </c>
      <c r="O510" s="11">
        <v>21.0</v>
      </c>
      <c r="P510" s="10">
        <v>3.0</v>
      </c>
      <c r="Q510" s="11">
        <v>15.0</v>
      </c>
      <c r="R510" s="11">
        <v>1.0</v>
      </c>
      <c r="S510" s="13">
        <v>0.05416666666666667</v>
      </c>
      <c r="T510" s="11">
        <v>27.0</v>
      </c>
      <c r="U510" s="11">
        <v>36.0</v>
      </c>
      <c r="V510" s="17">
        <v>-9.0</v>
      </c>
      <c r="W510" s="15">
        <v>-0.02638888888888889</v>
      </c>
      <c r="X510" s="14" t="str">
        <f>+1.04</f>
        <v>#ERROR!</v>
      </c>
      <c r="Y510" s="16" t="s">
        <v>2416</v>
      </c>
    </row>
    <row r="511">
      <c r="A511" s="6">
        <v>491.0</v>
      </c>
      <c r="B511" s="7" t="s">
        <v>2417</v>
      </c>
      <c r="C511" s="8" t="s">
        <v>2418</v>
      </c>
      <c r="D511" s="9" t="s">
        <v>52</v>
      </c>
      <c r="E511" s="7" t="s">
        <v>2419</v>
      </c>
      <c r="F511" s="9">
        <v>20.0</v>
      </c>
      <c r="G511" s="9">
        <v>2003.0</v>
      </c>
      <c r="H511" s="10">
        <v>29.0</v>
      </c>
      <c r="I511" s="11">
        <v>2.525</v>
      </c>
      <c r="J511" s="11">
        <v>87.0</v>
      </c>
      <c r="K511" s="11" t="s">
        <v>2420</v>
      </c>
      <c r="L511" s="11" t="s">
        <v>1212</v>
      </c>
      <c r="M511" s="10">
        <v>29.0</v>
      </c>
      <c r="N511" s="11">
        <v>87.0</v>
      </c>
      <c r="O511" s="11">
        <v>20.0</v>
      </c>
      <c r="P511" s="18">
        <v>0.0</v>
      </c>
      <c r="Q511" s="19"/>
      <c r="R511" s="12">
        <v>0.0</v>
      </c>
      <c r="S511" s="13">
        <v>0.07013888888888889</v>
      </c>
      <c r="T511" s="11">
        <v>46.0</v>
      </c>
      <c r="U511" s="11">
        <v>41.0</v>
      </c>
      <c r="V511" s="14">
        <f>+5</f>
        <v>5</v>
      </c>
      <c r="W511" s="14" t="str">
        <f>+0.18</f>
        <v>#ERROR!</v>
      </c>
      <c r="X511" s="14" t="str">
        <f>+2.24</f>
        <v>#ERROR!</v>
      </c>
      <c r="Y511" s="16" t="s">
        <v>2421</v>
      </c>
    </row>
    <row r="512">
      <c r="A512" s="6">
        <v>492.0</v>
      </c>
      <c r="B512" s="7" t="s">
        <v>2422</v>
      </c>
      <c r="C512" s="8" t="s">
        <v>2423</v>
      </c>
      <c r="D512" s="9" t="s">
        <v>66</v>
      </c>
      <c r="E512" s="7" t="s">
        <v>2424</v>
      </c>
      <c r="F512" s="9">
        <v>30.0</v>
      </c>
      <c r="G512" s="9">
        <v>1993.0</v>
      </c>
      <c r="H512" s="10">
        <v>30.0</v>
      </c>
      <c r="I512" s="11">
        <v>2.691</v>
      </c>
      <c r="J512" s="11">
        <v>90.0</v>
      </c>
      <c r="K512" s="11" t="s">
        <v>2425</v>
      </c>
      <c r="L512" s="11" t="s">
        <v>1554</v>
      </c>
      <c r="M512" s="10">
        <v>30.0</v>
      </c>
      <c r="N512" s="11">
        <v>90.0</v>
      </c>
      <c r="O512" s="11">
        <v>28.0</v>
      </c>
      <c r="P512" s="18">
        <v>0.0</v>
      </c>
      <c r="Q512" s="19"/>
      <c r="R512" s="12">
        <v>0.0</v>
      </c>
      <c r="S512" s="13">
        <v>0.08333333333333333</v>
      </c>
      <c r="T512" s="11">
        <v>36.0</v>
      </c>
      <c r="U512" s="11">
        <v>33.0</v>
      </c>
      <c r="V512" s="14">
        <f>+3</f>
        <v>3</v>
      </c>
      <c r="W512" s="14" t="str">
        <f>+0.10</f>
        <v>#ERROR!</v>
      </c>
      <c r="X512" s="14" t="str">
        <f>+10.10</f>
        <v>#ERROR!</v>
      </c>
      <c r="Y512" s="16" t="s">
        <v>2426</v>
      </c>
    </row>
    <row r="513">
      <c r="A513" s="6">
        <v>493.0</v>
      </c>
      <c r="B513" s="7" t="s">
        <v>2427</v>
      </c>
      <c r="C513" s="8" t="s">
        <v>2428</v>
      </c>
      <c r="D513" s="9" t="s">
        <v>52</v>
      </c>
      <c r="E513" s="7" t="s">
        <v>2429</v>
      </c>
      <c r="F513" s="9">
        <v>18.0</v>
      </c>
      <c r="G513" s="9">
        <v>2005.0</v>
      </c>
      <c r="H513" s="10">
        <v>24.0</v>
      </c>
      <c r="I513" s="11">
        <v>1.317</v>
      </c>
      <c r="J513" s="11">
        <v>55.0</v>
      </c>
      <c r="K513" s="11" t="s">
        <v>2430</v>
      </c>
      <c r="L513" s="11" t="s">
        <v>106</v>
      </c>
      <c r="M513" s="10">
        <v>18.0</v>
      </c>
      <c r="N513" s="11">
        <v>67.0</v>
      </c>
      <c r="O513" s="12">
        <v>0.0</v>
      </c>
      <c r="P513" s="10">
        <v>6.0</v>
      </c>
      <c r="Q513" s="11">
        <v>20.0</v>
      </c>
      <c r="R513" s="11">
        <v>4.0</v>
      </c>
      <c r="S513" s="13">
        <v>0.05763888888888889</v>
      </c>
      <c r="T513" s="11">
        <v>13.0</v>
      </c>
      <c r="U513" s="11">
        <v>22.0</v>
      </c>
      <c r="V513" s="17">
        <v>-9.0</v>
      </c>
      <c r="W513" s="15">
        <v>-0.043055555555555555</v>
      </c>
      <c r="X513" s="15">
        <v>-0.00625</v>
      </c>
      <c r="Y513" s="16" t="s">
        <v>2431</v>
      </c>
    </row>
    <row r="514">
      <c r="A514" s="6">
        <v>494.0</v>
      </c>
      <c r="B514" s="7" t="s">
        <v>2432</v>
      </c>
      <c r="C514" s="8" t="s">
        <v>2433</v>
      </c>
      <c r="D514" s="9" t="s">
        <v>66</v>
      </c>
      <c r="E514" s="7" t="s">
        <v>2434</v>
      </c>
      <c r="F514" s="9">
        <v>27.0</v>
      </c>
      <c r="G514" s="9">
        <v>1996.0</v>
      </c>
      <c r="H514" s="10">
        <v>28.0</v>
      </c>
      <c r="I514" s="11">
        <v>2.475</v>
      </c>
      <c r="J514" s="11">
        <v>88.0</v>
      </c>
      <c r="K514" s="11" t="s">
        <v>2435</v>
      </c>
      <c r="L514" s="11" t="s">
        <v>2436</v>
      </c>
      <c r="M514" s="10">
        <v>28.0</v>
      </c>
      <c r="N514" s="11">
        <v>88.0</v>
      </c>
      <c r="O514" s="11">
        <v>27.0</v>
      </c>
      <c r="P514" s="18">
        <v>0.0</v>
      </c>
      <c r="Q514" s="19"/>
      <c r="R514" s="12">
        <v>0.0</v>
      </c>
      <c r="S514" s="13">
        <v>0.05416666666666667</v>
      </c>
      <c r="T514" s="11">
        <v>34.0</v>
      </c>
      <c r="U514" s="11">
        <v>48.0</v>
      </c>
      <c r="V514" s="17">
        <v>-14.0</v>
      </c>
      <c r="W514" s="15">
        <v>-0.035416666666666666</v>
      </c>
      <c r="X514" s="14" t="str">
        <f>+2.29</f>
        <v>#ERROR!</v>
      </c>
      <c r="Y514" s="16" t="s">
        <v>2437</v>
      </c>
    </row>
    <row r="515">
      <c r="A515" s="6">
        <v>495.0</v>
      </c>
      <c r="B515" s="7" t="s">
        <v>2438</v>
      </c>
      <c r="C515" s="8" t="s">
        <v>2439</v>
      </c>
      <c r="D515" s="9" t="s">
        <v>52</v>
      </c>
      <c r="E515" s="7" t="s">
        <v>2440</v>
      </c>
      <c r="F515" s="9">
        <v>24.0</v>
      </c>
      <c r="G515" s="9">
        <v>1999.0</v>
      </c>
      <c r="H515" s="10">
        <v>28.0</v>
      </c>
      <c r="I515" s="11">
        <v>2.441</v>
      </c>
      <c r="J515" s="11">
        <v>87.0</v>
      </c>
      <c r="K515" s="11" t="s">
        <v>2441</v>
      </c>
      <c r="L515" s="11" t="s">
        <v>373</v>
      </c>
      <c r="M515" s="10">
        <v>27.0</v>
      </c>
      <c r="N515" s="11">
        <v>90.0</v>
      </c>
      <c r="O515" s="11">
        <v>25.0</v>
      </c>
      <c r="P515" s="10">
        <v>1.0</v>
      </c>
      <c r="Q515" s="11">
        <v>22.0</v>
      </c>
      <c r="R515" s="12">
        <v>0.0</v>
      </c>
      <c r="S515" s="13">
        <v>0.044444444444444446</v>
      </c>
      <c r="T515" s="11">
        <v>27.0</v>
      </c>
      <c r="U515" s="11">
        <v>36.0</v>
      </c>
      <c r="V515" s="17">
        <v>-9.0</v>
      </c>
      <c r="W515" s="15">
        <v>-0.022916666666666665</v>
      </c>
      <c r="X515" s="14" t="str">
        <f>+0.02</f>
        <v>#ERROR!</v>
      </c>
      <c r="Y515" s="16" t="s">
        <v>2442</v>
      </c>
    </row>
    <row r="516">
      <c r="A516" s="6">
        <v>496.0</v>
      </c>
      <c r="B516" s="7" t="s">
        <v>2443</v>
      </c>
      <c r="C516" s="8" t="s">
        <v>2444</v>
      </c>
      <c r="D516" s="9" t="s">
        <v>66</v>
      </c>
      <c r="E516" s="7" t="s">
        <v>2445</v>
      </c>
      <c r="F516" s="9">
        <v>24.0</v>
      </c>
      <c r="G516" s="9">
        <v>1999.0</v>
      </c>
      <c r="H516" s="10">
        <v>25.0</v>
      </c>
      <c r="I516" s="11">
        <v>1.569</v>
      </c>
      <c r="J516" s="11">
        <v>63.0</v>
      </c>
      <c r="K516" s="11" t="s">
        <v>2446</v>
      </c>
      <c r="L516" s="11" t="s">
        <v>1034</v>
      </c>
      <c r="M516" s="10">
        <v>17.0</v>
      </c>
      <c r="N516" s="11">
        <v>82.0</v>
      </c>
      <c r="O516" s="11">
        <v>11.0</v>
      </c>
      <c r="P516" s="10">
        <v>8.0</v>
      </c>
      <c r="Q516" s="11">
        <v>22.0</v>
      </c>
      <c r="R516" s="11">
        <v>2.0</v>
      </c>
      <c r="S516" s="13">
        <v>0.075</v>
      </c>
      <c r="T516" s="11">
        <v>22.0</v>
      </c>
      <c r="U516" s="11">
        <v>21.0</v>
      </c>
      <c r="V516" s="14">
        <f>+1</f>
        <v>1</v>
      </c>
      <c r="W516" s="14" t="str">
        <f>+0.06</f>
        <v>#ERROR!</v>
      </c>
      <c r="X516" s="15">
        <v>-0.001388888888888889</v>
      </c>
      <c r="Y516" s="16" t="s">
        <v>2447</v>
      </c>
    </row>
    <row r="517">
      <c r="A517" s="6">
        <v>497.0</v>
      </c>
      <c r="B517" s="7" t="s">
        <v>2448</v>
      </c>
      <c r="C517" s="8" t="s">
        <v>2449</v>
      </c>
      <c r="D517" s="9" t="s">
        <v>66</v>
      </c>
      <c r="E517" s="7" t="s">
        <v>2450</v>
      </c>
      <c r="F517" s="9">
        <v>38.0</v>
      </c>
      <c r="G517" s="9">
        <v>1985.0</v>
      </c>
      <c r="H517" s="10">
        <v>15.0</v>
      </c>
      <c r="I517" s="11">
        <v>940.0</v>
      </c>
      <c r="J517" s="11">
        <v>63.0</v>
      </c>
      <c r="K517" s="11" t="s">
        <v>460</v>
      </c>
      <c r="L517" s="11" t="s">
        <v>461</v>
      </c>
      <c r="M517" s="10">
        <v>11.0</v>
      </c>
      <c r="N517" s="11">
        <v>77.0</v>
      </c>
      <c r="O517" s="11">
        <v>5.0</v>
      </c>
      <c r="P517" s="10">
        <v>4.0</v>
      </c>
      <c r="Q517" s="11">
        <v>24.0</v>
      </c>
      <c r="R517" s="11">
        <v>2.0</v>
      </c>
      <c r="S517" s="13">
        <v>0.04652777777777778</v>
      </c>
      <c r="T517" s="11">
        <v>14.0</v>
      </c>
      <c r="U517" s="11">
        <v>19.0</v>
      </c>
      <c r="V517" s="17">
        <v>-5.0</v>
      </c>
      <c r="W517" s="15">
        <v>-0.03333333333333333</v>
      </c>
      <c r="X517" s="15">
        <v>-0.015277777777777777</v>
      </c>
      <c r="Y517" s="16" t="s">
        <v>2451</v>
      </c>
    </row>
    <row r="518">
      <c r="A518" s="6">
        <v>498.0</v>
      </c>
      <c r="B518" s="7" t="s">
        <v>2452</v>
      </c>
      <c r="C518" s="8" t="s">
        <v>2453</v>
      </c>
      <c r="D518" s="9" t="s">
        <v>284</v>
      </c>
      <c r="E518" s="7" t="s">
        <v>2454</v>
      </c>
      <c r="F518" s="9">
        <v>28.0</v>
      </c>
      <c r="G518" s="9">
        <v>1995.0</v>
      </c>
      <c r="H518" s="10">
        <v>6.0</v>
      </c>
      <c r="I518" s="11">
        <v>85.0</v>
      </c>
      <c r="J518" s="11">
        <v>14.0</v>
      </c>
      <c r="K518" s="11" t="s">
        <v>418</v>
      </c>
      <c r="L518" s="11" t="s">
        <v>194</v>
      </c>
      <c r="M518" s="18">
        <v>0.0</v>
      </c>
      <c r="N518" s="19"/>
      <c r="O518" s="12">
        <v>0.0</v>
      </c>
      <c r="P518" s="10">
        <v>6.0</v>
      </c>
      <c r="Q518" s="11">
        <v>14.0</v>
      </c>
      <c r="R518" s="11">
        <v>2.0</v>
      </c>
      <c r="S518" s="13">
        <v>0.05763888888888889</v>
      </c>
      <c r="T518" s="11">
        <v>1.0</v>
      </c>
      <c r="U518" s="12">
        <v>0.0</v>
      </c>
      <c r="V518" s="14">
        <f>+1</f>
        <v>1</v>
      </c>
      <c r="W518" s="14" t="str">
        <f>+1.06</f>
        <v>#ERROR!</v>
      </c>
      <c r="X518" s="14" t="str">
        <f>+1.68</f>
        <v>#ERROR!</v>
      </c>
      <c r="Y518" s="16" t="s">
        <v>2455</v>
      </c>
    </row>
    <row r="519">
      <c r="A519" s="6">
        <v>499.0</v>
      </c>
      <c r="B519" s="7" t="s">
        <v>2456</v>
      </c>
      <c r="C519" s="8" t="s">
        <v>2457</v>
      </c>
      <c r="D519" s="9" t="s">
        <v>32</v>
      </c>
      <c r="E519" s="7" t="s">
        <v>2458</v>
      </c>
      <c r="F519" s="9">
        <v>30.0</v>
      </c>
      <c r="G519" s="9">
        <v>1993.0</v>
      </c>
      <c r="H519" s="10">
        <v>3.0</v>
      </c>
      <c r="I519" s="11">
        <v>54.0</v>
      </c>
      <c r="J519" s="11">
        <v>18.0</v>
      </c>
      <c r="K519" s="11" t="s">
        <v>413</v>
      </c>
      <c r="L519" s="11" t="s">
        <v>47</v>
      </c>
      <c r="M519" s="18">
        <v>0.0</v>
      </c>
      <c r="N519" s="19"/>
      <c r="O519" s="12">
        <v>0.0</v>
      </c>
      <c r="P519" s="10">
        <v>3.0</v>
      </c>
      <c r="Q519" s="11">
        <v>18.0</v>
      </c>
      <c r="R519" s="11">
        <v>6.0</v>
      </c>
      <c r="S519" s="20">
        <v>0.0</v>
      </c>
      <c r="T519" s="12">
        <v>0.0</v>
      </c>
      <c r="U519" s="11">
        <v>1.0</v>
      </c>
      <c r="V519" s="17">
        <v>-1.0</v>
      </c>
      <c r="W519" s="15">
        <v>-0.08819444444444445</v>
      </c>
      <c r="X519" s="15">
        <v>-0.04791666666666667</v>
      </c>
      <c r="Y519" s="16" t="s">
        <v>2459</v>
      </c>
    </row>
    <row r="520">
      <c r="A520" s="6">
        <v>500.0</v>
      </c>
      <c r="B520" s="7" t="s">
        <v>2460</v>
      </c>
      <c r="C520" s="8" t="s">
        <v>2461</v>
      </c>
      <c r="D520" s="9" t="s">
        <v>73</v>
      </c>
      <c r="E520" s="7" t="s">
        <v>2462</v>
      </c>
      <c r="F520" s="9">
        <v>25.0</v>
      </c>
      <c r="G520" s="9">
        <v>1998.0</v>
      </c>
      <c r="H520" s="10">
        <v>17.0</v>
      </c>
      <c r="I520" s="11">
        <v>1.53</v>
      </c>
      <c r="J520" s="11">
        <v>90.0</v>
      </c>
      <c r="K520" s="11" t="s">
        <v>760</v>
      </c>
      <c r="L520" s="11" t="s">
        <v>124</v>
      </c>
      <c r="M520" s="10">
        <v>17.0</v>
      </c>
      <c r="N520" s="11">
        <v>90.0</v>
      </c>
      <c r="O520" s="11">
        <v>17.0</v>
      </c>
      <c r="P520" s="18">
        <v>0.0</v>
      </c>
      <c r="Q520" s="19"/>
      <c r="R520" s="12">
        <v>0.0</v>
      </c>
      <c r="S520" s="13">
        <v>0.0875</v>
      </c>
      <c r="T520" s="11">
        <v>32.0</v>
      </c>
      <c r="U520" s="11">
        <v>16.0</v>
      </c>
      <c r="V520" s="14">
        <f>+16</f>
        <v>16</v>
      </c>
      <c r="W520" s="14" t="str">
        <f>+0.94</f>
        <v>#ERROR!</v>
      </c>
      <c r="X520" s="14" t="str">
        <f>+1.40</f>
        <v>#ERROR!</v>
      </c>
      <c r="Y520" s="16" t="s">
        <v>2463</v>
      </c>
    </row>
    <row r="521">
      <c r="A521" s="25" t="s">
        <v>0</v>
      </c>
      <c r="B521" s="26" t="s">
        <v>1</v>
      </c>
      <c r="C521" s="27" t="s">
        <v>2</v>
      </c>
      <c r="D521" s="27" t="s">
        <v>3</v>
      </c>
      <c r="E521" s="27" t="s">
        <v>4</v>
      </c>
      <c r="F521" s="27" t="s">
        <v>5</v>
      </c>
      <c r="G521" s="27" t="s">
        <v>6</v>
      </c>
      <c r="H521" s="28" t="s">
        <v>7</v>
      </c>
      <c r="I521" s="27" t="s">
        <v>8</v>
      </c>
      <c r="J521" s="27" t="s">
        <v>9</v>
      </c>
      <c r="K521" s="27" t="s">
        <v>10</v>
      </c>
      <c r="L521" s="27" t="s">
        <v>11</v>
      </c>
      <c r="M521" s="28" t="s">
        <v>12</v>
      </c>
      <c r="N521" s="27" t="s">
        <v>13</v>
      </c>
      <c r="O521" s="27" t="s">
        <v>14</v>
      </c>
      <c r="P521" s="28" t="s">
        <v>15</v>
      </c>
      <c r="Q521" s="27" t="s">
        <v>16</v>
      </c>
      <c r="R521" s="27" t="s">
        <v>17</v>
      </c>
      <c r="S521" s="28" t="s">
        <v>18</v>
      </c>
      <c r="T521" s="27" t="s">
        <v>19</v>
      </c>
      <c r="U521" s="27" t="s">
        <v>20</v>
      </c>
      <c r="V521" s="29" t="str">
        <f>+/-</f>
        <v>#ERROR!</v>
      </c>
      <c r="W521" s="29" t="str">
        <f>+/-90</f>
        <v>#ERROR!</v>
      </c>
      <c r="X521" s="27" t="s">
        <v>21</v>
      </c>
      <c r="Y521" s="28" t="s">
        <v>22</v>
      </c>
    </row>
    <row r="522">
      <c r="A522" s="6">
        <v>501.0</v>
      </c>
      <c r="B522" s="7" t="s">
        <v>2464</v>
      </c>
      <c r="C522" s="8" t="s">
        <v>2465</v>
      </c>
      <c r="D522" s="9" t="s">
        <v>66</v>
      </c>
      <c r="E522" s="7" t="s">
        <v>2466</v>
      </c>
      <c r="F522" s="9">
        <v>29.0</v>
      </c>
      <c r="G522" s="9">
        <v>1994.0</v>
      </c>
      <c r="H522" s="10">
        <v>26.0</v>
      </c>
      <c r="I522" s="11">
        <v>2.188</v>
      </c>
      <c r="J522" s="11">
        <v>84.0</v>
      </c>
      <c r="K522" s="11" t="s">
        <v>2467</v>
      </c>
      <c r="L522" s="11" t="s">
        <v>876</v>
      </c>
      <c r="M522" s="10">
        <v>25.0</v>
      </c>
      <c r="N522" s="11">
        <v>87.0</v>
      </c>
      <c r="O522" s="11">
        <v>20.0</v>
      </c>
      <c r="P522" s="10">
        <v>1.0</v>
      </c>
      <c r="Q522" s="11">
        <v>21.0</v>
      </c>
      <c r="R522" s="11">
        <v>1.0</v>
      </c>
      <c r="S522" s="13">
        <v>0.07916666666666666</v>
      </c>
      <c r="T522" s="11">
        <v>43.0</v>
      </c>
      <c r="U522" s="11">
        <v>34.0</v>
      </c>
      <c r="V522" s="14">
        <f>+9</f>
        <v>9</v>
      </c>
      <c r="W522" s="14" t="str">
        <f>+0.37</f>
        <v>#ERROR!</v>
      </c>
      <c r="X522" s="14" t="str">
        <f>+1.78</f>
        <v>#ERROR!</v>
      </c>
      <c r="Y522" s="16" t="s">
        <v>2468</v>
      </c>
    </row>
    <row r="523">
      <c r="A523" s="6">
        <v>502.0</v>
      </c>
      <c r="B523" s="7" t="s">
        <v>2469</v>
      </c>
      <c r="C523" s="8" t="s">
        <v>2470</v>
      </c>
      <c r="D523" s="9" t="s">
        <v>52</v>
      </c>
      <c r="E523" s="7" t="s">
        <v>2471</v>
      </c>
      <c r="F523" s="9">
        <v>24.0</v>
      </c>
      <c r="G523" s="9">
        <v>1999.0</v>
      </c>
      <c r="H523" s="10">
        <v>18.0</v>
      </c>
      <c r="I523" s="11">
        <v>357.0</v>
      </c>
      <c r="J523" s="11">
        <v>20.0</v>
      </c>
      <c r="K523" s="11" t="s">
        <v>2472</v>
      </c>
      <c r="L523" s="11" t="s">
        <v>755</v>
      </c>
      <c r="M523" s="10">
        <v>1.0</v>
      </c>
      <c r="N523" s="11">
        <v>56.0</v>
      </c>
      <c r="O523" s="12">
        <v>0.0</v>
      </c>
      <c r="P523" s="10">
        <v>17.0</v>
      </c>
      <c r="Q523" s="11">
        <v>18.0</v>
      </c>
      <c r="R523" s="11">
        <v>12.0</v>
      </c>
      <c r="S523" s="13">
        <v>0.022916666666666665</v>
      </c>
      <c r="T523" s="11">
        <v>3.0</v>
      </c>
      <c r="U523" s="11">
        <v>9.0</v>
      </c>
      <c r="V523" s="17">
        <v>-6.0</v>
      </c>
      <c r="W523" s="15">
        <v>-0.07708333333333334</v>
      </c>
      <c r="X523" s="15">
        <v>-0.04513888888888889</v>
      </c>
      <c r="Y523" s="16" t="s">
        <v>2473</v>
      </c>
    </row>
    <row r="524">
      <c r="A524" s="6">
        <v>503.0</v>
      </c>
      <c r="B524" s="7" t="s">
        <v>2474</v>
      </c>
      <c r="C524" s="8" t="s">
        <v>2475</v>
      </c>
      <c r="D524" s="9" t="s">
        <v>52</v>
      </c>
      <c r="E524" s="7" t="s">
        <v>2476</v>
      </c>
      <c r="F524" s="9">
        <v>30.0</v>
      </c>
      <c r="G524" s="9">
        <v>1993.0</v>
      </c>
      <c r="H524" s="10">
        <v>24.0</v>
      </c>
      <c r="I524" s="11">
        <v>1.224</v>
      </c>
      <c r="J524" s="11">
        <v>51.0</v>
      </c>
      <c r="K524" s="11" t="s">
        <v>2477</v>
      </c>
      <c r="L524" s="11" t="s">
        <v>309</v>
      </c>
      <c r="M524" s="10">
        <v>15.0</v>
      </c>
      <c r="N524" s="11">
        <v>68.0</v>
      </c>
      <c r="O524" s="11">
        <v>1.0</v>
      </c>
      <c r="P524" s="10">
        <v>9.0</v>
      </c>
      <c r="Q524" s="11">
        <v>23.0</v>
      </c>
      <c r="R524" s="12">
        <v>0.0</v>
      </c>
      <c r="S524" s="13">
        <v>0.09375</v>
      </c>
      <c r="T524" s="11">
        <v>20.0</v>
      </c>
      <c r="U524" s="11">
        <v>21.0</v>
      </c>
      <c r="V524" s="17">
        <v>-1.0</v>
      </c>
      <c r="W524" s="15">
        <v>-0.004861111111111111</v>
      </c>
      <c r="X524" s="15">
        <v>-0.05138888888888889</v>
      </c>
      <c r="Y524" s="16" t="s">
        <v>2478</v>
      </c>
    </row>
    <row r="525">
      <c r="A525" s="6">
        <v>504.0</v>
      </c>
      <c r="B525" s="7" t="s">
        <v>2479</v>
      </c>
      <c r="C525" s="8" t="s">
        <v>2480</v>
      </c>
      <c r="D525" s="9" t="s">
        <v>52</v>
      </c>
      <c r="E525" s="7" t="s">
        <v>2481</v>
      </c>
      <c r="F525" s="9">
        <v>20.0</v>
      </c>
      <c r="G525" s="9">
        <v>2003.0</v>
      </c>
      <c r="H525" s="10">
        <v>24.0</v>
      </c>
      <c r="I525" s="11">
        <v>1.722</v>
      </c>
      <c r="J525" s="11">
        <v>72.0</v>
      </c>
      <c r="K525" s="11" t="s">
        <v>2482</v>
      </c>
      <c r="L525" s="11" t="s">
        <v>2079</v>
      </c>
      <c r="M525" s="10">
        <v>19.0</v>
      </c>
      <c r="N525" s="11">
        <v>86.0</v>
      </c>
      <c r="O525" s="11">
        <v>14.0</v>
      </c>
      <c r="P525" s="10">
        <v>5.0</v>
      </c>
      <c r="Q525" s="11">
        <v>16.0</v>
      </c>
      <c r="R525" s="11">
        <v>5.0</v>
      </c>
      <c r="S525" s="13">
        <v>0.07083333333333333</v>
      </c>
      <c r="T525" s="11">
        <v>32.0</v>
      </c>
      <c r="U525" s="11">
        <v>26.0</v>
      </c>
      <c r="V525" s="14">
        <f>+6</f>
        <v>6</v>
      </c>
      <c r="W525" s="14" t="str">
        <f>+0.31</f>
        <v>#ERROR!</v>
      </c>
      <c r="X525" s="14" t="str">
        <f>+0.77</f>
        <v>#ERROR!</v>
      </c>
      <c r="Y525" s="16" t="s">
        <v>2483</v>
      </c>
    </row>
    <row r="526">
      <c r="A526" s="6">
        <v>505.0</v>
      </c>
      <c r="B526" s="7" t="s">
        <v>2484</v>
      </c>
      <c r="C526" s="8" t="s">
        <v>2485</v>
      </c>
      <c r="D526" s="9" t="s">
        <v>66</v>
      </c>
      <c r="E526" s="7" t="s">
        <v>2486</v>
      </c>
      <c r="F526" s="9">
        <v>22.0</v>
      </c>
      <c r="G526" s="9">
        <v>2001.0</v>
      </c>
      <c r="H526" s="10">
        <v>23.0</v>
      </c>
      <c r="I526" s="11">
        <v>1.867</v>
      </c>
      <c r="J526" s="11">
        <v>81.0</v>
      </c>
      <c r="K526" s="11" t="s">
        <v>2487</v>
      </c>
      <c r="L526" s="11" t="s">
        <v>2009</v>
      </c>
      <c r="M526" s="10">
        <v>22.0</v>
      </c>
      <c r="N526" s="11">
        <v>84.0</v>
      </c>
      <c r="O526" s="11">
        <v>16.0</v>
      </c>
      <c r="P526" s="10">
        <v>1.0</v>
      </c>
      <c r="Q526" s="11">
        <v>11.0</v>
      </c>
      <c r="R526" s="11">
        <v>2.0</v>
      </c>
      <c r="S526" s="13">
        <v>0.09305555555555556</v>
      </c>
      <c r="T526" s="11">
        <v>28.0</v>
      </c>
      <c r="U526" s="11">
        <v>21.0</v>
      </c>
      <c r="V526" s="14">
        <f>+7</f>
        <v>7</v>
      </c>
      <c r="W526" s="14" t="str">
        <f>+0.34</f>
        <v>#ERROR!</v>
      </c>
      <c r="X526" s="14" t="str">
        <f>+0.12</f>
        <v>#ERROR!</v>
      </c>
      <c r="Y526" s="16" t="s">
        <v>2488</v>
      </c>
    </row>
    <row r="527">
      <c r="A527" s="6">
        <v>506.0</v>
      </c>
      <c r="B527" s="7" t="s">
        <v>2489</v>
      </c>
      <c r="C527" s="8" t="s">
        <v>2490</v>
      </c>
      <c r="D527" s="9" t="s">
        <v>52</v>
      </c>
      <c r="E527" s="7" t="s">
        <v>2491</v>
      </c>
      <c r="F527" s="9">
        <v>17.0</v>
      </c>
      <c r="G527" s="9">
        <v>2006.0</v>
      </c>
      <c r="H527" s="10">
        <v>2.0</v>
      </c>
      <c r="I527" s="11">
        <v>46.0</v>
      </c>
      <c r="J527" s="11">
        <v>23.0</v>
      </c>
      <c r="K527" s="11" t="s">
        <v>200</v>
      </c>
      <c r="L527" s="11" t="s">
        <v>201</v>
      </c>
      <c r="M527" s="18">
        <v>0.0</v>
      </c>
      <c r="N527" s="19"/>
      <c r="O527" s="12">
        <v>0.0</v>
      </c>
      <c r="P527" s="10">
        <v>2.0</v>
      </c>
      <c r="Q527" s="11">
        <v>23.0</v>
      </c>
      <c r="R527" s="11">
        <v>7.0</v>
      </c>
      <c r="S527" s="13">
        <v>0.125</v>
      </c>
      <c r="T527" s="12">
        <v>0.0</v>
      </c>
      <c r="U527" s="12">
        <v>0.0</v>
      </c>
      <c r="V527" s="12">
        <v>0.0</v>
      </c>
      <c r="W527" s="21">
        <v>0.0</v>
      </c>
      <c r="X527" s="15">
        <v>-0.011805555555555555</v>
      </c>
      <c r="Y527" s="16" t="s">
        <v>2492</v>
      </c>
    </row>
    <row r="528">
      <c r="A528" s="6">
        <v>507.0</v>
      </c>
      <c r="B528" s="7" t="s">
        <v>2493</v>
      </c>
      <c r="C528" s="8" t="s">
        <v>2494</v>
      </c>
      <c r="D528" s="9" t="s">
        <v>284</v>
      </c>
      <c r="E528" s="7" t="s">
        <v>2495</v>
      </c>
      <c r="F528" s="9">
        <v>33.0</v>
      </c>
      <c r="G528" s="9">
        <v>1990.0</v>
      </c>
      <c r="H528" s="10">
        <v>20.0</v>
      </c>
      <c r="I528" s="11">
        <v>1.313</v>
      </c>
      <c r="J528" s="11">
        <v>66.0</v>
      </c>
      <c r="K528" s="11" t="s">
        <v>2496</v>
      </c>
      <c r="L528" s="11" t="s">
        <v>106</v>
      </c>
      <c r="M528" s="10">
        <v>14.0</v>
      </c>
      <c r="N528" s="11">
        <v>84.0</v>
      </c>
      <c r="O528" s="11">
        <v>9.0</v>
      </c>
      <c r="P528" s="10">
        <v>6.0</v>
      </c>
      <c r="Q528" s="11">
        <v>23.0</v>
      </c>
      <c r="R528" s="11">
        <v>10.0</v>
      </c>
      <c r="S528" s="13">
        <v>0.06597222222222222</v>
      </c>
      <c r="T528" s="11">
        <v>18.0</v>
      </c>
      <c r="U528" s="11">
        <v>17.0</v>
      </c>
      <c r="V528" s="14">
        <f>+1</f>
        <v>1</v>
      </c>
      <c r="W528" s="14" t="str">
        <f>+0.07</f>
        <v>#ERROR!</v>
      </c>
      <c r="X528" s="14" t="str">
        <f>+0.78</f>
        <v>#ERROR!</v>
      </c>
      <c r="Y528" s="16" t="s">
        <v>2497</v>
      </c>
    </row>
    <row r="529">
      <c r="A529" s="6">
        <v>508.0</v>
      </c>
      <c r="B529" s="7" t="s">
        <v>2498</v>
      </c>
      <c r="C529" s="8" t="s">
        <v>2499</v>
      </c>
      <c r="D529" s="9" t="s">
        <v>66</v>
      </c>
      <c r="E529" s="7" t="s">
        <v>2500</v>
      </c>
      <c r="F529" s="9">
        <v>23.0</v>
      </c>
      <c r="G529" s="9">
        <v>2001.0</v>
      </c>
      <c r="H529" s="10">
        <v>2.0</v>
      </c>
      <c r="I529" s="11">
        <v>172.0</v>
      </c>
      <c r="J529" s="11">
        <v>86.0</v>
      </c>
      <c r="K529" s="11" t="s">
        <v>1840</v>
      </c>
      <c r="L529" s="11" t="s">
        <v>1407</v>
      </c>
      <c r="M529" s="10">
        <v>2.0</v>
      </c>
      <c r="N529" s="11">
        <v>86.0</v>
      </c>
      <c r="O529" s="11">
        <v>1.0</v>
      </c>
      <c r="P529" s="18">
        <v>0.0</v>
      </c>
      <c r="Q529" s="19"/>
      <c r="R529" s="12">
        <v>0.0</v>
      </c>
      <c r="S529" s="13">
        <v>0.0763888888888889</v>
      </c>
      <c r="T529" s="11">
        <v>3.0</v>
      </c>
      <c r="U529" s="11">
        <v>3.0</v>
      </c>
      <c r="V529" s="12">
        <v>0.0</v>
      </c>
      <c r="W529" s="21">
        <v>0.0</v>
      </c>
      <c r="X529" s="15">
        <v>-0.05694444444444444</v>
      </c>
      <c r="Y529" s="16" t="s">
        <v>2501</v>
      </c>
    </row>
    <row r="530">
      <c r="A530" s="6">
        <v>509.0</v>
      </c>
      <c r="B530" s="7" t="s">
        <v>2502</v>
      </c>
      <c r="C530" s="8" t="s">
        <v>2503</v>
      </c>
      <c r="D530" s="9" t="s">
        <v>52</v>
      </c>
      <c r="E530" s="7" t="s">
        <v>2504</v>
      </c>
      <c r="F530" s="9">
        <v>18.0</v>
      </c>
      <c r="G530" s="9">
        <v>2005.0</v>
      </c>
      <c r="H530" s="10">
        <v>11.0</v>
      </c>
      <c r="I530" s="11">
        <v>956.0</v>
      </c>
      <c r="J530" s="11">
        <v>87.0</v>
      </c>
      <c r="K530" s="11" t="s">
        <v>1258</v>
      </c>
      <c r="L530" s="11" t="s">
        <v>901</v>
      </c>
      <c r="M530" s="10">
        <v>11.0</v>
      </c>
      <c r="N530" s="11">
        <v>87.0</v>
      </c>
      <c r="O530" s="11">
        <v>9.0</v>
      </c>
      <c r="P530" s="18">
        <v>0.0</v>
      </c>
      <c r="Q530" s="19"/>
      <c r="R530" s="12">
        <v>0.0</v>
      </c>
      <c r="S530" s="13">
        <v>0.041666666666666664</v>
      </c>
      <c r="T530" s="11">
        <v>11.0</v>
      </c>
      <c r="U530" s="11">
        <v>19.0</v>
      </c>
      <c r="V530" s="17">
        <v>-8.0</v>
      </c>
      <c r="W530" s="15">
        <v>-0.052083333333333336</v>
      </c>
      <c r="X530" s="15">
        <v>-0.04513888888888889</v>
      </c>
      <c r="Y530" s="16" t="s">
        <v>2505</v>
      </c>
    </row>
    <row r="531">
      <c r="A531" s="6">
        <v>510.0</v>
      </c>
      <c r="B531" s="7" t="s">
        <v>2506</v>
      </c>
      <c r="C531" s="8" t="s">
        <v>2507</v>
      </c>
      <c r="D531" s="9" t="s">
        <v>66</v>
      </c>
      <c r="E531" s="7" t="s">
        <v>2508</v>
      </c>
      <c r="F531" s="9">
        <v>19.0</v>
      </c>
      <c r="G531" s="9">
        <v>2004.0</v>
      </c>
      <c r="H531" s="10">
        <v>1.0</v>
      </c>
      <c r="I531" s="11">
        <v>6.0</v>
      </c>
      <c r="J531" s="11">
        <v>6.0</v>
      </c>
      <c r="K531" s="11" t="s">
        <v>48</v>
      </c>
      <c r="L531" s="11" t="s">
        <v>155</v>
      </c>
      <c r="M531" s="18">
        <v>0.0</v>
      </c>
      <c r="N531" s="19"/>
      <c r="O531" s="12">
        <v>0.0</v>
      </c>
      <c r="P531" s="10">
        <v>1.0</v>
      </c>
      <c r="Q531" s="11">
        <v>6.0</v>
      </c>
      <c r="R531" s="11">
        <v>6.0</v>
      </c>
      <c r="S531" s="13">
        <v>0.041666666666666664</v>
      </c>
      <c r="T531" s="11">
        <v>1.0</v>
      </c>
      <c r="U531" s="12">
        <v>0.0</v>
      </c>
      <c r="V531" s="14">
        <f>+1</f>
        <v>1</v>
      </c>
      <c r="W531" s="14" t="str">
        <f>+15.00</f>
        <v>#ERROR!</v>
      </c>
      <c r="X531" s="14" t="str">
        <f>+15.37</f>
        <v>#ERROR!</v>
      </c>
      <c r="Y531" s="16" t="s">
        <v>2509</v>
      </c>
    </row>
    <row r="532">
      <c r="A532" s="6">
        <v>511.0</v>
      </c>
      <c r="B532" s="7" t="s">
        <v>2510</v>
      </c>
      <c r="C532" s="8" t="s">
        <v>2511</v>
      </c>
      <c r="D532" s="9" t="s">
        <v>66</v>
      </c>
      <c r="E532" s="7" t="s">
        <v>2512</v>
      </c>
      <c r="F532" s="9">
        <v>23.0</v>
      </c>
      <c r="G532" s="9">
        <v>2001.0</v>
      </c>
      <c r="H532" s="10">
        <v>22.0</v>
      </c>
      <c r="I532" s="11">
        <v>1.957</v>
      </c>
      <c r="J532" s="11">
        <v>89.0</v>
      </c>
      <c r="K532" s="11" t="s">
        <v>1058</v>
      </c>
      <c r="L532" s="11" t="s">
        <v>863</v>
      </c>
      <c r="M532" s="10">
        <v>22.0</v>
      </c>
      <c r="N532" s="11">
        <v>89.0</v>
      </c>
      <c r="O532" s="11">
        <v>20.0</v>
      </c>
      <c r="P532" s="18">
        <v>0.0</v>
      </c>
      <c r="Q532" s="19"/>
      <c r="R532" s="11">
        <v>1.0</v>
      </c>
      <c r="S532" s="13">
        <v>0.08611111111111111</v>
      </c>
      <c r="T532" s="11">
        <v>37.0</v>
      </c>
      <c r="U532" s="11">
        <v>33.0</v>
      </c>
      <c r="V532" s="14">
        <f>+4</f>
        <v>4</v>
      </c>
      <c r="W532" s="14" t="str">
        <f>+0.18</f>
        <v>#ERROR!</v>
      </c>
      <c r="X532" s="15">
        <v>-0.020833333333333332</v>
      </c>
      <c r="Y532" s="16" t="s">
        <v>2513</v>
      </c>
    </row>
    <row r="533">
      <c r="A533" s="6">
        <v>512.0</v>
      </c>
      <c r="B533" s="7" t="s">
        <v>2514</v>
      </c>
      <c r="C533" s="8" t="s">
        <v>2515</v>
      </c>
      <c r="D533" s="9" t="s">
        <v>52</v>
      </c>
      <c r="E533" s="7" t="s">
        <v>2516</v>
      </c>
      <c r="F533" s="9">
        <v>24.0</v>
      </c>
      <c r="G533" s="9">
        <v>1999.0</v>
      </c>
      <c r="H533" s="10">
        <v>8.0</v>
      </c>
      <c r="I533" s="11">
        <v>146.0</v>
      </c>
      <c r="J533" s="11">
        <v>18.0</v>
      </c>
      <c r="K533" s="11" t="s">
        <v>1289</v>
      </c>
      <c r="L533" s="11" t="s">
        <v>1415</v>
      </c>
      <c r="M533" s="10">
        <v>1.0</v>
      </c>
      <c r="N533" s="11">
        <v>67.0</v>
      </c>
      <c r="O533" s="12">
        <v>0.0</v>
      </c>
      <c r="P533" s="10">
        <v>7.0</v>
      </c>
      <c r="Q533" s="11">
        <v>11.0</v>
      </c>
      <c r="R533" s="11">
        <v>6.0</v>
      </c>
      <c r="S533" s="13">
        <v>0.041666666666666664</v>
      </c>
      <c r="T533" s="11">
        <v>3.0</v>
      </c>
      <c r="U533" s="11">
        <v>3.0</v>
      </c>
      <c r="V533" s="12">
        <v>0.0</v>
      </c>
      <c r="W533" s="21">
        <v>0.0</v>
      </c>
      <c r="X533" s="14" t="str">
        <f>+0.70</f>
        <v>#ERROR!</v>
      </c>
      <c r="Y533" s="16" t="s">
        <v>2517</v>
      </c>
    </row>
    <row r="534">
      <c r="A534" s="6">
        <v>513.0</v>
      </c>
      <c r="B534" s="7" t="s">
        <v>2518</v>
      </c>
      <c r="C534" s="8" t="s">
        <v>2519</v>
      </c>
      <c r="D534" s="9" t="s">
        <v>32</v>
      </c>
      <c r="E534" s="7" t="s">
        <v>2520</v>
      </c>
      <c r="F534" s="9">
        <v>23.0</v>
      </c>
      <c r="G534" s="9">
        <v>2000.0</v>
      </c>
      <c r="H534" s="10">
        <v>23.0</v>
      </c>
      <c r="I534" s="11">
        <v>1.323</v>
      </c>
      <c r="J534" s="11">
        <v>58.0</v>
      </c>
      <c r="K534" s="11" t="s">
        <v>2521</v>
      </c>
      <c r="L534" s="11" t="s">
        <v>2522</v>
      </c>
      <c r="M534" s="10">
        <v>16.0</v>
      </c>
      <c r="N534" s="11">
        <v>73.0</v>
      </c>
      <c r="O534" s="11">
        <v>3.0</v>
      </c>
      <c r="P534" s="10">
        <v>7.0</v>
      </c>
      <c r="Q534" s="11">
        <v>22.0</v>
      </c>
      <c r="R534" s="11">
        <v>2.0</v>
      </c>
      <c r="S534" s="13">
        <v>0.07777777777777778</v>
      </c>
      <c r="T534" s="11">
        <v>31.0</v>
      </c>
      <c r="U534" s="11">
        <v>22.0</v>
      </c>
      <c r="V534" s="14">
        <f>+9</f>
        <v>9</v>
      </c>
      <c r="W534" s="14" t="str">
        <f>+0.61</f>
        <v>#ERROR!</v>
      </c>
      <c r="X534" s="14" t="str">
        <f>+1.00</f>
        <v>#ERROR!</v>
      </c>
      <c r="Y534" s="16" t="s">
        <v>2523</v>
      </c>
    </row>
    <row r="535">
      <c r="A535" s="6">
        <v>514.0</v>
      </c>
      <c r="B535" s="7" t="s">
        <v>2524</v>
      </c>
      <c r="C535" s="8" t="s">
        <v>2525</v>
      </c>
      <c r="D535" s="9" t="s">
        <v>52</v>
      </c>
      <c r="E535" s="7" t="s">
        <v>2526</v>
      </c>
      <c r="F535" s="9">
        <v>17.0</v>
      </c>
      <c r="G535" s="9">
        <v>2006.0</v>
      </c>
      <c r="H535" s="18">
        <v>0.0</v>
      </c>
      <c r="I535" s="19"/>
      <c r="J535" s="19"/>
      <c r="K535" s="19"/>
      <c r="L535" s="19"/>
      <c r="M535" s="18">
        <v>0.0</v>
      </c>
      <c r="N535" s="19"/>
      <c r="O535" s="12">
        <v>0.0</v>
      </c>
      <c r="P535" s="18">
        <v>0.0</v>
      </c>
      <c r="Q535" s="19"/>
      <c r="R535" s="11">
        <v>1.0</v>
      </c>
      <c r="S535" s="24"/>
      <c r="T535" s="19"/>
      <c r="U535" s="19"/>
      <c r="V535" s="19"/>
      <c r="W535" s="19"/>
      <c r="X535" s="19"/>
      <c r="Y535" s="16" t="s">
        <v>2527</v>
      </c>
    </row>
    <row r="536">
      <c r="A536" s="6">
        <v>515.0</v>
      </c>
      <c r="B536" s="7" t="s">
        <v>2528</v>
      </c>
      <c r="C536" s="8" t="s">
        <v>2529</v>
      </c>
      <c r="D536" s="9" t="s">
        <v>66</v>
      </c>
      <c r="E536" s="7" t="s">
        <v>2530</v>
      </c>
      <c r="F536" s="9">
        <v>18.0</v>
      </c>
      <c r="G536" s="9">
        <v>2005.0</v>
      </c>
      <c r="H536" s="10">
        <v>14.0</v>
      </c>
      <c r="I536" s="11">
        <v>965.0</v>
      </c>
      <c r="J536" s="11">
        <v>69.0</v>
      </c>
      <c r="K536" s="11" t="s">
        <v>2531</v>
      </c>
      <c r="L536" s="11" t="s">
        <v>330</v>
      </c>
      <c r="M536" s="10">
        <v>10.0</v>
      </c>
      <c r="N536" s="11">
        <v>90.0</v>
      </c>
      <c r="O536" s="11">
        <v>9.0</v>
      </c>
      <c r="P536" s="10">
        <v>4.0</v>
      </c>
      <c r="Q536" s="11">
        <v>17.0</v>
      </c>
      <c r="R536" s="11">
        <v>9.0</v>
      </c>
      <c r="S536" s="13">
        <v>0.09791666666666667</v>
      </c>
      <c r="T536" s="11">
        <v>18.0</v>
      </c>
      <c r="U536" s="11">
        <v>10.0</v>
      </c>
      <c r="V536" s="14">
        <f>+8</f>
        <v>8</v>
      </c>
      <c r="W536" s="14" t="str">
        <f>+0.75</f>
        <v>#ERROR!</v>
      </c>
      <c r="X536" s="15">
        <v>-0.043055555555555555</v>
      </c>
      <c r="Y536" s="16" t="s">
        <v>2532</v>
      </c>
    </row>
    <row r="537">
      <c r="A537" s="6">
        <v>516.0</v>
      </c>
      <c r="B537" s="7" t="s">
        <v>2533</v>
      </c>
      <c r="C537" s="8" t="s">
        <v>2534</v>
      </c>
      <c r="D537" s="9" t="s">
        <v>66</v>
      </c>
      <c r="E537" s="7" t="s">
        <v>2535</v>
      </c>
      <c r="F537" s="9">
        <v>19.0</v>
      </c>
      <c r="G537" s="9">
        <v>2004.0</v>
      </c>
      <c r="H537" s="10">
        <v>5.0</v>
      </c>
      <c r="I537" s="11">
        <v>289.0</v>
      </c>
      <c r="J537" s="11">
        <v>58.0</v>
      </c>
      <c r="K537" s="11" t="s">
        <v>330</v>
      </c>
      <c r="L537" s="11" t="s">
        <v>902</v>
      </c>
      <c r="M537" s="10">
        <v>2.0</v>
      </c>
      <c r="N537" s="11">
        <v>85.0</v>
      </c>
      <c r="O537" s="11">
        <v>1.0</v>
      </c>
      <c r="P537" s="10">
        <v>3.0</v>
      </c>
      <c r="Q537" s="11">
        <v>40.0</v>
      </c>
      <c r="R537" s="11">
        <v>5.0</v>
      </c>
      <c r="S537" s="13">
        <v>0.041666666666666664</v>
      </c>
      <c r="T537" s="11">
        <v>3.0</v>
      </c>
      <c r="U537" s="11">
        <v>4.0</v>
      </c>
      <c r="V537" s="17">
        <v>-1.0</v>
      </c>
      <c r="W537" s="15">
        <v>-0.021527777777777778</v>
      </c>
      <c r="X537" s="15">
        <v>-0.03194444444444444</v>
      </c>
      <c r="Y537" s="16" t="s">
        <v>2536</v>
      </c>
    </row>
    <row r="538">
      <c r="A538" s="6">
        <v>517.0</v>
      </c>
      <c r="B538" s="7" t="s">
        <v>2537</v>
      </c>
      <c r="C538" s="8" t="s">
        <v>2538</v>
      </c>
      <c r="D538" s="9" t="s">
        <v>45</v>
      </c>
      <c r="E538" s="7" t="s">
        <v>2539</v>
      </c>
      <c r="F538" s="9">
        <v>26.0</v>
      </c>
      <c r="G538" s="9">
        <v>1997.0</v>
      </c>
      <c r="H538" s="10">
        <v>29.0</v>
      </c>
      <c r="I538" s="11">
        <v>2.061</v>
      </c>
      <c r="J538" s="11">
        <v>71.0</v>
      </c>
      <c r="K538" s="11" t="s">
        <v>515</v>
      </c>
      <c r="L538" s="11" t="s">
        <v>516</v>
      </c>
      <c r="M538" s="10">
        <v>24.0</v>
      </c>
      <c r="N538" s="11">
        <v>79.0</v>
      </c>
      <c r="O538" s="11">
        <v>7.0</v>
      </c>
      <c r="P538" s="10">
        <v>5.0</v>
      </c>
      <c r="Q538" s="11">
        <v>31.0</v>
      </c>
      <c r="R538" s="12">
        <v>0.0</v>
      </c>
      <c r="S538" s="13">
        <v>0.06736111111111111</v>
      </c>
      <c r="T538" s="11">
        <v>21.0</v>
      </c>
      <c r="U538" s="11">
        <v>31.0</v>
      </c>
      <c r="V538" s="17">
        <v>-10.0</v>
      </c>
      <c r="W538" s="15">
        <v>-0.030555555555555555</v>
      </c>
      <c r="X538" s="15">
        <v>-0.030555555555555555</v>
      </c>
      <c r="Y538" s="16" t="s">
        <v>2540</v>
      </c>
    </row>
    <row r="539">
      <c r="A539" s="6">
        <v>518.0</v>
      </c>
      <c r="B539" s="7" t="s">
        <v>2541</v>
      </c>
      <c r="C539" s="8" t="s">
        <v>2542</v>
      </c>
      <c r="D539" s="9" t="s">
        <v>52</v>
      </c>
      <c r="E539" s="7" t="s">
        <v>2543</v>
      </c>
      <c r="F539" s="9">
        <v>17.0</v>
      </c>
      <c r="G539" s="9">
        <v>2007.0</v>
      </c>
      <c r="H539" s="18">
        <v>0.0</v>
      </c>
      <c r="I539" s="19"/>
      <c r="J539" s="19"/>
      <c r="K539" s="19"/>
      <c r="L539" s="19"/>
      <c r="M539" s="18">
        <v>0.0</v>
      </c>
      <c r="N539" s="19"/>
      <c r="O539" s="12">
        <v>0.0</v>
      </c>
      <c r="P539" s="18">
        <v>0.0</v>
      </c>
      <c r="Q539" s="19"/>
      <c r="R539" s="11">
        <v>1.0</v>
      </c>
      <c r="S539" s="24"/>
      <c r="T539" s="19"/>
      <c r="U539" s="19"/>
      <c r="V539" s="19"/>
      <c r="W539" s="19"/>
      <c r="X539" s="19"/>
      <c r="Y539" s="16" t="s">
        <v>2544</v>
      </c>
    </row>
    <row r="540">
      <c r="A540" s="6">
        <v>519.0</v>
      </c>
      <c r="B540" s="7" t="s">
        <v>2545</v>
      </c>
      <c r="C540" s="8" t="s">
        <v>2546</v>
      </c>
      <c r="D540" s="9" t="s">
        <v>45</v>
      </c>
      <c r="E540" s="7" t="s">
        <v>2547</v>
      </c>
      <c r="F540" s="9">
        <v>28.0</v>
      </c>
      <c r="G540" s="9">
        <v>1995.0</v>
      </c>
      <c r="H540" s="10">
        <v>27.0</v>
      </c>
      <c r="I540" s="11">
        <v>1.607</v>
      </c>
      <c r="J540" s="11">
        <v>60.0</v>
      </c>
      <c r="K540" s="11" t="s">
        <v>2548</v>
      </c>
      <c r="L540" s="11" t="s">
        <v>1288</v>
      </c>
      <c r="M540" s="10">
        <v>21.0</v>
      </c>
      <c r="N540" s="11">
        <v>70.0</v>
      </c>
      <c r="O540" s="11">
        <v>2.0</v>
      </c>
      <c r="P540" s="10">
        <v>6.0</v>
      </c>
      <c r="Q540" s="11">
        <v>22.0</v>
      </c>
      <c r="R540" s="11">
        <v>3.0</v>
      </c>
      <c r="S540" s="13">
        <v>0.075</v>
      </c>
      <c r="T540" s="11">
        <v>27.0</v>
      </c>
      <c r="U540" s="11">
        <v>27.0</v>
      </c>
      <c r="V540" s="12">
        <v>0.0</v>
      </c>
      <c r="W540" s="21">
        <v>0.0</v>
      </c>
      <c r="X540" s="15">
        <v>-0.04583333333333333</v>
      </c>
      <c r="Y540" s="16" t="s">
        <v>2549</v>
      </c>
    </row>
    <row r="541">
      <c r="A541" s="6">
        <v>520.0</v>
      </c>
      <c r="B541" s="7" t="s">
        <v>2550</v>
      </c>
      <c r="C541" s="8" t="s">
        <v>2551</v>
      </c>
      <c r="D541" s="9" t="s">
        <v>52</v>
      </c>
      <c r="E541" s="7" t="s">
        <v>2552</v>
      </c>
      <c r="F541" s="9">
        <v>21.0</v>
      </c>
      <c r="G541" s="9">
        <v>2002.0</v>
      </c>
      <c r="H541" s="10">
        <v>25.0</v>
      </c>
      <c r="I541" s="11">
        <v>1.205</v>
      </c>
      <c r="J541" s="11">
        <v>48.0</v>
      </c>
      <c r="K541" s="11" t="s">
        <v>2553</v>
      </c>
      <c r="L541" s="11" t="s">
        <v>754</v>
      </c>
      <c r="M541" s="10">
        <v>12.0</v>
      </c>
      <c r="N541" s="11">
        <v>77.0</v>
      </c>
      <c r="O541" s="11">
        <v>4.0</v>
      </c>
      <c r="P541" s="10">
        <v>13.0</v>
      </c>
      <c r="Q541" s="11">
        <v>22.0</v>
      </c>
      <c r="R541" s="12">
        <v>0.0</v>
      </c>
      <c r="S541" s="13">
        <v>0.06944444444444445</v>
      </c>
      <c r="T541" s="11">
        <v>28.0</v>
      </c>
      <c r="U541" s="11">
        <v>18.0</v>
      </c>
      <c r="V541" s="14">
        <f>+10</f>
        <v>10</v>
      </c>
      <c r="W541" s="14" t="str">
        <f>+0.75</f>
        <v>#ERROR!</v>
      </c>
      <c r="X541" s="14" t="str">
        <f>+0.87</f>
        <v>#ERROR!</v>
      </c>
      <c r="Y541" s="16" t="s">
        <v>2554</v>
      </c>
    </row>
    <row r="542">
      <c r="A542" s="6">
        <v>521.0</v>
      </c>
      <c r="B542" s="7" t="s">
        <v>2555</v>
      </c>
      <c r="C542" s="8" t="s">
        <v>2556</v>
      </c>
      <c r="D542" s="9" t="s">
        <v>284</v>
      </c>
      <c r="E542" s="7" t="s">
        <v>2557</v>
      </c>
      <c r="F542" s="9">
        <v>31.0</v>
      </c>
      <c r="G542" s="9">
        <v>1992.0</v>
      </c>
      <c r="H542" s="10">
        <v>8.0</v>
      </c>
      <c r="I542" s="11">
        <v>84.0</v>
      </c>
      <c r="J542" s="11">
        <v>11.0</v>
      </c>
      <c r="K542" s="11" t="s">
        <v>418</v>
      </c>
      <c r="L542" s="11" t="s">
        <v>194</v>
      </c>
      <c r="M542" s="18">
        <v>0.0</v>
      </c>
      <c r="N542" s="19"/>
      <c r="O542" s="12">
        <v>0.0</v>
      </c>
      <c r="P542" s="10">
        <v>8.0</v>
      </c>
      <c r="Q542" s="11">
        <v>11.0</v>
      </c>
      <c r="R542" s="11">
        <v>6.0</v>
      </c>
      <c r="S542" s="13">
        <v>0.08541666666666667</v>
      </c>
      <c r="T542" s="11">
        <v>3.0</v>
      </c>
      <c r="U542" s="12">
        <v>0.0</v>
      </c>
      <c r="V542" s="14">
        <f>+3</f>
        <v>3</v>
      </c>
      <c r="W542" s="14" t="str">
        <f>+3.21</f>
        <v>#ERROR!</v>
      </c>
      <c r="X542" s="14" t="str">
        <f>+3.56</f>
        <v>#ERROR!</v>
      </c>
      <c r="Y542" s="16" t="s">
        <v>2558</v>
      </c>
    </row>
    <row r="543">
      <c r="A543" s="6">
        <v>522.0</v>
      </c>
      <c r="B543" s="7" t="s">
        <v>2559</v>
      </c>
      <c r="C543" s="8" t="s">
        <v>2560</v>
      </c>
      <c r="D543" s="9" t="s">
        <v>52</v>
      </c>
      <c r="E543" s="7" t="s">
        <v>2561</v>
      </c>
      <c r="F543" s="9">
        <v>23.0</v>
      </c>
      <c r="G543" s="9">
        <v>2000.0</v>
      </c>
      <c r="H543" s="10">
        <v>27.0</v>
      </c>
      <c r="I543" s="11">
        <v>2.268</v>
      </c>
      <c r="J543" s="11">
        <v>84.0</v>
      </c>
      <c r="K543" s="11" t="s">
        <v>2562</v>
      </c>
      <c r="L543" s="11" t="s">
        <v>712</v>
      </c>
      <c r="M543" s="10">
        <v>27.0</v>
      </c>
      <c r="N543" s="11">
        <v>84.0</v>
      </c>
      <c r="O543" s="11">
        <v>17.0</v>
      </c>
      <c r="P543" s="18">
        <v>0.0</v>
      </c>
      <c r="Q543" s="19"/>
      <c r="R543" s="12">
        <v>0.0</v>
      </c>
      <c r="S543" s="13">
        <v>0.041666666666666664</v>
      </c>
      <c r="T543" s="11">
        <v>28.0</v>
      </c>
      <c r="U543" s="11">
        <v>34.0</v>
      </c>
      <c r="V543" s="17">
        <v>-6.0</v>
      </c>
      <c r="W543" s="15">
        <v>-0.016666666666666666</v>
      </c>
      <c r="X543" s="14" t="str">
        <f>+0.60</f>
        <v>#ERROR!</v>
      </c>
      <c r="Y543" s="16" t="s">
        <v>2563</v>
      </c>
    </row>
    <row r="544">
      <c r="A544" s="30">
        <v>523.0</v>
      </c>
      <c r="B544" s="31" t="s">
        <v>2564</v>
      </c>
      <c r="C544" s="32" t="s">
        <v>2565</v>
      </c>
      <c r="D544" s="33" t="s">
        <v>59</v>
      </c>
      <c r="E544" s="31" t="s">
        <v>2566</v>
      </c>
      <c r="F544" s="33">
        <v>20.0</v>
      </c>
      <c r="G544" s="33">
        <v>2004.0</v>
      </c>
      <c r="H544" s="34">
        <v>12.0</v>
      </c>
      <c r="I544" s="35">
        <v>555.0</v>
      </c>
      <c r="J544" s="35">
        <v>46.0</v>
      </c>
      <c r="K544" s="35" t="s">
        <v>831</v>
      </c>
      <c r="L544" s="35" t="s">
        <v>832</v>
      </c>
      <c r="M544" s="34">
        <v>6.0</v>
      </c>
      <c r="N544" s="35">
        <v>70.0</v>
      </c>
      <c r="O544" s="36">
        <v>0.0</v>
      </c>
      <c r="P544" s="34">
        <v>6.0</v>
      </c>
      <c r="Q544" s="35">
        <v>23.0</v>
      </c>
      <c r="R544" s="35">
        <v>1.0</v>
      </c>
      <c r="S544" s="37">
        <v>0.08194444444444444</v>
      </c>
      <c r="T544" s="35">
        <v>11.0</v>
      </c>
      <c r="U544" s="35">
        <v>9.0</v>
      </c>
      <c r="V544" s="38">
        <f>+2</f>
        <v>2</v>
      </c>
      <c r="W544" s="38" t="str">
        <f>+0.32</f>
        <v>#ERROR!</v>
      </c>
      <c r="X544" s="39">
        <v>-0.03888888888888889</v>
      </c>
      <c r="Y544" s="40" t="s">
        <v>2567</v>
      </c>
    </row>
  </sheetData>
  <hyperlinks>
    <hyperlink r:id="rId1" ref="B2"/>
    <hyperlink r:id="rId2" ref="C2"/>
    <hyperlink r:id="rId3" ref="E2"/>
    <hyperlink r:id="rId4" ref="Y2"/>
    <hyperlink r:id="rId5" ref="B3"/>
    <hyperlink r:id="rId6" ref="C3"/>
    <hyperlink r:id="rId7" ref="E3"/>
    <hyperlink r:id="rId8" ref="Y3"/>
    <hyperlink r:id="rId9" ref="B4"/>
    <hyperlink r:id="rId10" ref="C4"/>
    <hyperlink r:id="rId11" ref="E4"/>
    <hyperlink r:id="rId12" ref="Y4"/>
    <hyperlink r:id="rId13" ref="B5"/>
    <hyperlink r:id="rId14" ref="C5"/>
    <hyperlink r:id="rId15" ref="E5"/>
    <hyperlink r:id="rId16" ref="Y5"/>
    <hyperlink r:id="rId17" ref="B6"/>
    <hyperlink r:id="rId18" ref="C6"/>
    <hyperlink r:id="rId19" ref="E6"/>
    <hyperlink r:id="rId20" ref="Y6"/>
    <hyperlink r:id="rId21" ref="B7"/>
    <hyperlink r:id="rId22" ref="C7"/>
    <hyperlink r:id="rId23" ref="E7"/>
    <hyperlink r:id="rId24" ref="Y7"/>
    <hyperlink r:id="rId25" ref="B8"/>
    <hyperlink r:id="rId26" ref="C8"/>
    <hyperlink r:id="rId27" ref="E8"/>
    <hyperlink r:id="rId28" ref="Y8"/>
    <hyperlink r:id="rId29" ref="B9"/>
    <hyperlink r:id="rId30" ref="C9"/>
    <hyperlink r:id="rId31" ref="E9"/>
    <hyperlink r:id="rId32" ref="Y9"/>
    <hyperlink r:id="rId33" ref="B10"/>
    <hyperlink r:id="rId34" ref="C10"/>
    <hyperlink r:id="rId35" ref="E10"/>
    <hyperlink r:id="rId36" ref="Y10"/>
    <hyperlink r:id="rId37" ref="B11"/>
    <hyperlink r:id="rId38" ref="C11"/>
    <hyperlink r:id="rId39" ref="E11"/>
    <hyperlink r:id="rId40" ref="Y11"/>
    <hyperlink r:id="rId41" ref="B12"/>
    <hyperlink r:id="rId42" ref="C12"/>
    <hyperlink r:id="rId43" ref="E12"/>
    <hyperlink r:id="rId44" ref="Y12"/>
    <hyperlink r:id="rId45" ref="B13"/>
    <hyperlink r:id="rId46" ref="C13"/>
    <hyperlink r:id="rId47" ref="E13"/>
    <hyperlink r:id="rId48" ref="Y13"/>
    <hyperlink r:id="rId49" ref="B14"/>
    <hyperlink r:id="rId50" ref="C14"/>
    <hyperlink r:id="rId51" ref="E14"/>
    <hyperlink r:id="rId52" ref="Y14"/>
    <hyperlink r:id="rId53" ref="B15"/>
    <hyperlink r:id="rId54" ref="C15"/>
    <hyperlink r:id="rId55" ref="E15"/>
    <hyperlink r:id="rId56" ref="Y15"/>
    <hyperlink r:id="rId57" ref="B16"/>
    <hyperlink r:id="rId58" ref="C16"/>
    <hyperlink r:id="rId59" ref="E16"/>
    <hyperlink r:id="rId60" ref="Y16"/>
    <hyperlink r:id="rId61" ref="B17"/>
    <hyperlink r:id="rId62" ref="C17"/>
    <hyperlink r:id="rId63" ref="E17"/>
    <hyperlink r:id="rId64" ref="Y17"/>
    <hyperlink r:id="rId65" ref="B18"/>
    <hyperlink r:id="rId66" ref="C18"/>
    <hyperlink r:id="rId67" ref="E18"/>
    <hyperlink r:id="rId68" ref="Y18"/>
    <hyperlink r:id="rId69" ref="B19"/>
    <hyperlink r:id="rId70" ref="C19"/>
    <hyperlink r:id="rId71" ref="E19"/>
    <hyperlink r:id="rId72" ref="Y19"/>
    <hyperlink r:id="rId73" ref="B20"/>
    <hyperlink r:id="rId74" ref="C20"/>
    <hyperlink r:id="rId75" ref="E20"/>
    <hyperlink r:id="rId76" ref="Y20"/>
    <hyperlink r:id="rId77" ref="B21"/>
    <hyperlink r:id="rId78" ref="C21"/>
    <hyperlink r:id="rId79" ref="E21"/>
    <hyperlink r:id="rId80" ref="Y21"/>
    <hyperlink r:id="rId81" ref="B22"/>
    <hyperlink r:id="rId82" ref="E22"/>
    <hyperlink r:id="rId83" ref="Y22"/>
    <hyperlink r:id="rId84" ref="B23"/>
    <hyperlink r:id="rId85" ref="C23"/>
    <hyperlink r:id="rId86" ref="E23"/>
    <hyperlink r:id="rId87" ref="Y23"/>
    <hyperlink r:id="rId88" ref="B24"/>
    <hyperlink r:id="rId89" ref="C24"/>
    <hyperlink r:id="rId90" ref="E24"/>
    <hyperlink r:id="rId91" ref="Y24"/>
    <hyperlink r:id="rId92" ref="B25"/>
    <hyperlink r:id="rId93" ref="C25"/>
    <hyperlink r:id="rId94" ref="E25"/>
    <hyperlink r:id="rId95" ref="Y25"/>
    <hyperlink r:id="rId96" ref="B26"/>
    <hyperlink r:id="rId97" ref="C26"/>
    <hyperlink r:id="rId98" ref="E26"/>
    <hyperlink r:id="rId99" ref="Y26"/>
    <hyperlink r:id="rId100" ref="B28"/>
    <hyperlink r:id="rId101" ref="C28"/>
    <hyperlink r:id="rId102" ref="E28"/>
    <hyperlink r:id="rId103" ref="Y28"/>
    <hyperlink r:id="rId104" ref="B29"/>
    <hyperlink r:id="rId105" ref="C29"/>
    <hyperlink r:id="rId106" ref="E29"/>
    <hyperlink r:id="rId107" ref="Y29"/>
    <hyperlink r:id="rId108" ref="B30"/>
    <hyperlink r:id="rId109" ref="C30"/>
    <hyperlink r:id="rId110" ref="E30"/>
    <hyperlink r:id="rId111" ref="Y30"/>
    <hyperlink r:id="rId112" ref="B31"/>
    <hyperlink r:id="rId113" ref="C31"/>
    <hyperlink r:id="rId114" ref="E31"/>
    <hyperlink r:id="rId115" ref="Y31"/>
    <hyperlink r:id="rId116" ref="B32"/>
    <hyperlink r:id="rId117" ref="C32"/>
    <hyperlink r:id="rId118" ref="E32"/>
    <hyperlink r:id="rId119" ref="Y32"/>
    <hyperlink r:id="rId120" ref="B33"/>
    <hyperlink r:id="rId121" ref="C33"/>
    <hyperlink r:id="rId122" ref="E33"/>
    <hyperlink r:id="rId123" ref="Y33"/>
    <hyperlink r:id="rId124" ref="B34"/>
    <hyperlink r:id="rId125" ref="C34"/>
    <hyperlink r:id="rId126" ref="E34"/>
    <hyperlink r:id="rId127" ref="Y34"/>
    <hyperlink r:id="rId128" ref="B35"/>
    <hyperlink r:id="rId129" ref="C35"/>
    <hyperlink r:id="rId130" ref="E35"/>
    <hyperlink r:id="rId131" ref="Y35"/>
    <hyperlink r:id="rId132" ref="B36"/>
    <hyperlink r:id="rId133" ref="E36"/>
    <hyperlink r:id="rId134" ref="Y36"/>
    <hyperlink r:id="rId135" ref="B37"/>
    <hyperlink r:id="rId136" ref="C37"/>
    <hyperlink r:id="rId137" ref="E37"/>
    <hyperlink r:id="rId138" ref="Y37"/>
    <hyperlink r:id="rId139" ref="B38"/>
    <hyperlink r:id="rId140" ref="C38"/>
    <hyperlink r:id="rId141" ref="E38"/>
    <hyperlink r:id="rId142" ref="Y38"/>
    <hyperlink r:id="rId143" ref="B39"/>
    <hyperlink r:id="rId144" ref="C39"/>
    <hyperlink r:id="rId145" ref="E39"/>
    <hyperlink r:id="rId146" ref="Y39"/>
    <hyperlink r:id="rId147" ref="B40"/>
    <hyperlink r:id="rId148" ref="C40"/>
    <hyperlink r:id="rId149" ref="E40"/>
    <hyperlink r:id="rId150" ref="Y40"/>
    <hyperlink r:id="rId151" ref="B41"/>
    <hyperlink r:id="rId152" ref="C41"/>
    <hyperlink r:id="rId153" ref="E41"/>
    <hyperlink r:id="rId154" ref="Y41"/>
    <hyperlink r:id="rId155" ref="B42"/>
    <hyperlink r:id="rId156" ref="C42"/>
    <hyperlink r:id="rId157" ref="E42"/>
    <hyperlink r:id="rId158" ref="Y42"/>
    <hyperlink r:id="rId159" ref="B43"/>
    <hyperlink r:id="rId160" ref="C43"/>
    <hyperlink r:id="rId161" ref="E43"/>
    <hyperlink r:id="rId162" ref="Y43"/>
    <hyperlink r:id="rId163" ref="B44"/>
    <hyperlink r:id="rId164" ref="C44"/>
    <hyperlink r:id="rId165" ref="E44"/>
    <hyperlink r:id="rId166" ref="Y44"/>
    <hyperlink r:id="rId167" ref="B45"/>
    <hyperlink r:id="rId168" ref="C45"/>
    <hyperlink r:id="rId169" ref="E45"/>
    <hyperlink r:id="rId170" ref="Y45"/>
    <hyperlink r:id="rId171" ref="B46"/>
    <hyperlink r:id="rId172" ref="C46"/>
    <hyperlink r:id="rId173" ref="E46"/>
    <hyperlink r:id="rId174" ref="Y46"/>
    <hyperlink r:id="rId175" ref="B47"/>
    <hyperlink r:id="rId176" ref="C47"/>
    <hyperlink r:id="rId177" ref="E47"/>
    <hyperlink r:id="rId178" ref="Y47"/>
    <hyperlink r:id="rId179" ref="B48"/>
    <hyperlink r:id="rId180" ref="C48"/>
    <hyperlink r:id="rId181" ref="E48"/>
    <hyperlink r:id="rId182" ref="Y48"/>
    <hyperlink r:id="rId183" ref="B49"/>
    <hyperlink r:id="rId184" ref="C49"/>
    <hyperlink r:id="rId185" ref="E49"/>
    <hyperlink r:id="rId186" ref="Y49"/>
    <hyperlink r:id="rId187" ref="B50"/>
    <hyperlink r:id="rId188" ref="C50"/>
    <hyperlink r:id="rId189" ref="E50"/>
    <hyperlink r:id="rId190" ref="Y50"/>
    <hyperlink r:id="rId191" ref="B51"/>
    <hyperlink r:id="rId192" ref="C51"/>
    <hyperlink r:id="rId193" ref="E51"/>
    <hyperlink r:id="rId194" ref="Y51"/>
    <hyperlink r:id="rId195" ref="B52"/>
    <hyperlink r:id="rId196" ref="C52"/>
    <hyperlink r:id="rId197" ref="E52"/>
    <hyperlink r:id="rId198" ref="Y52"/>
    <hyperlink r:id="rId199" ref="B54"/>
    <hyperlink r:id="rId200" ref="C54"/>
    <hyperlink r:id="rId201" ref="E54"/>
    <hyperlink r:id="rId202" ref="Y54"/>
    <hyperlink r:id="rId203" ref="B55"/>
    <hyperlink r:id="rId204" ref="C55"/>
    <hyperlink r:id="rId205" ref="E55"/>
    <hyperlink r:id="rId206" ref="Y55"/>
    <hyperlink r:id="rId207" ref="B56"/>
    <hyperlink r:id="rId208" ref="C56"/>
    <hyperlink r:id="rId209" ref="E56"/>
    <hyperlink r:id="rId210" ref="Y56"/>
    <hyperlink r:id="rId211" ref="B57"/>
    <hyperlink r:id="rId212" ref="C57"/>
    <hyperlink r:id="rId213" ref="E57"/>
    <hyperlink r:id="rId214" ref="Y57"/>
    <hyperlink r:id="rId215" ref="B58"/>
    <hyperlink r:id="rId216" ref="C58"/>
    <hyperlink r:id="rId217" ref="E58"/>
    <hyperlink r:id="rId218" ref="Y58"/>
    <hyperlink r:id="rId219" ref="B59"/>
    <hyperlink r:id="rId220" ref="C59"/>
    <hyperlink r:id="rId221" ref="E59"/>
    <hyperlink r:id="rId222" ref="Y59"/>
    <hyperlink r:id="rId223" ref="B60"/>
    <hyperlink r:id="rId224" ref="C60"/>
    <hyperlink r:id="rId225" ref="E60"/>
    <hyperlink r:id="rId226" ref="Y60"/>
    <hyperlink r:id="rId227" ref="B61"/>
    <hyperlink r:id="rId228" ref="C61"/>
    <hyperlink r:id="rId229" ref="E61"/>
    <hyperlink r:id="rId230" ref="Y61"/>
    <hyperlink r:id="rId231" ref="B62"/>
    <hyperlink r:id="rId232" ref="C62"/>
    <hyperlink r:id="rId233" ref="E62"/>
    <hyperlink r:id="rId234" ref="Y62"/>
    <hyperlink r:id="rId235" ref="B63"/>
    <hyperlink r:id="rId236" ref="C63"/>
    <hyperlink r:id="rId237" ref="E63"/>
    <hyperlink r:id="rId238" ref="Y63"/>
    <hyperlink r:id="rId239" ref="B64"/>
    <hyperlink r:id="rId240" ref="C64"/>
    <hyperlink r:id="rId241" ref="E64"/>
    <hyperlink r:id="rId242" ref="Y64"/>
    <hyperlink r:id="rId243" ref="B65"/>
    <hyperlink r:id="rId244" ref="C65"/>
    <hyperlink r:id="rId245" ref="E65"/>
    <hyperlink r:id="rId246" ref="Y65"/>
    <hyperlink r:id="rId247" ref="B66"/>
    <hyperlink r:id="rId248" ref="C66"/>
    <hyperlink r:id="rId249" ref="E66"/>
    <hyperlink r:id="rId250" ref="Y66"/>
    <hyperlink r:id="rId251" ref="B67"/>
    <hyperlink r:id="rId252" ref="C67"/>
    <hyperlink r:id="rId253" ref="E67"/>
    <hyperlink r:id="rId254" ref="Y67"/>
    <hyperlink r:id="rId255" ref="B68"/>
    <hyperlink r:id="rId256" ref="C68"/>
    <hyperlink r:id="rId257" ref="E68"/>
    <hyperlink r:id="rId258" ref="Y68"/>
    <hyperlink r:id="rId259" ref="B69"/>
    <hyperlink r:id="rId260" ref="C69"/>
    <hyperlink r:id="rId261" ref="E69"/>
    <hyperlink r:id="rId262" ref="Y69"/>
    <hyperlink r:id="rId263" ref="B70"/>
    <hyperlink r:id="rId264" ref="C70"/>
    <hyperlink r:id="rId265" ref="E70"/>
    <hyperlink r:id="rId266" ref="Y70"/>
    <hyperlink r:id="rId267" ref="B71"/>
    <hyperlink r:id="rId268" ref="C71"/>
    <hyperlink r:id="rId269" ref="E71"/>
    <hyperlink r:id="rId270" ref="Y71"/>
    <hyperlink r:id="rId271" ref="B72"/>
    <hyperlink r:id="rId272" ref="C72"/>
    <hyperlink r:id="rId273" ref="E72"/>
    <hyperlink r:id="rId274" ref="Y72"/>
    <hyperlink r:id="rId275" ref="B73"/>
    <hyperlink r:id="rId276" ref="C73"/>
    <hyperlink r:id="rId277" ref="E73"/>
    <hyperlink r:id="rId278" ref="Y73"/>
    <hyperlink r:id="rId279" ref="B74"/>
    <hyperlink r:id="rId280" ref="C74"/>
    <hyperlink r:id="rId281" ref="E74"/>
    <hyperlink r:id="rId282" ref="Y74"/>
    <hyperlink r:id="rId283" ref="B75"/>
    <hyperlink r:id="rId284" ref="C75"/>
    <hyperlink r:id="rId285" ref="E75"/>
    <hyperlink r:id="rId286" ref="Y75"/>
    <hyperlink r:id="rId287" ref="B76"/>
    <hyperlink r:id="rId288" ref="C76"/>
    <hyperlink r:id="rId289" ref="E76"/>
    <hyperlink r:id="rId290" ref="Y76"/>
    <hyperlink r:id="rId291" ref="B77"/>
    <hyperlink r:id="rId292" ref="C77"/>
    <hyperlink r:id="rId293" ref="E77"/>
    <hyperlink r:id="rId294" ref="Y77"/>
    <hyperlink r:id="rId295" ref="B78"/>
    <hyperlink r:id="rId296" ref="C78"/>
    <hyperlink r:id="rId297" ref="E78"/>
    <hyperlink r:id="rId298" ref="Y78"/>
    <hyperlink r:id="rId299" ref="B80"/>
    <hyperlink r:id="rId300" ref="C80"/>
    <hyperlink r:id="rId301" ref="E80"/>
    <hyperlink r:id="rId302" ref="Y80"/>
    <hyperlink r:id="rId303" ref="B81"/>
    <hyperlink r:id="rId304" ref="C81"/>
    <hyperlink r:id="rId305" ref="E81"/>
    <hyperlink r:id="rId306" ref="Y81"/>
    <hyperlink r:id="rId307" ref="B82"/>
    <hyperlink r:id="rId308" ref="C82"/>
    <hyperlink r:id="rId309" ref="E82"/>
    <hyperlink r:id="rId310" ref="Y82"/>
    <hyperlink r:id="rId311" ref="B83"/>
    <hyperlink r:id="rId312" ref="C83"/>
    <hyperlink r:id="rId313" ref="E83"/>
    <hyperlink r:id="rId314" ref="Y83"/>
    <hyperlink r:id="rId315" ref="B84"/>
    <hyperlink r:id="rId316" ref="C84"/>
    <hyperlink r:id="rId317" ref="E84"/>
    <hyperlink r:id="rId318" ref="Y84"/>
    <hyperlink r:id="rId319" ref="B85"/>
    <hyperlink r:id="rId320" ref="C85"/>
    <hyperlink r:id="rId321" ref="E85"/>
    <hyperlink r:id="rId322" ref="Y85"/>
    <hyperlink r:id="rId323" ref="B86"/>
    <hyperlink r:id="rId324" ref="C86"/>
    <hyperlink r:id="rId325" ref="E86"/>
    <hyperlink r:id="rId326" ref="Y86"/>
    <hyperlink r:id="rId327" ref="B87"/>
    <hyperlink r:id="rId328" ref="C87"/>
    <hyperlink r:id="rId329" ref="E87"/>
    <hyperlink r:id="rId330" ref="Y87"/>
    <hyperlink r:id="rId331" ref="B88"/>
    <hyperlink r:id="rId332" ref="C88"/>
    <hyperlink r:id="rId333" ref="E88"/>
    <hyperlink r:id="rId334" ref="Y88"/>
    <hyperlink r:id="rId335" ref="B89"/>
    <hyperlink r:id="rId336" ref="C89"/>
    <hyperlink r:id="rId337" ref="E89"/>
    <hyperlink r:id="rId338" ref="Y89"/>
    <hyperlink r:id="rId339" ref="B90"/>
    <hyperlink r:id="rId340" ref="C90"/>
    <hyperlink r:id="rId341" ref="E90"/>
    <hyperlink r:id="rId342" ref="Y90"/>
    <hyperlink r:id="rId343" ref="B91"/>
    <hyperlink r:id="rId344" ref="C91"/>
    <hyperlink r:id="rId345" ref="E91"/>
    <hyperlink r:id="rId346" ref="Y91"/>
    <hyperlink r:id="rId347" ref="B92"/>
    <hyperlink r:id="rId348" ref="C92"/>
    <hyperlink r:id="rId349" ref="E92"/>
    <hyperlink r:id="rId350" ref="Y92"/>
    <hyperlink r:id="rId351" ref="B93"/>
    <hyperlink r:id="rId352" ref="C93"/>
    <hyperlink r:id="rId353" ref="E93"/>
    <hyperlink r:id="rId354" ref="Y93"/>
    <hyperlink r:id="rId355" ref="B94"/>
    <hyperlink r:id="rId356" ref="C94"/>
    <hyperlink r:id="rId357" ref="E94"/>
    <hyperlink r:id="rId358" ref="Y94"/>
    <hyperlink r:id="rId359" ref="B95"/>
    <hyperlink r:id="rId360" ref="C95"/>
    <hyperlink r:id="rId361" ref="E95"/>
    <hyperlink r:id="rId362" ref="Y95"/>
    <hyperlink r:id="rId363" ref="B96"/>
    <hyperlink r:id="rId364" ref="C96"/>
    <hyperlink r:id="rId365" ref="E96"/>
    <hyperlink r:id="rId366" ref="Y96"/>
    <hyperlink r:id="rId367" ref="B97"/>
    <hyperlink r:id="rId368" ref="C97"/>
    <hyperlink r:id="rId369" ref="E97"/>
    <hyperlink r:id="rId370" ref="Y97"/>
    <hyperlink r:id="rId371" ref="B98"/>
    <hyperlink r:id="rId372" ref="C98"/>
    <hyperlink r:id="rId373" ref="E98"/>
    <hyperlink r:id="rId374" ref="Y98"/>
    <hyperlink r:id="rId375" ref="B99"/>
    <hyperlink r:id="rId376" ref="C99"/>
    <hyperlink r:id="rId377" ref="E99"/>
    <hyperlink r:id="rId378" ref="Y99"/>
    <hyperlink r:id="rId379" ref="B100"/>
    <hyperlink r:id="rId380" ref="C100"/>
    <hyperlink r:id="rId381" ref="E100"/>
    <hyperlink r:id="rId382" ref="Y100"/>
    <hyperlink r:id="rId383" ref="B101"/>
    <hyperlink r:id="rId384" ref="C101"/>
    <hyperlink r:id="rId385" ref="E101"/>
    <hyperlink r:id="rId386" ref="Y101"/>
    <hyperlink r:id="rId387" ref="B102"/>
    <hyperlink r:id="rId388" ref="C102"/>
    <hyperlink r:id="rId389" ref="E102"/>
    <hyperlink r:id="rId390" ref="Y102"/>
    <hyperlink r:id="rId391" ref="B103"/>
    <hyperlink r:id="rId392" ref="C103"/>
    <hyperlink r:id="rId393" ref="E103"/>
    <hyperlink r:id="rId394" ref="Y103"/>
    <hyperlink r:id="rId395" ref="B104"/>
    <hyperlink r:id="rId396" ref="C104"/>
    <hyperlink r:id="rId397" ref="E104"/>
    <hyperlink r:id="rId398" ref="Y104"/>
    <hyperlink r:id="rId399" ref="B106"/>
    <hyperlink r:id="rId400" ref="C106"/>
    <hyperlink r:id="rId401" ref="E106"/>
    <hyperlink r:id="rId402" ref="Y106"/>
    <hyperlink r:id="rId403" ref="B107"/>
    <hyperlink r:id="rId404" ref="C107"/>
    <hyperlink r:id="rId405" ref="E107"/>
    <hyperlink r:id="rId406" ref="Y107"/>
    <hyperlink r:id="rId407" ref="B108"/>
    <hyperlink r:id="rId408" ref="C108"/>
    <hyperlink r:id="rId409" ref="E108"/>
    <hyperlink r:id="rId410" ref="Y108"/>
    <hyperlink r:id="rId411" ref="B109"/>
    <hyperlink r:id="rId412" ref="C109"/>
    <hyperlink r:id="rId413" ref="E109"/>
    <hyperlink r:id="rId414" ref="Y109"/>
    <hyperlink r:id="rId415" ref="B110"/>
    <hyperlink r:id="rId416" ref="C110"/>
    <hyperlink r:id="rId417" ref="E110"/>
    <hyperlink r:id="rId418" ref="Y110"/>
    <hyperlink r:id="rId419" ref="B111"/>
    <hyperlink r:id="rId420" ref="C111"/>
    <hyperlink r:id="rId421" ref="E111"/>
    <hyperlink r:id="rId422" ref="Y111"/>
    <hyperlink r:id="rId423" ref="B112"/>
    <hyperlink r:id="rId424" ref="C112"/>
    <hyperlink r:id="rId425" ref="E112"/>
    <hyperlink r:id="rId426" ref="Y112"/>
    <hyperlink r:id="rId427" ref="B113"/>
    <hyperlink r:id="rId428" ref="C113"/>
    <hyperlink r:id="rId429" ref="E113"/>
    <hyperlink r:id="rId430" ref="Y113"/>
    <hyperlink r:id="rId431" ref="B114"/>
    <hyperlink r:id="rId432" ref="C114"/>
    <hyperlink r:id="rId433" ref="E114"/>
    <hyperlink r:id="rId434" ref="Y114"/>
    <hyperlink r:id="rId435" ref="B115"/>
    <hyperlink r:id="rId436" ref="C115"/>
    <hyperlink r:id="rId437" ref="E115"/>
    <hyperlink r:id="rId438" ref="Y115"/>
    <hyperlink r:id="rId439" ref="B116"/>
    <hyperlink r:id="rId440" ref="C116"/>
    <hyperlink r:id="rId441" ref="E116"/>
    <hyperlink r:id="rId442" ref="Y116"/>
    <hyperlink r:id="rId443" ref="B117"/>
    <hyperlink r:id="rId444" ref="C117"/>
    <hyperlink r:id="rId445" ref="E117"/>
    <hyperlink r:id="rId446" ref="Y117"/>
    <hyperlink r:id="rId447" ref="B118"/>
    <hyperlink r:id="rId448" ref="C118"/>
    <hyperlink r:id="rId449" ref="E118"/>
    <hyperlink r:id="rId450" ref="Y118"/>
    <hyperlink r:id="rId451" ref="B119"/>
    <hyperlink r:id="rId452" ref="C119"/>
    <hyperlink r:id="rId453" ref="E119"/>
    <hyperlink r:id="rId454" ref="Y119"/>
    <hyperlink r:id="rId455" ref="B120"/>
    <hyperlink r:id="rId456" ref="C120"/>
    <hyperlink r:id="rId457" ref="E120"/>
    <hyperlink r:id="rId458" ref="Y120"/>
    <hyperlink r:id="rId459" ref="B121"/>
    <hyperlink r:id="rId460" ref="C121"/>
    <hyperlink r:id="rId461" ref="E121"/>
    <hyperlink r:id="rId462" ref="Y121"/>
    <hyperlink r:id="rId463" ref="B122"/>
    <hyperlink r:id="rId464" ref="C122"/>
    <hyperlink r:id="rId465" ref="E122"/>
    <hyperlink r:id="rId466" ref="Y122"/>
    <hyperlink r:id="rId467" ref="B123"/>
    <hyperlink r:id="rId468" ref="C123"/>
    <hyperlink r:id="rId469" ref="E123"/>
    <hyperlink r:id="rId470" ref="Y123"/>
    <hyperlink r:id="rId471" ref="B124"/>
    <hyperlink r:id="rId472" ref="C124"/>
    <hyperlink r:id="rId473" ref="E124"/>
    <hyperlink r:id="rId474" ref="Y124"/>
    <hyperlink r:id="rId475" ref="B125"/>
    <hyperlink r:id="rId476" ref="C125"/>
    <hyperlink r:id="rId477" ref="E125"/>
    <hyperlink r:id="rId478" ref="Y125"/>
    <hyperlink r:id="rId479" ref="B126"/>
    <hyperlink r:id="rId480" ref="C126"/>
    <hyperlink r:id="rId481" ref="E126"/>
    <hyperlink r:id="rId482" ref="Y126"/>
    <hyperlink r:id="rId483" ref="B127"/>
    <hyperlink r:id="rId484" ref="C127"/>
    <hyperlink r:id="rId485" ref="E127"/>
    <hyperlink r:id="rId486" ref="Y127"/>
    <hyperlink r:id="rId487" ref="B128"/>
    <hyperlink r:id="rId488" ref="C128"/>
    <hyperlink r:id="rId489" ref="E128"/>
    <hyperlink r:id="rId490" ref="Y128"/>
    <hyperlink r:id="rId491" ref="B129"/>
    <hyperlink r:id="rId492" ref="C129"/>
    <hyperlink r:id="rId493" ref="E129"/>
    <hyperlink r:id="rId494" ref="Y129"/>
    <hyperlink r:id="rId495" ref="B130"/>
    <hyperlink r:id="rId496" ref="C130"/>
    <hyperlink r:id="rId497" ref="E130"/>
    <hyperlink r:id="rId498" ref="Y130"/>
    <hyperlink r:id="rId499" ref="B132"/>
    <hyperlink r:id="rId500" ref="C132"/>
    <hyperlink r:id="rId501" ref="E132"/>
    <hyperlink r:id="rId502" ref="Y132"/>
    <hyperlink r:id="rId503" ref="B133"/>
    <hyperlink r:id="rId504" ref="C133"/>
    <hyperlink r:id="rId505" ref="E133"/>
    <hyperlink r:id="rId506" ref="Y133"/>
    <hyperlink r:id="rId507" ref="B134"/>
    <hyperlink r:id="rId508" ref="C134"/>
    <hyperlink r:id="rId509" ref="E134"/>
    <hyperlink r:id="rId510" ref="Y134"/>
    <hyperlink r:id="rId511" ref="B135"/>
    <hyperlink r:id="rId512" ref="C135"/>
    <hyperlink r:id="rId513" ref="E135"/>
    <hyperlink r:id="rId514" ref="Y135"/>
    <hyperlink r:id="rId515" ref="B136"/>
    <hyperlink r:id="rId516" ref="C136"/>
    <hyperlink r:id="rId517" ref="E136"/>
    <hyperlink r:id="rId518" ref="Y136"/>
    <hyperlink r:id="rId519" ref="B137"/>
    <hyperlink r:id="rId520" ref="C137"/>
    <hyperlink r:id="rId521" ref="E137"/>
    <hyperlink r:id="rId522" ref="Y137"/>
    <hyperlink r:id="rId523" ref="B138"/>
    <hyperlink r:id="rId524" ref="C138"/>
    <hyperlink r:id="rId525" ref="E138"/>
    <hyperlink r:id="rId526" ref="Y138"/>
    <hyperlink r:id="rId527" ref="B139"/>
    <hyperlink r:id="rId528" ref="E139"/>
    <hyperlink r:id="rId529" ref="Y139"/>
    <hyperlink r:id="rId530" ref="B140"/>
    <hyperlink r:id="rId531" ref="C140"/>
    <hyperlink r:id="rId532" ref="E140"/>
    <hyperlink r:id="rId533" ref="Y140"/>
    <hyperlink r:id="rId534" ref="B141"/>
    <hyperlink r:id="rId535" ref="C141"/>
    <hyperlink r:id="rId536" ref="E141"/>
    <hyperlink r:id="rId537" ref="Y141"/>
    <hyperlink r:id="rId538" ref="B142"/>
    <hyperlink r:id="rId539" ref="C142"/>
    <hyperlink r:id="rId540" ref="E142"/>
    <hyperlink r:id="rId541" ref="Y142"/>
    <hyperlink r:id="rId542" ref="B143"/>
    <hyperlink r:id="rId543" ref="C143"/>
    <hyperlink r:id="rId544" ref="E143"/>
    <hyperlink r:id="rId545" ref="Y143"/>
    <hyperlink r:id="rId546" ref="B144"/>
    <hyperlink r:id="rId547" ref="C144"/>
    <hyperlink r:id="rId548" ref="E144"/>
    <hyperlink r:id="rId549" ref="Y144"/>
    <hyperlink r:id="rId550" ref="B145"/>
    <hyperlink r:id="rId551" ref="C145"/>
    <hyperlink r:id="rId552" ref="E145"/>
    <hyperlink r:id="rId553" ref="Y145"/>
    <hyperlink r:id="rId554" ref="B146"/>
    <hyperlink r:id="rId555" ref="C146"/>
    <hyperlink r:id="rId556" ref="E146"/>
    <hyperlink r:id="rId557" ref="Y146"/>
    <hyperlink r:id="rId558" ref="B147"/>
    <hyperlink r:id="rId559" ref="C147"/>
    <hyperlink r:id="rId560" ref="E147"/>
    <hyperlink r:id="rId561" ref="Y147"/>
    <hyperlink r:id="rId562" ref="B148"/>
    <hyperlink r:id="rId563" ref="C148"/>
    <hyperlink r:id="rId564" ref="E148"/>
    <hyperlink r:id="rId565" ref="Y148"/>
    <hyperlink r:id="rId566" ref="B149"/>
    <hyperlink r:id="rId567" ref="C149"/>
    <hyperlink r:id="rId568" ref="E149"/>
    <hyperlink r:id="rId569" ref="Y149"/>
    <hyperlink r:id="rId570" ref="B150"/>
    <hyperlink r:id="rId571" ref="C150"/>
    <hyperlink r:id="rId572" ref="E150"/>
    <hyperlink r:id="rId573" ref="Y150"/>
    <hyperlink r:id="rId574" ref="B151"/>
    <hyperlink r:id="rId575" ref="C151"/>
    <hyperlink r:id="rId576" ref="E151"/>
    <hyperlink r:id="rId577" ref="Y151"/>
    <hyperlink r:id="rId578" ref="B152"/>
    <hyperlink r:id="rId579" ref="C152"/>
    <hyperlink r:id="rId580" ref="E152"/>
    <hyperlink r:id="rId581" ref="Y152"/>
    <hyperlink r:id="rId582" ref="B153"/>
    <hyperlink r:id="rId583" ref="C153"/>
    <hyperlink r:id="rId584" ref="E153"/>
    <hyperlink r:id="rId585" ref="Y153"/>
    <hyperlink r:id="rId586" ref="B154"/>
    <hyperlink r:id="rId587" ref="C154"/>
    <hyperlink r:id="rId588" ref="E154"/>
    <hyperlink r:id="rId589" ref="Y154"/>
    <hyperlink r:id="rId590" ref="B155"/>
    <hyperlink r:id="rId591" ref="C155"/>
    <hyperlink r:id="rId592" ref="E155"/>
    <hyperlink r:id="rId593" ref="Y155"/>
    <hyperlink r:id="rId594" ref="B156"/>
    <hyperlink r:id="rId595" ref="C156"/>
    <hyperlink r:id="rId596" ref="E156"/>
    <hyperlink r:id="rId597" ref="Y156"/>
    <hyperlink r:id="rId598" ref="B158"/>
    <hyperlink r:id="rId599" ref="C158"/>
    <hyperlink r:id="rId600" ref="E158"/>
    <hyperlink r:id="rId601" ref="Y158"/>
    <hyperlink r:id="rId602" ref="B159"/>
    <hyperlink r:id="rId603" ref="C159"/>
    <hyperlink r:id="rId604" ref="E159"/>
    <hyperlink r:id="rId605" ref="Y159"/>
    <hyperlink r:id="rId606" ref="B160"/>
    <hyperlink r:id="rId607" ref="C160"/>
    <hyperlink r:id="rId608" ref="E160"/>
    <hyperlink r:id="rId609" ref="Y160"/>
    <hyperlink r:id="rId610" ref="B161"/>
    <hyperlink r:id="rId611" ref="C161"/>
    <hyperlink r:id="rId612" ref="E161"/>
    <hyperlink r:id="rId613" ref="Y161"/>
    <hyperlink r:id="rId614" ref="B162"/>
    <hyperlink r:id="rId615" ref="C162"/>
    <hyperlink r:id="rId616" ref="E162"/>
    <hyperlink r:id="rId617" ref="Y162"/>
    <hyperlink r:id="rId618" ref="B163"/>
    <hyperlink r:id="rId619" ref="C163"/>
    <hyperlink r:id="rId620" ref="E163"/>
    <hyperlink r:id="rId621" ref="Y163"/>
    <hyperlink r:id="rId622" ref="B164"/>
    <hyperlink r:id="rId623" ref="C164"/>
    <hyperlink r:id="rId624" ref="E164"/>
    <hyperlink r:id="rId625" ref="Y164"/>
    <hyperlink r:id="rId626" ref="B165"/>
    <hyperlink r:id="rId627" ref="C165"/>
    <hyperlink r:id="rId628" ref="E165"/>
    <hyperlink r:id="rId629" ref="Y165"/>
    <hyperlink r:id="rId630" ref="B166"/>
    <hyperlink r:id="rId631" ref="C166"/>
    <hyperlink r:id="rId632" ref="E166"/>
    <hyperlink r:id="rId633" ref="Y166"/>
    <hyperlink r:id="rId634" ref="B167"/>
    <hyperlink r:id="rId635" ref="C167"/>
    <hyperlink r:id="rId636" ref="E167"/>
    <hyperlink r:id="rId637" ref="Y167"/>
    <hyperlink r:id="rId638" ref="B168"/>
    <hyperlink r:id="rId639" ref="C168"/>
    <hyperlink r:id="rId640" ref="E168"/>
    <hyperlink r:id="rId641" ref="Y168"/>
    <hyperlink r:id="rId642" ref="B169"/>
    <hyperlink r:id="rId643" ref="C169"/>
    <hyperlink r:id="rId644" ref="E169"/>
    <hyperlink r:id="rId645" ref="Y169"/>
    <hyperlink r:id="rId646" ref="B170"/>
    <hyperlink r:id="rId647" ref="C170"/>
    <hyperlink r:id="rId648" ref="E170"/>
    <hyperlink r:id="rId649" ref="Y170"/>
    <hyperlink r:id="rId650" ref="B171"/>
    <hyperlink r:id="rId651" ref="C171"/>
    <hyperlink r:id="rId652" ref="E171"/>
    <hyperlink r:id="rId653" ref="Y171"/>
    <hyperlink r:id="rId654" ref="B172"/>
    <hyperlink r:id="rId655" ref="C172"/>
    <hyperlink r:id="rId656" ref="E172"/>
    <hyperlink r:id="rId657" ref="Y172"/>
    <hyperlink r:id="rId658" ref="B173"/>
    <hyperlink r:id="rId659" ref="C173"/>
    <hyperlink r:id="rId660" ref="E173"/>
    <hyperlink r:id="rId661" ref="Y173"/>
    <hyperlink r:id="rId662" ref="B174"/>
    <hyperlink r:id="rId663" ref="C174"/>
    <hyperlink r:id="rId664" ref="E174"/>
    <hyperlink r:id="rId665" ref="Y174"/>
    <hyperlink r:id="rId666" ref="B175"/>
    <hyperlink r:id="rId667" ref="C175"/>
    <hyperlink r:id="rId668" ref="E175"/>
    <hyperlink r:id="rId669" ref="Y175"/>
    <hyperlink r:id="rId670" ref="B176"/>
    <hyperlink r:id="rId671" ref="C176"/>
    <hyperlink r:id="rId672" ref="E176"/>
    <hyperlink r:id="rId673" ref="Y176"/>
    <hyperlink r:id="rId674" ref="B177"/>
    <hyperlink r:id="rId675" ref="C177"/>
    <hyperlink r:id="rId676" ref="E177"/>
    <hyperlink r:id="rId677" ref="Y177"/>
    <hyperlink r:id="rId678" ref="B178"/>
    <hyperlink r:id="rId679" ref="C178"/>
    <hyperlink r:id="rId680" ref="E178"/>
    <hyperlink r:id="rId681" ref="Y178"/>
    <hyperlink r:id="rId682" ref="B179"/>
    <hyperlink r:id="rId683" ref="C179"/>
    <hyperlink r:id="rId684" ref="E179"/>
    <hyperlink r:id="rId685" ref="Y179"/>
    <hyperlink r:id="rId686" ref="B180"/>
    <hyperlink r:id="rId687" ref="C180"/>
    <hyperlink r:id="rId688" ref="E180"/>
    <hyperlink r:id="rId689" ref="Y180"/>
    <hyperlink r:id="rId690" ref="B181"/>
    <hyperlink r:id="rId691" ref="C181"/>
    <hyperlink r:id="rId692" ref="E181"/>
    <hyperlink r:id="rId693" ref="Y181"/>
    <hyperlink r:id="rId694" ref="B182"/>
    <hyperlink r:id="rId695" ref="C182"/>
    <hyperlink r:id="rId696" ref="E182"/>
    <hyperlink r:id="rId697" ref="Y182"/>
    <hyperlink r:id="rId698" ref="B184"/>
    <hyperlink r:id="rId699" ref="C184"/>
    <hyperlink r:id="rId700" ref="E184"/>
    <hyperlink r:id="rId701" ref="Y184"/>
    <hyperlink r:id="rId702" ref="B185"/>
    <hyperlink r:id="rId703" ref="C185"/>
    <hyperlink r:id="rId704" ref="E185"/>
    <hyperlink r:id="rId705" ref="Y185"/>
    <hyperlink r:id="rId706" ref="B186"/>
    <hyperlink r:id="rId707" ref="C186"/>
    <hyperlink r:id="rId708" ref="E186"/>
    <hyperlink r:id="rId709" ref="Y186"/>
    <hyperlink r:id="rId710" ref="B187"/>
    <hyperlink r:id="rId711" ref="C187"/>
    <hyperlink r:id="rId712" ref="E187"/>
    <hyperlink r:id="rId713" ref="Y187"/>
    <hyperlink r:id="rId714" ref="B188"/>
    <hyperlink r:id="rId715" ref="C188"/>
    <hyperlink r:id="rId716" ref="E188"/>
    <hyperlink r:id="rId717" ref="Y188"/>
    <hyperlink r:id="rId718" ref="B189"/>
    <hyperlink r:id="rId719" ref="C189"/>
    <hyperlink r:id="rId720" ref="E189"/>
    <hyperlink r:id="rId721" ref="Y189"/>
    <hyperlink r:id="rId722" ref="B190"/>
    <hyperlink r:id="rId723" ref="C190"/>
    <hyperlink r:id="rId724" ref="E190"/>
    <hyperlink r:id="rId725" ref="Y190"/>
    <hyperlink r:id="rId726" ref="B191"/>
    <hyperlink r:id="rId727" ref="C191"/>
    <hyperlink r:id="rId728" ref="E191"/>
    <hyperlink r:id="rId729" ref="Y191"/>
    <hyperlink r:id="rId730" ref="B192"/>
    <hyperlink r:id="rId731" ref="C192"/>
    <hyperlink r:id="rId732" ref="E192"/>
    <hyperlink r:id="rId733" ref="Y192"/>
    <hyperlink r:id="rId734" ref="B193"/>
    <hyperlink r:id="rId735" ref="C193"/>
    <hyperlink r:id="rId736" ref="E193"/>
    <hyperlink r:id="rId737" ref="Y193"/>
    <hyperlink r:id="rId738" ref="B194"/>
    <hyperlink r:id="rId739" ref="C194"/>
    <hyperlink r:id="rId740" ref="E194"/>
    <hyperlink r:id="rId741" ref="Y194"/>
    <hyperlink r:id="rId742" ref="B195"/>
    <hyperlink r:id="rId743" ref="C195"/>
    <hyperlink r:id="rId744" ref="E195"/>
    <hyperlink r:id="rId745" ref="Y195"/>
    <hyperlink r:id="rId746" ref="B196"/>
    <hyperlink r:id="rId747" ref="C196"/>
    <hyperlink r:id="rId748" ref="E196"/>
    <hyperlink r:id="rId749" ref="Y196"/>
    <hyperlink r:id="rId750" ref="B197"/>
    <hyperlink r:id="rId751" ref="C197"/>
    <hyperlink r:id="rId752" ref="E197"/>
    <hyperlink r:id="rId753" ref="Y197"/>
    <hyperlink r:id="rId754" ref="B198"/>
    <hyperlink r:id="rId755" ref="C198"/>
    <hyperlink r:id="rId756" ref="E198"/>
    <hyperlink r:id="rId757" ref="Y198"/>
    <hyperlink r:id="rId758" ref="B199"/>
    <hyperlink r:id="rId759" ref="C199"/>
    <hyperlink r:id="rId760" ref="E199"/>
    <hyperlink r:id="rId761" ref="Y199"/>
    <hyperlink r:id="rId762" ref="B200"/>
    <hyperlink r:id="rId763" ref="C200"/>
    <hyperlink r:id="rId764" ref="E200"/>
    <hyperlink r:id="rId765" ref="Y200"/>
    <hyperlink r:id="rId766" ref="B201"/>
    <hyperlink r:id="rId767" ref="C201"/>
    <hyperlink r:id="rId768" ref="E201"/>
    <hyperlink r:id="rId769" ref="Y201"/>
    <hyperlink r:id="rId770" ref="B202"/>
    <hyperlink r:id="rId771" ref="C202"/>
    <hyperlink r:id="rId772" ref="E202"/>
    <hyperlink r:id="rId773" ref="Y202"/>
    <hyperlink r:id="rId774" ref="B203"/>
    <hyperlink r:id="rId775" ref="C203"/>
    <hyperlink r:id="rId776" ref="E203"/>
    <hyperlink r:id="rId777" ref="Y203"/>
    <hyperlink r:id="rId778" ref="B204"/>
    <hyperlink r:id="rId779" ref="C204"/>
    <hyperlink r:id="rId780" ref="E204"/>
    <hyperlink r:id="rId781" ref="Y204"/>
    <hyperlink r:id="rId782" ref="B205"/>
    <hyperlink r:id="rId783" ref="C205"/>
    <hyperlink r:id="rId784" ref="E205"/>
    <hyperlink r:id="rId785" ref="Y205"/>
    <hyperlink r:id="rId786" ref="B206"/>
    <hyperlink r:id="rId787" ref="C206"/>
    <hyperlink r:id="rId788" ref="E206"/>
    <hyperlink r:id="rId789" ref="Y206"/>
    <hyperlink r:id="rId790" ref="B207"/>
    <hyperlink r:id="rId791" ref="C207"/>
    <hyperlink r:id="rId792" ref="E207"/>
    <hyperlink r:id="rId793" ref="Y207"/>
    <hyperlink r:id="rId794" ref="B208"/>
    <hyperlink r:id="rId795" ref="C208"/>
    <hyperlink r:id="rId796" ref="E208"/>
    <hyperlink r:id="rId797" ref="Y208"/>
    <hyperlink r:id="rId798" ref="B210"/>
    <hyperlink r:id="rId799" ref="C210"/>
    <hyperlink r:id="rId800" ref="E210"/>
    <hyperlink r:id="rId801" ref="Y210"/>
    <hyperlink r:id="rId802" ref="B211"/>
    <hyperlink r:id="rId803" ref="C211"/>
    <hyperlink r:id="rId804" ref="E211"/>
    <hyperlink r:id="rId805" ref="Y211"/>
    <hyperlink r:id="rId806" ref="B212"/>
    <hyperlink r:id="rId807" ref="C212"/>
    <hyperlink r:id="rId808" ref="E212"/>
    <hyperlink r:id="rId809" ref="Y212"/>
    <hyperlink r:id="rId810" ref="B213"/>
    <hyperlink r:id="rId811" ref="C213"/>
    <hyperlink r:id="rId812" ref="E213"/>
    <hyperlink r:id="rId813" ref="Y213"/>
    <hyperlink r:id="rId814" ref="B214"/>
    <hyperlink r:id="rId815" ref="C214"/>
    <hyperlink r:id="rId816" ref="E214"/>
    <hyperlink r:id="rId817" ref="Y214"/>
    <hyperlink r:id="rId818" ref="B215"/>
    <hyperlink r:id="rId819" ref="C215"/>
    <hyperlink r:id="rId820" ref="E215"/>
    <hyperlink r:id="rId821" ref="Y215"/>
    <hyperlink r:id="rId822" ref="B216"/>
    <hyperlink r:id="rId823" ref="C216"/>
    <hyperlink r:id="rId824" ref="E216"/>
    <hyperlink r:id="rId825" ref="Y216"/>
    <hyperlink r:id="rId826" ref="B217"/>
    <hyperlink r:id="rId827" ref="C217"/>
    <hyperlink r:id="rId828" ref="E217"/>
    <hyperlink r:id="rId829" ref="Y217"/>
    <hyperlink r:id="rId830" ref="B218"/>
    <hyperlink r:id="rId831" ref="C218"/>
    <hyperlink r:id="rId832" ref="E218"/>
    <hyperlink r:id="rId833" ref="Y218"/>
    <hyperlink r:id="rId834" ref="B219"/>
    <hyperlink r:id="rId835" ref="C219"/>
    <hyperlink r:id="rId836" ref="E219"/>
    <hyperlink r:id="rId837" ref="Y219"/>
    <hyperlink r:id="rId838" ref="B220"/>
    <hyperlink r:id="rId839" ref="C220"/>
    <hyperlink r:id="rId840" ref="E220"/>
    <hyperlink r:id="rId841" ref="Y220"/>
    <hyperlink r:id="rId842" ref="B221"/>
    <hyperlink r:id="rId843" ref="C221"/>
    <hyperlink r:id="rId844" ref="E221"/>
    <hyperlink r:id="rId845" ref="Y221"/>
    <hyperlink r:id="rId846" ref="B222"/>
    <hyperlink r:id="rId847" ref="C222"/>
    <hyperlink r:id="rId848" ref="E222"/>
    <hyperlink r:id="rId849" ref="Y222"/>
    <hyperlink r:id="rId850" ref="B223"/>
    <hyperlink r:id="rId851" ref="C223"/>
    <hyperlink r:id="rId852" ref="E223"/>
    <hyperlink r:id="rId853" ref="Y223"/>
    <hyperlink r:id="rId854" ref="B224"/>
    <hyperlink r:id="rId855" ref="C224"/>
    <hyperlink r:id="rId856" ref="E224"/>
    <hyperlink r:id="rId857" ref="Y224"/>
    <hyperlink r:id="rId858" ref="B225"/>
    <hyperlink r:id="rId859" ref="C225"/>
    <hyperlink r:id="rId860" ref="E225"/>
    <hyperlink r:id="rId861" ref="Y225"/>
    <hyperlink r:id="rId862" ref="B226"/>
    <hyperlink r:id="rId863" ref="C226"/>
    <hyperlink r:id="rId864" ref="E226"/>
    <hyperlink r:id="rId865" ref="Y226"/>
    <hyperlink r:id="rId866" ref="B227"/>
    <hyperlink r:id="rId867" ref="C227"/>
    <hyperlink r:id="rId868" ref="E227"/>
    <hyperlink r:id="rId869" ref="Y227"/>
    <hyperlink r:id="rId870" ref="B228"/>
    <hyperlink r:id="rId871" ref="C228"/>
    <hyperlink r:id="rId872" ref="E228"/>
    <hyperlink r:id="rId873" ref="Y228"/>
    <hyperlink r:id="rId874" ref="B229"/>
    <hyperlink r:id="rId875" ref="C229"/>
    <hyperlink r:id="rId876" ref="E229"/>
    <hyperlink r:id="rId877" ref="Y229"/>
    <hyperlink r:id="rId878" ref="B230"/>
    <hyperlink r:id="rId879" ref="C230"/>
    <hyperlink r:id="rId880" ref="E230"/>
    <hyperlink r:id="rId881" ref="Y230"/>
    <hyperlink r:id="rId882" ref="B231"/>
    <hyperlink r:id="rId883" ref="C231"/>
    <hyperlink r:id="rId884" ref="E231"/>
    <hyperlink r:id="rId885" ref="Y231"/>
    <hyperlink r:id="rId886" ref="B232"/>
    <hyperlink r:id="rId887" ref="C232"/>
    <hyperlink r:id="rId888" ref="E232"/>
    <hyperlink r:id="rId889" ref="Y232"/>
    <hyperlink r:id="rId890" ref="B233"/>
    <hyperlink r:id="rId891" ref="C233"/>
    <hyperlink r:id="rId892" ref="E233"/>
    <hyperlink r:id="rId893" ref="Y233"/>
    <hyperlink r:id="rId894" ref="B234"/>
    <hyperlink r:id="rId895" ref="C234"/>
    <hyperlink r:id="rId896" ref="E234"/>
    <hyperlink r:id="rId897" ref="Y234"/>
    <hyperlink r:id="rId898" ref="B236"/>
    <hyperlink r:id="rId899" ref="C236"/>
    <hyperlink r:id="rId900" ref="E236"/>
    <hyperlink r:id="rId901" ref="Y236"/>
    <hyperlink r:id="rId902" ref="B237"/>
    <hyperlink r:id="rId903" ref="C237"/>
    <hyperlink r:id="rId904" ref="E237"/>
    <hyperlink r:id="rId905" ref="Y237"/>
    <hyperlink r:id="rId906" ref="B238"/>
    <hyperlink r:id="rId907" ref="C238"/>
    <hyperlink r:id="rId908" ref="E238"/>
    <hyperlink r:id="rId909" ref="Y238"/>
    <hyperlink r:id="rId910" ref="B239"/>
    <hyperlink r:id="rId911" ref="C239"/>
    <hyperlink r:id="rId912" ref="E239"/>
    <hyperlink r:id="rId913" ref="Y239"/>
    <hyperlink r:id="rId914" ref="B240"/>
    <hyperlink r:id="rId915" ref="C240"/>
    <hyperlink r:id="rId916" ref="E240"/>
    <hyperlink r:id="rId917" ref="Y240"/>
    <hyperlink r:id="rId918" ref="B241"/>
    <hyperlink r:id="rId919" ref="C241"/>
    <hyperlink r:id="rId920" ref="E241"/>
    <hyperlink r:id="rId921" ref="Y241"/>
    <hyperlink r:id="rId922" ref="B242"/>
    <hyperlink r:id="rId923" ref="C242"/>
    <hyperlink r:id="rId924" ref="E242"/>
    <hyperlink r:id="rId925" ref="Y242"/>
    <hyperlink r:id="rId926" ref="B243"/>
    <hyperlink r:id="rId927" ref="C243"/>
    <hyperlink r:id="rId928" ref="E243"/>
    <hyperlink r:id="rId929" ref="Y243"/>
    <hyperlink r:id="rId930" ref="B244"/>
    <hyperlink r:id="rId931" ref="C244"/>
    <hyperlink r:id="rId932" ref="E244"/>
    <hyperlink r:id="rId933" ref="Y244"/>
    <hyperlink r:id="rId934" ref="B245"/>
    <hyperlink r:id="rId935" ref="C245"/>
    <hyperlink r:id="rId936" ref="E245"/>
    <hyperlink r:id="rId937" ref="Y245"/>
    <hyperlink r:id="rId938" ref="B246"/>
    <hyperlink r:id="rId939" ref="C246"/>
    <hyperlink r:id="rId940" ref="E246"/>
    <hyperlink r:id="rId941" ref="Y246"/>
    <hyperlink r:id="rId942" ref="B247"/>
    <hyperlink r:id="rId943" ref="C247"/>
    <hyperlink r:id="rId944" ref="E247"/>
    <hyperlink r:id="rId945" ref="Y247"/>
    <hyperlink r:id="rId946" ref="B248"/>
    <hyperlink r:id="rId947" ref="C248"/>
    <hyperlink r:id="rId948" ref="E248"/>
    <hyperlink r:id="rId949" ref="Y248"/>
    <hyperlink r:id="rId950" ref="B249"/>
    <hyperlink r:id="rId951" ref="C249"/>
    <hyperlink r:id="rId952" ref="E249"/>
    <hyperlink r:id="rId953" ref="Y249"/>
    <hyperlink r:id="rId954" ref="B250"/>
    <hyperlink r:id="rId955" ref="C250"/>
    <hyperlink r:id="rId956" ref="E250"/>
    <hyperlink r:id="rId957" ref="Y250"/>
    <hyperlink r:id="rId958" ref="B251"/>
    <hyperlink r:id="rId959" ref="C251"/>
    <hyperlink r:id="rId960" ref="E251"/>
    <hyperlink r:id="rId961" ref="Y251"/>
    <hyperlink r:id="rId962" ref="B252"/>
    <hyperlink r:id="rId963" ref="E252"/>
    <hyperlink r:id="rId964" ref="Y252"/>
    <hyperlink r:id="rId965" ref="B253"/>
    <hyperlink r:id="rId966" ref="C253"/>
    <hyperlink r:id="rId967" ref="E253"/>
    <hyperlink r:id="rId968" ref="Y253"/>
    <hyperlink r:id="rId969" ref="B254"/>
    <hyperlink r:id="rId970" ref="C254"/>
    <hyperlink r:id="rId971" ref="E254"/>
    <hyperlink r:id="rId972" ref="Y254"/>
    <hyperlink r:id="rId973" ref="B255"/>
    <hyperlink r:id="rId974" ref="C255"/>
    <hyperlink r:id="rId975" ref="E255"/>
    <hyperlink r:id="rId976" ref="Y255"/>
    <hyperlink r:id="rId977" ref="B256"/>
    <hyperlink r:id="rId978" ref="C256"/>
    <hyperlink r:id="rId979" ref="E256"/>
    <hyperlink r:id="rId980" ref="Y256"/>
    <hyperlink r:id="rId981" ref="B257"/>
    <hyperlink r:id="rId982" ref="C257"/>
    <hyperlink r:id="rId983" ref="E257"/>
    <hyperlink r:id="rId984" ref="Y257"/>
    <hyperlink r:id="rId985" ref="B258"/>
    <hyperlink r:id="rId986" ref="C258"/>
    <hyperlink r:id="rId987" ref="E258"/>
    <hyperlink r:id="rId988" ref="Y258"/>
    <hyperlink r:id="rId989" ref="B259"/>
    <hyperlink r:id="rId990" ref="C259"/>
    <hyperlink r:id="rId991" ref="E259"/>
    <hyperlink r:id="rId992" ref="Y259"/>
    <hyperlink r:id="rId993" ref="B260"/>
    <hyperlink r:id="rId994" ref="C260"/>
    <hyperlink r:id="rId995" ref="E260"/>
    <hyperlink r:id="rId996" ref="Y260"/>
    <hyperlink r:id="rId997" ref="B262"/>
    <hyperlink r:id="rId998" ref="C262"/>
    <hyperlink r:id="rId999" ref="E262"/>
    <hyperlink r:id="rId1000" ref="Y262"/>
    <hyperlink r:id="rId1001" ref="B263"/>
    <hyperlink r:id="rId1002" ref="C263"/>
    <hyperlink r:id="rId1003" ref="E263"/>
    <hyperlink r:id="rId1004" ref="Y263"/>
    <hyperlink r:id="rId1005" ref="B264"/>
    <hyperlink r:id="rId1006" ref="C264"/>
    <hyperlink r:id="rId1007" ref="E264"/>
    <hyperlink r:id="rId1008" ref="Y264"/>
    <hyperlink r:id="rId1009" ref="B265"/>
    <hyperlink r:id="rId1010" ref="C265"/>
    <hyperlink r:id="rId1011" ref="E265"/>
    <hyperlink r:id="rId1012" ref="Y265"/>
    <hyperlink r:id="rId1013" ref="B266"/>
    <hyperlink r:id="rId1014" ref="C266"/>
    <hyperlink r:id="rId1015" ref="E266"/>
    <hyperlink r:id="rId1016" ref="Y266"/>
    <hyperlink r:id="rId1017" ref="B267"/>
    <hyperlink r:id="rId1018" ref="C267"/>
    <hyperlink r:id="rId1019" ref="E267"/>
    <hyperlink r:id="rId1020" ref="Y267"/>
    <hyperlink r:id="rId1021" ref="B268"/>
    <hyperlink r:id="rId1022" ref="C268"/>
    <hyperlink r:id="rId1023" ref="E268"/>
    <hyperlink r:id="rId1024" ref="Y268"/>
    <hyperlink r:id="rId1025" ref="B269"/>
    <hyperlink r:id="rId1026" ref="C269"/>
    <hyperlink r:id="rId1027" ref="E269"/>
    <hyperlink r:id="rId1028" ref="Y269"/>
    <hyperlink r:id="rId1029" ref="B270"/>
    <hyperlink r:id="rId1030" ref="C270"/>
    <hyperlink r:id="rId1031" ref="E270"/>
    <hyperlink r:id="rId1032" ref="Y270"/>
    <hyperlink r:id="rId1033" ref="B271"/>
    <hyperlink r:id="rId1034" ref="C271"/>
    <hyperlink r:id="rId1035" ref="E271"/>
    <hyperlink r:id="rId1036" ref="Y271"/>
    <hyperlink r:id="rId1037" ref="B272"/>
    <hyperlink r:id="rId1038" ref="C272"/>
    <hyperlink r:id="rId1039" ref="E272"/>
    <hyperlink r:id="rId1040" ref="Y272"/>
    <hyperlink r:id="rId1041" ref="B273"/>
    <hyperlink r:id="rId1042" ref="C273"/>
    <hyperlink r:id="rId1043" ref="E273"/>
    <hyperlink r:id="rId1044" ref="Y273"/>
    <hyperlink r:id="rId1045" ref="B274"/>
    <hyperlink r:id="rId1046" ref="C274"/>
    <hyperlink r:id="rId1047" ref="E274"/>
    <hyperlink r:id="rId1048" ref="Y274"/>
    <hyperlink r:id="rId1049" ref="B275"/>
    <hyperlink r:id="rId1050" ref="C275"/>
    <hyperlink r:id="rId1051" ref="E275"/>
    <hyperlink r:id="rId1052" ref="Y275"/>
    <hyperlink r:id="rId1053" ref="B276"/>
    <hyperlink r:id="rId1054" ref="C276"/>
    <hyperlink r:id="rId1055" ref="E276"/>
    <hyperlink r:id="rId1056" ref="Y276"/>
    <hyperlink r:id="rId1057" ref="B277"/>
    <hyperlink r:id="rId1058" ref="C277"/>
    <hyperlink r:id="rId1059" ref="E277"/>
    <hyperlink r:id="rId1060" ref="Y277"/>
    <hyperlink r:id="rId1061" ref="B278"/>
    <hyperlink r:id="rId1062" ref="C278"/>
    <hyperlink r:id="rId1063" ref="E278"/>
    <hyperlink r:id="rId1064" ref="Y278"/>
    <hyperlink r:id="rId1065" ref="B279"/>
    <hyperlink r:id="rId1066" ref="C279"/>
    <hyperlink r:id="rId1067" ref="E279"/>
    <hyperlink r:id="rId1068" ref="Y279"/>
    <hyperlink r:id="rId1069" ref="B280"/>
    <hyperlink r:id="rId1070" ref="C280"/>
    <hyperlink r:id="rId1071" ref="E280"/>
    <hyperlink r:id="rId1072" ref="Y280"/>
    <hyperlink r:id="rId1073" ref="B281"/>
    <hyperlink r:id="rId1074" ref="C281"/>
    <hyperlink r:id="rId1075" ref="E281"/>
    <hyperlink r:id="rId1076" ref="Y281"/>
    <hyperlink r:id="rId1077" ref="B282"/>
    <hyperlink r:id="rId1078" ref="C282"/>
    <hyperlink r:id="rId1079" ref="E282"/>
    <hyperlink r:id="rId1080" ref="Y282"/>
    <hyperlink r:id="rId1081" ref="B283"/>
    <hyperlink r:id="rId1082" ref="C283"/>
    <hyperlink r:id="rId1083" ref="E283"/>
    <hyperlink r:id="rId1084" ref="Y283"/>
    <hyperlink r:id="rId1085" ref="B284"/>
    <hyperlink r:id="rId1086" ref="C284"/>
    <hyperlink r:id="rId1087" ref="E284"/>
    <hyperlink r:id="rId1088" ref="Y284"/>
    <hyperlink r:id="rId1089" ref="B285"/>
    <hyperlink r:id="rId1090" ref="E285"/>
    <hyperlink r:id="rId1091" ref="Y285"/>
    <hyperlink r:id="rId1092" ref="B286"/>
    <hyperlink r:id="rId1093" ref="C286"/>
    <hyperlink r:id="rId1094" ref="E286"/>
    <hyperlink r:id="rId1095" ref="Y286"/>
    <hyperlink r:id="rId1096" ref="B288"/>
    <hyperlink r:id="rId1097" ref="C288"/>
    <hyperlink r:id="rId1098" ref="E288"/>
    <hyperlink r:id="rId1099" ref="Y288"/>
    <hyperlink r:id="rId1100" ref="B289"/>
    <hyperlink r:id="rId1101" ref="C289"/>
    <hyperlink r:id="rId1102" ref="E289"/>
    <hyperlink r:id="rId1103" ref="Y289"/>
    <hyperlink r:id="rId1104" ref="B290"/>
    <hyperlink r:id="rId1105" ref="C290"/>
    <hyperlink r:id="rId1106" ref="E290"/>
    <hyperlink r:id="rId1107" ref="Y290"/>
    <hyperlink r:id="rId1108" ref="B291"/>
    <hyperlink r:id="rId1109" ref="C291"/>
    <hyperlink r:id="rId1110" ref="E291"/>
    <hyperlink r:id="rId1111" ref="Y291"/>
    <hyperlink r:id="rId1112" ref="B292"/>
    <hyperlink r:id="rId1113" ref="C292"/>
    <hyperlink r:id="rId1114" ref="E292"/>
    <hyperlink r:id="rId1115" ref="Y292"/>
    <hyperlink r:id="rId1116" ref="B293"/>
    <hyperlink r:id="rId1117" ref="C293"/>
    <hyperlink r:id="rId1118" ref="E293"/>
    <hyperlink r:id="rId1119" ref="Y293"/>
    <hyperlink r:id="rId1120" ref="B294"/>
    <hyperlink r:id="rId1121" ref="C294"/>
    <hyperlink r:id="rId1122" ref="E294"/>
    <hyperlink r:id="rId1123" ref="Y294"/>
    <hyperlink r:id="rId1124" ref="B295"/>
    <hyperlink r:id="rId1125" ref="C295"/>
    <hyperlink r:id="rId1126" ref="E295"/>
    <hyperlink r:id="rId1127" ref="Y295"/>
    <hyperlink r:id="rId1128" ref="B296"/>
    <hyperlink r:id="rId1129" ref="C296"/>
    <hyperlink r:id="rId1130" ref="E296"/>
    <hyperlink r:id="rId1131" ref="Y296"/>
    <hyperlink r:id="rId1132" ref="B297"/>
    <hyperlink r:id="rId1133" ref="C297"/>
    <hyperlink r:id="rId1134" ref="E297"/>
    <hyperlink r:id="rId1135" ref="Y297"/>
    <hyperlink r:id="rId1136" ref="B298"/>
    <hyperlink r:id="rId1137" ref="C298"/>
    <hyperlink r:id="rId1138" ref="E298"/>
    <hyperlink r:id="rId1139" ref="Y298"/>
    <hyperlink r:id="rId1140" ref="B299"/>
    <hyperlink r:id="rId1141" ref="C299"/>
    <hyperlink r:id="rId1142" ref="E299"/>
    <hyperlink r:id="rId1143" ref="Y299"/>
    <hyperlink r:id="rId1144" ref="B300"/>
    <hyperlink r:id="rId1145" ref="C300"/>
    <hyperlink r:id="rId1146" ref="E300"/>
    <hyperlink r:id="rId1147" ref="Y300"/>
    <hyperlink r:id="rId1148" ref="B301"/>
    <hyperlink r:id="rId1149" ref="C301"/>
    <hyperlink r:id="rId1150" ref="E301"/>
    <hyperlink r:id="rId1151" ref="Y301"/>
    <hyperlink r:id="rId1152" ref="B302"/>
    <hyperlink r:id="rId1153" ref="C302"/>
    <hyperlink r:id="rId1154" ref="E302"/>
    <hyperlink r:id="rId1155" ref="Y302"/>
    <hyperlink r:id="rId1156" ref="B303"/>
    <hyperlink r:id="rId1157" ref="C303"/>
    <hyperlink r:id="rId1158" ref="E303"/>
    <hyperlink r:id="rId1159" ref="Y303"/>
    <hyperlink r:id="rId1160" ref="B304"/>
    <hyperlink r:id="rId1161" ref="C304"/>
    <hyperlink r:id="rId1162" ref="E304"/>
    <hyperlink r:id="rId1163" ref="Y304"/>
    <hyperlink r:id="rId1164" ref="B305"/>
    <hyperlink r:id="rId1165" ref="C305"/>
    <hyperlink r:id="rId1166" ref="E305"/>
    <hyperlink r:id="rId1167" ref="Y305"/>
    <hyperlink r:id="rId1168" ref="B306"/>
    <hyperlink r:id="rId1169" ref="C306"/>
    <hyperlink r:id="rId1170" ref="E306"/>
    <hyperlink r:id="rId1171" ref="Y306"/>
    <hyperlink r:id="rId1172" ref="B307"/>
    <hyperlink r:id="rId1173" ref="C307"/>
    <hyperlink r:id="rId1174" ref="E307"/>
    <hyperlink r:id="rId1175" ref="Y307"/>
    <hyperlink r:id="rId1176" ref="B308"/>
    <hyperlink r:id="rId1177" ref="C308"/>
    <hyperlink r:id="rId1178" ref="E308"/>
    <hyperlink r:id="rId1179" ref="Y308"/>
    <hyperlink r:id="rId1180" ref="B309"/>
    <hyperlink r:id="rId1181" ref="C309"/>
    <hyperlink r:id="rId1182" ref="E309"/>
    <hyperlink r:id="rId1183" ref="Y309"/>
    <hyperlink r:id="rId1184" ref="B310"/>
    <hyperlink r:id="rId1185" ref="C310"/>
    <hyperlink r:id="rId1186" ref="E310"/>
    <hyperlink r:id="rId1187" ref="Y310"/>
    <hyperlink r:id="rId1188" ref="B311"/>
    <hyperlink r:id="rId1189" ref="C311"/>
    <hyperlink r:id="rId1190" ref="E311"/>
    <hyperlink r:id="rId1191" ref="Y311"/>
    <hyperlink r:id="rId1192" ref="B312"/>
    <hyperlink r:id="rId1193" ref="C312"/>
    <hyperlink r:id="rId1194" ref="E312"/>
    <hyperlink r:id="rId1195" ref="Y312"/>
    <hyperlink r:id="rId1196" ref="B314"/>
    <hyperlink r:id="rId1197" ref="C314"/>
    <hyperlink r:id="rId1198" ref="E314"/>
    <hyperlink r:id="rId1199" ref="Y314"/>
    <hyperlink r:id="rId1200" ref="B315"/>
    <hyperlink r:id="rId1201" ref="C315"/>
    <hyperlink r:id="rId1202" ref="E315"/>
    <hyperlink r:id="rId1203" ref="Y315"/>
    <hyperlink r:id="rId1204" ref="B316"/>
    <hyperlink r:id="rId1205" ref="C316"/>
    <hyperlink r:id="rId1206" ref="E316"/>
    <hyperlink r:id="rId1207" ref="Y316"/>
    <hyperlink r:id="rId1208" ref="B317"/>
    <hyperlink r:id="rId1209" ref="C317"/>
    <hyperlink r:id="rId1210" ref="E317"/>
    <hyperlink r:id="rId1211" ref="Y317"/>
    <hyperlink r:id="rId1212" ref="B318"/>
    <hyperlink r:id="rId1213" ref="C318"/>
    <hyperlink r:id="rId1214" ref="E318"/>
    <hyperlink r:id="rId1215" ref="Y318"/>
    <hyperlink r:id="rId1216" ref="B319"/>
    <hyperlink r:id="rId1217" ref="C319"/>
    <hyperlink r:id="rId1218" ref="E319"/>
    <hyperlink r:id="rId1219" ref="Y319"/>
    <hyperlink r:id="rId1220" ref="B320"/>
    <hyperlink r:id="rId1221" ref="C320"/>
    <hyperlink r:id="rId1222" ref="E320"/>
    <hyperlink r:id="rId1223" ref="Y320"/>
    <hyperlink r:id="rId1224" ref="B321"/>
    <hyperlink r:id="rId1225" ref="C321"/>
    <hyperlink r:id="rId1226" ref="E321"/>
    <hyperlink r:id="rId1227" ref="Y321"/>
    <hyperlink r:id="rId1228" ref="B322"/>
    <hyperlink r:id="rId1229" ref="C322"/>
    <hyperlink r:id="rId1230" ref="E322"/>
    <hyperlink r:id="rId1231" ref="Y322"/>
    <hyperlink r:id="rId1232" ref="B323"/>
    <hyperlink r:id="rId1233" ref="C323"/>
    <hyperlink r:id="rId1234" ref="E323"/>
    <hyperlink r:id="rId1235" ref="Y323"/>
    <hyperlink r:id="rId1236" ref="B324"/>
    <hyperlink r:id="rId1237" ref="C324"/>
    <hyperlink r:id="rId1238" ref="E324"/>
    <hyperlink r:id="rId1239" ref="Y324"/>
    <hyperlink r:id="rId1240" ref="B325"/>
    <hyperlink r:id="rId1241" ref="C325"/>
    <hyperlink r:id="rId1242" ref="E325"/>
    <hyperlink r:id="rId1243" ref="Y325"/>
    <hyperlink r:id="rId1244" ref="B326"/>
    <hyperlink r:id="rId1245" ref="C326"/>
    <hyperlink r:id="rId1246" ref="E326"/>
    <hyperlink r:id="rId1247" ref="Y326"/>
    <hyperlink r:id="rId1248" ref="B327"/>
    <hyperlink r:id="rId1249" ref="C327"/>
    <hyperlink r:id="rId1250" ref="E327"/>
    <hyperlink r:id="rId1251" ref="Y327"/>
    <hyperlink r:id="rId1252" ref="B328"/>
    <hyperlink r:id="rId1253" ref="C328"/>
    <hyperlink r:id="rId1254" ref="E328"/>
    <hyperlink r:id="rId1255" ref="Y328"/>
    <hyperlink r:id="rId1256" ref="B329"/>
    <hyperlink r:id="rId1257" ref="C329"/>
    <hyperlink r:id="rId1258" ref="E329"/>
    <hyperlink r:id="rId1259" ref="Y329"/>
    <hyperlink r:id="rId1260" ref="B330"/>
    <hyperlink r:id="rId1261" ref="C330"/>
    <hyperlink r:id="rId1262" ref="E330"/>
    <hyperlink r:id="rId1263" ref="Y330"/>
    <hyperlink r:id="rId1264" ref="B331"/>
    <hyperlink r:id="rId1265" ref="C331"/>
    <hyperlink r:id="rId1266" ref="E331"/>
    <hyperlink r:id="rId1267" ref="Y331"/>
    <hyperlink r:id="rId1268" ref="B332"/>
    <hyperlink r:id="rId1269" ref="C332"/>
    <hyperlink r:id="rId1270" ref="E332"/>
    <hyperlink r:id="rId1271" ref="Y332"/>
    <hyperlink r:id="rId1272" ref="B333"/>
    <hyperlink r:id="rId1273" ref="C333"/>
    <hyperlink r:id="rId1274" ref="E333"/>
    <hyperlink r:id="rId1275" ref="Y333"/>
    <hyperlink r:id="rId1276" ref="B334"/>
    <hyperlink r:id="rId1277" ref="C334"/>
    <hyperlink r:id="rId1278" ref="E334"/>
    <hyperlink r:id="rId1279" ref="Y334"/>
    <hyperlink r:id="rId1280" ref="B335"/>
    <hyperlink r:id="rId1281" ref="C335"/>
    <hyperlink r:id="rId1282" ref="E335"/>
    <hyperlink r:id="rId1283" ref="Y335"/>
    <hyperlink r:id="rId1284" ref="B336"/>
    <hyperlink r:id="rId1285" ref="C336"/>
    <hyperlink r:id="rId1286" ref="E336"/>
    <hyperlink r:id="rId1287" ref="Y336"/>
    <hyperlink r:id="rId1288" ref="B337"/>
    <hyperlink r:id="rId1289" ref="C337"/>
    <hyperlink r:id="rId1290" ref="E337"/>
    <hyperlink r:id="rId1291" ref="Y337"/>
    <hyperlink r:id="rId1292" ref="B338"/>
    <hyperlink r:id="rId1293" ref="C338"/>
    <hyperlink r:id="rId1294" ref="E338"/>
    <hyperlink r:id="rId1295" ref="Y338"/>
    <hyperlink r:id="rId1296" ref="B340"/>
    <hyperlink r:id="rId1297" ref="C340"/>
    <hyperlink r:id="rId1298" ref="E340"/>
    <hyperlink r:id="rId1299" ref="Y340"/>
    <hyperlink r:id="rId1300" ref="B341"/>
    <hyperlink r:id="rId1301" ref="C341"/>
    <hyperlink r:id="rId1302" ref="E341"/>
    <hyperlink r:id="rId1303" ref="Y341"/>
    <hyperlink r:id="rId1304" ref="B342"/>
    <hyperlink r:id="rId1305" ref="C342"/>
    <hyperlink r:id="rId1306" ref="E342"/>
    <hyperlink r:id="rId1307" ref="Y342"/>
    <hyperlink r:id="rId1308" ref="B343"/>
    <hyperlink r:id="rId1309" ref="C343"/>
    <hyperlink r:id="rId1310" ref="E343"/>
    <hyperlink r:id="rId1311" ref="Y343"/>
    <hyperlink r:id="rId1312" ref="B344"/>
    <hyperlink r:id="rId1313" ref="C344"/>
    <hyperlink r:id="rId1314" ref="E344"/>
    <hyperlink r:id="rId1315" ref="Y344"/>
    <hyperlink r:id="rId1316" ref="B345"/>
    <hyperlink r:id="rId1317" ref="C345"/>
    <hyperlink r:id="rId1318" ref="E345"/>
    <hyperlink r:id="rId1319" ref="Y345"/>
    <hyperlink r:id="rId1320" ref="B346"/>
    <hyperlink r:id="rId1321" ref="C346"/>
    <hyperlink r:id="rId1322" ref="E346"/>
    <hyperlink r:id="rId1323" ref="Y346"/>
    <hyperlink r:id="rId1324" ref="B347"/>
    <hyperlink r:id="rId1325" ref="C347"/>
    <hyperlink r:id="rId1326" ref="E347"/>
    <hyperlink r:id="rId1327" ref="Y347"/>
    <hyperlink r:id="rId1328" ref="B348"/>
    <hyperlink r:id="rId1329" ref="C348"/>
    <hyperlink r:id="rId1330" ref="E348"/>
    <hyperlink r:id="rId1331" ref="Y348"/>
    <hyperlink r:id="rId1332" ref="B349"/>
    <hyperlink r:id="rId1333" ref="C349"/>
    <hyperlink r:id="rId1334" ref="E349"/>
    <hyperlink r:id="rId1335" ref="Y349"/>
    <hyperlink r:id="rId1336" ref="B350"/>
    <hyperlink r:id="rId1337" ref="C350"/>
    <hyperlink r:id="rId1338" ref="E350"/>
    <hyperlink r:id="rId1339" ref="Y350"/>
    <hyperlink r:id="rId1340" ref="B351"/>
    <hyperlink r:id="rId1341" ref="E351"/>
    <hyperlink r:id="rId1342" ref="Y351"/>
    <hyperlink r:id="rId1343" ref="B352"/>
    <hyperlink r:id="rId1344" ref="C352"/>
    <hyperlink r:id="rId1345" ref="E352"/>
    <hyperlink r:id="rId1346" ref="Y352"/>
    <hyperlink r:id="rId1347" ref="B353"/>
    <hyperlink r:id="rId1348" ref="C353"/>
    <hyperlink r:id="rId1349" ref="E353"/>
    <hyperlink r:id="rId1350" ref="Y353"/>
    <hyperlink r:id="rId1351" ref="B354"/>
    <hyperlink r:id="rId1352" ref="C354"/>
    <hyperlink r:id="rId1353" ref="E354"/>
    <hyperlink r:id="rId1354" ref="Y354"/>
    <hyperlink r:id="rId1355" ref="B355"/>
    <hyperlink r:id="rId1356" ref="C355"/>
    <hyperlink r:id="rId1357" ref="E355"/>
    <hyperlink r:id="rId1358" ref="Y355"/>
    <hyperlink r:id="rId1359" ref="B356"/>
    <hyperlink r:id="rId1360" ref="C356"/>
    <hyperlink r:id="rId1361" ref="E356"/>
    <hyperlink r:id="rId1362" ref="Y356"/>
    <hyperlink r:id="rId1363" ref="B357"/>
    <hyperlink r:id="rId1364" ref="C357"/>
    <hyperlink r:id="rId1365" ref="E357"/>
    <hyperlink r:id="rId1366" ref="Y357"/>
    <hyperlink r:id="rId1367" ref="B358"/>
    <hyperlink r:id="rId1368" ref="C358"/>
    <hyperlink r:id="rId1369" ref="E358"/>
    <hyperlink r:id="rId1370" ref="Y358"/>
    <hyperlink r:id="rId1371" ref="B359"/>
    <hyperlink r:id="rId1372" ref="C359"/>
    <hyperlink r:id="rId1373" ref="E359"/>
    <hyperlink r:id="rId1374" ref="Y359"/>
    <hyperlink r:id="rId1375" ref="B360"/>
    <hyperlink r:id="rId1376" ref="C360"/>
    <hyperlink r:id="rId1377" ref="E360"/>
    <hyperlink r:id="rId1378" ref="Y360"/>
    <hyperlink r:id="rId1379" ref="B361"/>
    <hyperlink r:id="rId1380" ref="C361"/>
    <hyperlink r:id="rId1381" ref="E361"/>
    <hyperlink r:id="rId1382" ref="Y361"/>
    <hyperlink r:id="rId1383" ref="B362"/>
    <hyperlink r:id="rId1384" ref="C362"/>
    <hyperlink r:id="rId1385" ref="E362"/>
    <hyperlink r:id="rId1386" ref="Y362"/>
    <hyperlink r:id="rId1387" ref="B363"/>
    <hyperlink r:id="rId1388" ref="C363"/>
    <hyperlink r:id="rId1389" ref="E363"/>
    <hyperlink r:id="rId1390" ref="Y363"/>
    <hyperlink r:id="rId1391" ref="B364"/>
    <hyperlink r:id="rId1392" ref="C364"/>
    <hyperlink r:id="rId1393" ref="E364"/>
    <hyperlink r:id="rId1394" ref="Y364"/>
    <hyperlink r:id="rId1395" ref="B366"/>
    <hyperlink r:id="rId1396" ref="C366"/>
    <hyperlink r:id="rId1397" ref="E366"/>
    <hyperlink r:id="rId1398" ref="Y366"/>
    <hyperlink r:id="rId1399" ref="B367"/>
    <hyperlink r:id="rId1400" ref="C367"/>
    <hyperlink r:id="rId1401" ref="E367"/>
    <hyperlink r:id="rId1402" ref="Y367"/>
    <hyperlink r:id="rId1403" ref="B368"/>
    <hyperlink r:id="rId1404" ref="C368"/>
    <hyperlink r:id="rId1405" ref="E368"/>
    <hyperlink r:id="rId1406" ref="Y368"/>
    <hyperlink r:id="rId1407" ref="B369"/>
    <hyperlink r:id="rId1408" ref="C369"/>
    <hyperlink r:id="rId1409" ref="E369"/>
    <hyperlink r:id="rId1410" ref="Y369"/>
    <hyperlink r:id="rId1411" ref="B370"/>
    <hyperlink r:id="rId1412" ref="C370"/>
    <hyperlink r:id="rId1413" ref="E370"/>
    <hyperlink r:id="rId1414" ref="Y370"/>
    <hyperlink r:id="rId1415" ref="B371"/>
    <hyperlink r:id="rId1416" ref="C371"/>
    <hyperlink r:id="rId1417" ref="E371"/>
    <hyperlink r:id="rId1418" ref="Y371"/>
    <hyperlink r:id="rId1419" ref="B372"/>
    <hyperlink r:id="rId1420" ref="C372"/>
    <hyperlink r:id="rId1421" ref="E372"/>
    <hyperlink r:id="rId1422" ref="Y372"/>
    <hyperlink r:id="rId1423" ref="B373"/>
    <hyperlink r:id="rId1424" ref="C373"/>
    <hyperlink r:id="rId1425" ref="E373"/>
    <hyperlink r:id="rId1426" ref="Y373"/>
    <hyperlink r:id="rId1427" ref="B374"/>
    <hyperlink r:id="rId1428" ref="C374"/>
    <hyperlink r:id="rId1429" ref="E374"/>
    <hyperlink r:id="rId1430" ref="Y374"/>
    <hyperlink r:id="rId1431" ref="B375"/>
    <hyperlink r:id="rId1432" ref="C375"/>
    <hyperlink r:id="rId1433" ref="E375"/>
    <hyperlink r:id="rId1434" ref="Y375"/>
    <hyperlink r:id="rId1435" ref="B376"/>
    <hyperlink r:id="rId1436" ref="C376"/>
    <hyperlink r:id="rId1437" ref="E376"/>
    <hyperlink r:id="rId1438" ref="Y376"/>
    <hyperlink r:id="rId1439" ref="B377"/>
    <hyperlink r:id="rId1440" ref="C377"/>
    <hyperlink r:id="rId1441" ref="E377"/>
    <hyperlink r:id="rId1442" ref="Y377"/>
    <hyperlink r:id="rId1443" ref="B378"/>
    <hyperlink r:id="rId1444" ref="C378"/>
    <hyperlink r:id="rId1445" ref="E378"/>
    <hyperlink r:id="rId1446" ref="Y378"/>
    <hyperlink r:id="rId1447" ref="B379"/>
    <hyperlink r:id="rId1448" ref="C379"/>
    <hyperlink r:id="rId1449" ref="E379"/>
    <hyperlink r:id="rId1450" ref="Y379"/>
    <hyperlink r:id="rId1451" ref="B380"/>
    <hyperlink r:id="rId1452" ref="C380"/>
    <hyperlink r:id="rId1453" ref="E380"/>
    <hyperlink r:id="rId1454" ref="Y380"/>
    <hyperlink r:id="rId1455" ref="B381"/>
    <hyperlink r:id="rId1456" ref="C381"/>
    <hyperlink r:id="rId1457" ref="E381"/>
    <hyperlink r:id="rId1458" ref="Y381"/>
    <hyperlink r:id="rId1459" ref="B382"/>
    <hyperlink r:id="rId1460" ref="C382"/>
    <hyperlink r:id="rId1461" ref="E382"/>
    <hyperlink r:id="rId1462" ref="Y382"/>
    <hyperlink r:id="rId1463" ref="B383"/>
    <hyperlink r:id="rId1464" ref="C383"/>
    <hyperlink r:id="rId1465" ref="E383"/>
    <hyperlink r:id="rId1466" ref="Y383"/>
    <hyperlink r:id="rId1467" ref="B384"/>
    <hyperlink r:id="rId1468" ref="C384"/>
    <hyperlink r:id="rId1469" ref="E384"/>
    <hyperlink r:id="rId1470" ref="Y384"/>
    <hyperlink r:id="rId1471" ref="B385"/>
    <hyperlink r:id="rId1472" ref="C385"/>
    <hyperlink r:id="rId1473" ref="E385"/>
    <hyperlink r:id="rId1474" ref="Y385"/>
    <hyperlink r:id="rId1475" ref="B386"/>
    <hyperlink r:id="rId1476" ref="C386"/>
    <hyperlink r:id="rId1477" ref="E386"/>
    <hyperlink r:id="rId1478" ref="Y386"/>
    <hyperlink r:id="rId1479" ref="B387"/>
    <hyperlink r:id="rId1480" ref="C387"/>
    <hyperlink r:id="rId1481" ref="E387"/>
    <hyperlink r:id="rId1482" ref="Y387"/>
    <hyperlink r:id="rId1483" ref="B388"/>
    <hyperlink r:id="rId1484" ref="C388"/>
    <hyperlink r:id="rId1485" ref="E388"/>
    <hyperlink r:id="rId1486" ref="Y388"/>
    <hyperlink r:id="rId1487" ref="B389"/>
    <hyperlink r:id="rId1488" ref="C389"/>
    <hyperlink r:id="rId1489" ref="E389"/>
    <hyperlink r:id="rId1490" ref="Y389"/>
    <hyperlink r:id="rId1491" ref="B390"/>
    <hyperlink r:id="rId1492" ref="C390"/>
    <hyperlink r:id="rId1493" ref="E390"/>
    <hyperlink r:id="rId1494" ref="Y390"/>
    <hyperlink r:id="rId1495" ref="B392"/>
    <hyperlink r:id="rId1496" ref="C392"/>
    <hyperlink r:id="rId1497" ref="E392"/>
    <hyperlink r:id="rId1498" ref="Y392"/>
    <hyperlink r:id="rId1499" ref="B393"/>
    <hyperlink r:id="rId1500" ref="C393"/>
    <hyperlink r:id="rId1501" ref="E393"/>
    <hyperlink r:id="rId1502" ref="Y393"/>
    <hyperlink r:id="rId1503" ref="B394"/>
    <hyperlink r:id="rId1504" ref="C394"/>
    <hyperlink r:id="rId1505" ref="E394"/>
    <hyperlink r:id="rId1506" ref="Y394"/>
    <hyperlink r:id="rId1507" ref="B395"/>
    <hyperlink r:id="rId1508" ref="C395"/>
    <hyperlink r:id="rId1509" ref="E395"/>
    <hyperlink r:id="rId1510" ref="Y395"/>
    <hyperlink r:id="rId1511" ref="B396"/>
    <hyperlink r:id="rId1512" ref="C396"/>
    <hyperlink r:id="rId1513" ref="E396"/>
    <hyperlink r:id="rId1514" ref="Y396"/>
    <hyperlink r:id="rId1515" ref="B397"/>
    <hyperlink r:id="rId1516" ref="C397"/>
    <hyperlink r:id="rId1517" ref="E397"/>
    <hyperlink r:id="rId1518" ref="Y397"/>
    <hyperlink r:id="rId1519" ref="B398"/>
    <hyperlink r:id="rId1520" ref="C398"/>
    <hyperlink r:id="rId1521" ref="E398"/>
    <hyperlink r:id="rId1522" ref="Y398"/>
    <hyperlink r:id="rId1523" ref="B399"/>
    <hyperlink r:id="rId1524" ref="C399"/>
    <hyperlink r:id="rId1525" ref="E399"/>
    <hyperlink r:id="rId1526" ref="Y399"/>
    <hyperlink r:id="rId1527" ref="B400"/>
    <hyperlink r:id="rId1528" ref="C400"/>
    <hyperlink r:id="rId1529" ref="E400"/>
    <hyperlink r:id="rId1530" ref="Y400"/>
    <hyperlink r:id="rId1531" ref="B401"/>
    <hyperlink r:id="rId1532" ref="C401"/>
    <hyperlink r:id="rId1533" ref="E401"/>
    <hyperlink r:id="rId1534" ref="Y401"/>
    <hyperlink r:id="rId1535" ref="B402"/>
    <hyperlink r:id="rId1536" ref="C402"/>
    <hyperlink r:id="rId1537" ref="E402"/>
    <hyperlink r:id="rId1538" ref="Y402"/>
    <hyperlink r:id="rId1539" ref="B403"/>
    <hyperlink r:id="rId1540" ref="C403"/>
    <hyperlink r:id="rId1541" ref="E403"/>
    <hyperlink r:id="rId1542" ref="Y403"/>
    <hyperlink r:id="rId1543" ref="B404"/>
    <hyperlink r:id="rId1544" ref="C404"/>
    <hyperlink r:id="rId1545" ref="E404"/>
    <hyperlink r:id="rId1546" ref="Y404"/>
    <hyperlink r:id="rId1547" ref="B405"/>
    <hyperlink r:id="rId1548" ref="C405"/>
    <hyperlink r:id="rId1549" ref="E405"/>
    <hyperlink r:id="rId1550" ref="Y405"/>
    <hyperlink r:id="rId1551" ref="B406"/>
    <hyperlink r:id="rId1552" ref="C406"/>
    <hyperlink r:id="rId1553" ref="E406"/>
    <hyperlink r:id="rId1554" ref="Y406"/>
    <hyperlink r:id="rId1555" ref="B407"/>
    <hyperlink r:id="rId1556" ref="C407"/>
    <hyperlink r:id="rId1557" ref="E407"/>
    <hyperlink r:id="rId1558" ref="Y407"/>
    <hyperlink r:id="rId1559" ref="B408"/>
    <hyperlink r:id="rId1560" ref="C408"/>
    <hyperlink r:id="rId1561" ref="E408"/>
    <hyperlink r:id="rId1562" ref="Y408"/>
    <hyperlink r:id="rId1563" ref="B409"/>
    <hyperlink r:id="rId1564" ref="C409"/>
    <hyperlink r:id="rId1565" ref="E409"/>
    <hyperlink r:id="rId1566" ref="Y409"/>
    <hyperlink r:id="rId1567" ref="B410"/>
    <hyperlink r:id="rId1568" ref="C410"/>
    <hyperlink r:id="rId1569" ref="E410"/>
    <hyperlink r:id="rId1570" ref="Y410"/>
    <hyperlink r:id="rId1571" ref="B411"/>
    <hyperlink r:id="rId1572" ref="C411"/>
    <hyperlink r:id="rId1573" ref="E411"/>
    <hyperlink r:id="rId1574" ref="Y411"/>
    <hyperlink r:id="rId1575" ref="B412"/>
    <hyperlink r:id="rId1576" ref="C412"/>
    <hyperlink r:id="rId1577" ref="E412"/>
    <hyperlink r:id="rId1578" ref="Y412"/>
    <hyperlink r:id="rId1579" ref="B413"/>
    <hyperlink r:id="rId1580" ref="C413"/>
    <hyperlink r:id="rId1581" ref="E413"/>
    <hyperlink r:id="rId1582" ref="Y413"/>
    <hyperlink r:id="rId1583" ref="B414"/>
    <hyperlink r:id="rId1584" ref="C414"/>
    <hyperlink r:id="rId1585" ref="E414"/>
    <hyperlink r:id="rId1586" ref="Y414"/>
    <hyperlink r:id="rId1587" ref="B415"/>
    <hyperlink r:id="rId1588" ref="C415"/>
    <hyperlink r:id="rId1589" ref="E415"/>
    <hyperlink r:id="rId1590" ref="Y415"/>
    <hyperlink r:id="rId1591" ref="B416"/>
    <hyperlink r:id="rId1592" ref="C416"/>
    <hyperlink r:id="rId1593" ref="E416"/>
    <hyperlink r:id="rId1594" ref="Y416"/>
    <hyperlink r:id="rId1595" ref="B418"/>
    <hyperlink r:id="rId1596" ref="C418"/>
    <hyperlink r:id="rId1597" ref="E418"/>
    <hyperlink r:id="rId1598" ref="Y418"/>
    <hyperlink r:id="rId1599" ref="B419"/>
    <hyperlink r:id="rId1600" ref="C419"/>
    <hyperlink r:id="rId1601" ref="E419"/>
    <hyperlink r:id="rId1602" ref="Y419"/>
    <hyperlink r:id="rId1603" ref="B420"/>
    <hyperlink r:id="rId1604" ref="C420"/>
    <hyperlink r:id="rId1605" ref="E420"/>
    <hyperlink r:id="rId1606" ref="Y420"/>
    <hyperlink r:id="rId1607" ref="B421"/>
    <hyperlink r:id="rId1608" ref="C421"/>
    <hyperlink r:id="rId1609" ref="E421"/>
    <hyperlink r:id="rId1610" ref="Y421"/>
    <hyperlink r:id="rId1611" ref="B422"/>
    <hyperlink r:id="rId1612" ref="C422"/>
    <hyperlink r:id="rId1613" ref="E422"/>
    <hyperlink r:id="rId1614" ref="Y422"/>
    <hyperlink r:id="rId1615" ref="B423"/>
    <hyperlink r:id="rId1616" ref="C423"/>
    <hyperlink r:id="rId1617" ref="E423"/>
    <hyperlink r:id="rId1618" ref="Y423"/>
    <hyperlink r:id="rId1619" ref="B424"/>
    <hyperlink r:id="rId1620" ref="C424"/>
    <hyperlink r:id="rId1621" ref="E424"/>
    <hyperlink r:id="rId1622" ref="Y424"/>
    <hyperlink r:id="rId1623" ref="B425"/>
    <hyperlink r:id="rId1624" ref="C425"/>
    <hyperlink r:id="rId1625" ref="E425"/>
    <hyperlink r:id="rId1626" ref="Y425"/>
    <hyperlink r:id="rId1627" ref="B426"/>
    <hyperlink r:id="rId1628" ref="C426"/>
    <hyperlink r:id="rId1629" ref="E426"/>
    <hyperlink r:id="rId1630" ref="Y426"/>
    <hyperlink r:id="rId1631" ref="B427"/>
    <hyperlink r:id="rId1632" ref="C427"/>
    <hyperlink r:id="rId1633" ref="E427"/>
    <hyperlink r:id="rId1634" ref="Y427"/>
    <hyperlink r:id="rId1635" ref="B428"/>
    <hyperlink r:id="rId1636" ref="C428"/>
    <hyperlink r:id="rId1637" ref="E428"/>
    <hyperlink r:id="rId1638" ref="Y428"/>
    <hyperlink r:id="rId1639" ref="B429"/>
    <hyperlink r:id="rId1640" ref="C429"/>
    <hyperlink r:id="rId1641" ref="E429"/>
    <hyperlink r:id="rId1642" ref="Y429"/>
    <hyperlink r:id="rId1643" ref="B430"/>
    <hyperlink r:id="rId1644" ref="C430"/>
    <hyperlink r:id="rId1645" ref="E430"/>
    <hyperlink r:id="rId1646" ref="Y430"/>
    <hyperlink r:id="rId1647" ref="B431"/>
    <hyperlink r:id="rId1648" ref="C431"/>
    <hyperlink r:id="rId1649" ref="E431"/>
    <hyperlink r:id="rId1650" ref="Y431"/>
    <hyperlink r:id="rId1651" ref="B432"/>
    <hyperlink r:id="rId1652" ref="C432"/>
    <hyperlink r:id="rId1653" ref="E432"/>
    <hyperlink r:id="rId1654" ref="Y432"/>
    <hyperlink r:id="rId1655" ref="B433"/>
    <hyperlink r:id="rId1656" ref="C433"/>
    <hyperlink r:id="rId1657" ref="E433"/>
    <hyperlink r:id="rId1658" ref="Y433"/>
    <hyperlink r:id="rId1659" ref="B434"/>
    <hyperlink r:id="rId1660" ref="C434"/>
    <hyperlink r:id="rId1661" ref="E434"/>
    <hyperlink r:id="rId1662" ref="Y434"/>
    <hyperlink r:id="rId1663" ref="B435"/>
    <hyperlink r:id="rId1664" ref="C435"/>
    <hyperlink r:id="rId1665" ref="E435"/>
    <hyperlink r:id="rId1666" ref="Y435"/>
    <hyperlink r:id="rId1667" ref="B436"/>
    <hyperlink r:id="rId1668" ref="C436"/>
    <hyperlink r:id="rId1669" ref="E436"/>
    <hyperlink r:id="rId1670" ref="Y436"/>
    <hyperlink r:id="rId1671" ref="B437"/>
    <hyperlink r:id="rId1672" ref="C437"/>
    <hyperlink r:id="rId1673" ref="E437"/>
    <hyperlink r:id="rId1674" ref="Y437"/>
    <hyperlink r:id="rId1675" ref="B438"/>
    <hyperlink r:id="rId1676" ref="C438"/>
    <hyperlink r:id="rId1677" ref="E438"/>
    <hyperlink r:id="rId1678" ref="Y438"/>
    <hyperlink r:id="rId1679" ref="B439"/>
    <hyperlink r:id="rId1680" ref="C439"/>
    <hyperlink r:id="rId1681" ref="E439"/>
    <hyperlink r:id="rId1682" ref="Y439"/>
    <hyperlink r:id="rId1683" ref="B440"/>
    <hyperlink r:id="rId1684" ref="C440"/>
    <hyperlink r:id="rId1685" ref="E440"/>
    <hyperlink r:id="rId1686" ref="Y440"/>
    <hyperlink r:id="rId1687" ref="B441"/>
    <hyperlink r:id="rId1688" ref="C441"/>
    <hyperlink r:id="rId1689" ref="E441"/>
    <hyperlink r:id="rId1690" ref="Y441"/>
    <hyperlink r:id="rId1691" ref="B442"/>
    <hyperlink r:id="rId1692" ref="E442"/>
    <hyperlink r:id="rId1693" ref="Y442"/>
    <hyperlink r:id="rId1694" ref="B444"/>
    <hyperlink r:id="rId1695" ref="C444"/>
    <hyperlink r:id="rId1696" ref="E444"/>
    <hyperlink r:id="rId1697" ref="Y444"/>
    <hyperlink r:id="rId1698" ref="B445"/>
    <hyperlink r:id="rId1699" ref="C445"/>
    <hyperlink r:id="rId1700" ref="E445"/>
    <hyperlink r:id="rId1701" ref="Y445"/>
    <hyperlink r:id="rId1702" ref="B446"/>
    <hyperlink r:id="rId1703" ref="C446"/>
    <hyperlink r:id="rId1704" ref="E446"/>
    <hyperlink r:id="rId1705" ref="Y446"/>
    <hyperlink r:id="rId1706" ref="B447"/>
    <hyperlink r:id="rId1707" ref="C447"/>
    <hyperlink r:id="rId1708" ref="E447"/>
    <hyperlink r:id="rId1709" ref="Y447"/>
    <hyperlink r:id="rId1710" ref="B448"/>
    <hyperlink r:id="rId1711" ref="C448"/>
    <hyperlink r:id="rId1712" ref="E448"/>
    <hyperlink r:id="rId1713" ref="Y448"/>
    <hyperlink r:id="rId1714" ref="B449"/>
    <hyperlink r:id="rId1715" ref="C449"/>
    <hyperlink r:id="rId1716" ref="E449"/>
    <hyperlink r:id="rId1717" ref="Y449"/>
    <hyperlink r:id="rId1718" ref="B450"/>
    <hyperlink r:id="rId1719" ref="C450"/>
    <hyperlink r:id="rId1720" ref="E450"/>
    <hyperlink r:id="rId1721" ref="Y450"/>
    <hyperlink r:id="rId1722" ref="B451"/>
    <hyperlink r:id="rId1723" ref="C451"/>
    <hyperlink r:id="rId1724" ref="E451"/>
    <hyperlink r:id="rId1725" ref="Y451"/>
    <hyperlink r:id="rId1726" ref="B452"/>
    <hyperlink r:id="rId1727" ref="C452"/>
    <hyperlink r:id="rId1728" ref="E452"/>
    <hyperlink r:id="rId1729" ref="Y452"/>
    <hyperlink r:id="rId1730" ref="B453"/>
    <hyperlink r:id="rId1731" ref="C453"/>
    <hyperlink r:id="rId1732" ref="E453"/>
    <hyperlink r:id="rId1733" ref="Y453"/>
    <hyperlink r:id="rId1734" ref="B454"/>
    <hyperlink r:id="rId1735" ref="C454"/>
    <hyperlink r:id="rId1736" ref="E454"/>
    <hyperlink r:id="rId1737" ref="Y454"/>
    <hyperlink r:id="rId1738" ref="B455"/>
    <hyperlink r:id="rId1739" ref="C455"/>
    <hyperlink r:id="rId1740" ref="E455"/>
    <hyperlink r:id="rId1741" ref="Y455"/>
    <hyperlink r:id="rId1742" ref="B456"/>
    <hyperlink r:id="rId1743" ref="C456"/>
    <hyperlink r:id="rId1744" ref="E456"/>
    <hyperlink r:id="rId1745" ref="Y456"/>
    <hyperlink r:id="rId1746" ref="B457"/>
    <hyperlink r:id="rId1747" ref="C457"/>
    <hyperlink r:id="rId1748" ref="E457"/>
    <hyperlink r:id="rId1749" ref="Y457"/>
    <hyperlink r:id="rId1750" ref="B458"/>
    <hyperlink r:id="rId1751" ref="C458"/>
    <hyperlink r:id="rId1752" ref="E458"/>
    <hyperlink r:id="rId1753" ref="Y458"/>
    <hyperlink r:id="rId1754" ref="B459"/>
    <hyperlink r:id="rId1755" ref="C459"/>
    <hyperlink r:id="rId1756" ref="E459"/>
    <hyperlink r:id="rId1757" ref="Y459"/>
    <hyperlink r:id="rId1758" ref="B460"/>
    <hyperlink r:id="rId1759" ref="C460"/>
    <hyperlink r:id="rId1760" ref="E460"/>
    <hyperlink r:id="rId1761" ref="Y460"/>
    <hyperlink r:id="rId1762" ref="B461"/>
    <hyperlink r:id="rId1763" ref="C461"/>
    <hyperlink r:id="rId1764" ref="E461"/>
    <hyperlink r:id="rId1765" ref="Y461"/>
    <hyperlink r:id="rId1766" ref="B462"/>
    <hyperlink r:id="rId1767" ref="C462"/>
    <hyperlink r:id="rId1768" ref="E462"/>
    <hyperlink r:id="rId1769" ref="Y462"/>
    <hyperlink r:id="rId1770" ref="B463"/>
    <hyperlink r:id="rId1771" ref="C463"/>
    <hyperlink r:id="rId1772" ref="E463"/>
    <hyperlink r:id="rId1773" ref="Y463"/>
    <hyperlink r:id="rId1774" ref="B464"/>
    <hyperlink r:id="rId1775" ref="C464"/>
    <hyperlink r:id="rId1776" ref="E464"/>
    <hyperlink r:id="rId1777" ref="Y464"/>
    <hyperlink r:id="rId1778" ref="B465"/>
    <hyperlink r:id="rId1779" ref="C465"/>
    <hyperlink r:id="rId1780" ref="E465"/>
    <hyperlink r:id="rId1781" ref="Y465"/>
    <hyperlink r:id="rId1782" ref="B466"/>
    <hyperlink r:id="rId1783" ref="C466"/>
    <hyperlink r:id="rId1784" ref="E466"/>
    <hyperlink r:id="rId1785" ref="Y466"/>
    <hyperlink r:id="rId1786" ref="B467"/>
    <hyperlink r:id="rId1787" ref="C467"/>
    <hyperlink r:id="rId1788" ref="E467"/>
    <hyperlink r:id="rId1789" ref="Y467"/>
    <hyperlink r:id="rId1790" ref="B468"/>
    <hyperlink r:id="rId1791" ref="C468"/>
    <hyperlink r:id="rId1792" ref="E468"/>
    <hyperlink r:id="rId1793" ref="Y468"/>
    <hyperlink r:id="rId1794" ref="B470"/>
    <hyperlink r:id="rId1795" ref="C470"/>
    <hyperlink r:id="rId1796" ref="E470"/>
    <hyperlink r:id="rId1797" ref="Y470"/>
    <hyperlink r:id="rId1798" ref="B471"/>
    <hyperlink r:id="rId1799" ref="C471"/>
    <hyperlink r:id="rId1800" ref="E471"/>
    <hyperlink r:id="rId1801" ref="Y471"/>
    <hyperlink r:id="rId1802" ref="B472"/>
    <hyperlink r:id="rId1803" ref="C472"/>
    <hyperlink r:id="rId1804" ref="E472"/>
    <hyperlink r:id="rId1805" ref="Y472"/>
    <hyperlink r:id="rId1806" ref="B473"/>
    <hyperlink r:id="rId1807" ref="C473"/>
    <hyperlink r:id="rId1808" ref="E473"/>
    <hyperlink r:id="rId1809" ref="Y473"/>
    <hyperlink r:id="rId1810" ref="B474"/>
    <hyperlink r:id="rId1811" ref="C474"/>
    <hyperlink r:id="rId1812" ref="E474"/>
    <hyperlink r:id="rId1813" ref="Y474"/>
    <hyperlink r:id="rId1814" ref="B475"/>
    <hyperlink r:id="rId1815" ref="C475"/>
    <hyperlink r:id="rId1816" ref="E475"/>
    <hyperlink r:id="rId1817" ref="Y475"/>
    <hyperlink r:id="rId1818" ref="B476"/>
    <hyperlink r:id="rId1819" ref="C476"/>
    <hyperlink r:id="rId1820" ref="E476"/>
    <hyperlink r:id="rId1821" ref="Y476"/>
    <hyperlink r:id="rId1822" ref="B477"/>
    <hyperlink r:id="rId1823" ref="C477"/>
    <hyperlink r:id="rId1824" ref="E477"/>
    <hyperlink r:id="rId1825" ref="Y477"/>
    <hyperlink r:id="rId1826" ref="B478"/>
    <hyperlink r:id="rId1827" ref="C478"/>
    <hyperlink r:id="rId1828" ref="E478"/>
    <hyperlink r:id="rId1829" ref="Y478"/>
    <hyperlink r:id="rId1830" ref="B479"/>
    <hyperlink r:id="rId1831" ref="C479"/>
    <hyperlink r:id="rId1832" ref="E479"/>
    <hyperlink r:id="rId1833" ref="Y479"/>
    <hyperlink r:id="rId1834" ref="B480"/>
    <hyperlink r:id="rId1835" ref="C480"/>
    <hyperlink r:id="rId1836" ref="E480"/>
    <hyperlink r:id="rId1837" ref="Y480"/>
    <hyperlink r:id="rId1838" ref="B481"/>
    <hyperlink r:id="rId1839" ref="C481"/>
    <hyperlink r:id="rId1840" ref="E481"/>
    <hyperlink r:id="rId1841" ref="Y481"/>
    <hyperlink r:id="rId1842" ref="B482"/>
    <hyperlink r:id="rId1843" ref="C482"/>
    <hyperlink r:id="rId1844" ref="E482"/>
    <hyperlink r:id="rId1845" ref="Y482"/>
    <hyperlink r:id="rId1846" ref="B483"/>
    <hyperlink r:id="rId1847" ref="C483"/>
    <hyperlink r:id="rId1848" ref="E483"/>
    <hyperlink r:id="rId1849" ref="Y483"/>
    <hyperlink r:id="rId1850" ref="B484"/>
    <hyperlink r:id="rId1851" ref="C484"/>
    <hyperlink r:id="rId1852" ref="E484"/>
    <hyperlink r:id="rId1853" ref="Y484"/>
    <hyperlink r:id="rId1854" ref="B485"/>
    <hyperlink r:id="rId1855" ref="C485"/>
    <hyperlink r:id="rId1856" ref="E485"/>
    <hyperlink r:id="rId1857" ref="Y485"/>
    <hyperlink r:id="rId1858" ref="B486"/>
    <hyperlink r:id="rId1859" ref="C486"/>
    <hyperlink r:id="rId1860" ref="E486"/>
    <hyperlink r:id="rId1861" ref="Y486"/>
    <hyperlink r:id="rId1862" ref="B487"/>
    <hyperlink r:id="rId1863" ref="C487"/>
    <hyperlink r:id="rId1864" ref="E487"/>
    <hyperlink r:id="rId1865" ref="Y487"/>
    <hyperlink r:id="rId1866" ref="B488"/>
    <hyperlink r:id="rId1867" ref="C488"/>
    <hyperlink r:id="rId1868" ref="E488"/>
    <hyperlink r:id="rId1869" ref="Y488"/>
    <hyperlink r:id="rId1870" ref="B489"/>
    <hyperlink r:id="rId1871" ref="C489"/>
    <hyperlink r:id="rId1872" ref="E489"/>
    <hyperlink r:id="rId1873" ref="Y489"/>
    <hyperlink r:id="rId1874" ref="B490"/>
    <hyperlink r:id="rId1875" ref="C490"/>
    <hyperlink r:id="rId1876" ref="E490"/>
    <hyperlink r:id="rId1877" ref="Y490"/>
    <hyperlink r:id="rId1878" ref="B491"/>
    <hyperlink r:id="rId1879" ref="C491"/>
    <hyperlink r:id="rId1880" ref="E491"/>
    <hyperlink r:id="rId1881" ref="Y491"/>
    <hyperlink r:id="rId1882" ref="B492"/>
    <hyperlink r:id="rId1883" ref="C492"/>
    <hyperlink r:id="rId1884" ref="E492"/>
    <hyperlink r:id="rId1885" ref="Y492"/>
    <hyperlink r:id="rId1886" ref="B493"/>
    <hyperlink r:id="rId1887" ref="C493"/>
    <hyperlink r:id="rId1888" ref="E493"/>
    <hyperlink r:id="rId1889" ref="Y493"/>
    <hyperlink r:id="rId1890" ref="B494"/>
    <hyperlink r:id="rId1891" ref="C494"/>
    <hyperlink r:id="rId1892" ref="E494"/>
    <hyperlink r:id="rId1893" ref="Y494"/>
    <hyperlink r:id="rId1894" ref="B496"/>
    <hyperlink r:id="rId1895" ref="C496"/>
    <hyperlink r:id="rId1896" ref="E496"/>
    <hyperlink r:id="rId1897" ref="Y496"/>
    <hyperlink r:id="rId1898" ref="B497"/>
    <hyperlink r:id="rId1899" ref="C497"/>
    <hyperlink r:id="rId1900" ref="E497"/>
    <hyperlink r:id="rId1901" ref="Y497"/>
    <hyperlink r:id="rId1902" ref="B498"/>
    <hyperlink r:id="rId1903" ref="C498"/>
    <hyperlink r:id="rId1904" ref="E498"/>
    <hyperlink r:id="rId1905" ref="Y498"/>
    <hyperlink r:id="rId1906" ref="B499"/>
    <hyperlink r:id="rId1907" ref="C499"/>
    <hyperlink r:id="rId1908" ref="E499"/>
    <hyperlink r:id="rId1909" ref="Y499"/>
    <hyperlink r:id="rId1910" ref="B500"/>
    <hyperlink r:id="rId1911" ref="C500"/>
    <hyperlink r:id="rId1912" ref="E500"/>
    <hyperlink r:id="rId1913" ref="Y500"/>
    <hyperlink r:id="rId1914" ref="B501"/>
    <hyperlink r:id="rId1915" ref="C501"/>
    <hyperlink r:id="rId1916" ref="E501"/>
    <hyperlink r:id="rId1917" ref="Y501"/>
    <hyperlink r:id="rId1918" ref="B502"/>
    <hyperlink r:id="rId1919" ref="C502"/>
    <hyperlink r:id="rId1920" ref="E502"/>
    <hyperlink r:id="rId1921" ref="Y502"/>
    <hyperlink r:id="rId1922" ref="B503"/>
    <hyperlink r:id="rId1923" ref="C503"/>
    <hyperlink r:id="rId1924" ref="E503"/>
    <hyperlink r:id="rId1925" ref="Y503"/>
    <hyperlink r:id="rId1926" ref="B504"/>
    <hyperlink r:id="rId1927" ref="C504"/>
    <hyperlink r:id="rId1928" ref="E504"/>
    <hyperlink r:id="rId1929" ref="Y504"/>
    <hyperlink r:id="rId1930" ref="B505"/>
    <hyperlink r:id="rId1931" ref="C505"/>
    <hyperlink r:id="rId1932" ref="E505"/>
    <hyperlink r:id="rId1933" ref="Y505"/>
    <hyperlink r:id="rId1934" ref="B506"/>
    <hyperlink r:id="rId1935" ref="C506"/>
    <hyperlink r:id="rId1936" ref="E506"/>
    <hyperlink r:id="rId1937" ref="Y506"/>
    <hyperlink r:id="rId1938" ref="B507"/>
    <hyperlink r:id="rId1939" ref="C507"/>
    <hyperlink r:id="rId1940" ref="E507"/>
    <hyperlink r:id="rId1941" ref="Y507"/>
    <hyperlink r:id="rId1942" ref="B508"/>
    <hyperlink r:id="rId1943" ref="C508"/>
    <hyperlink r:id="rId1944" ref="E508"/>
    <hyperlink r:id="rId1945" ref="Y508"/>
    <hyperlink r:id="rId1946" ref="B509"/>
    <hyperlink r:id="rId1947" ref="C509"/>
    <hyperlink r:id="rId1948" ref="E509"/>
    <hyperlink r:id="rId1949" ref="Y509"/>
    <hyperlink r:id="rId1950" ref="B510"/>
    <hyperlink r:id="rId1951" ref="C510"/>
    <hyperlink r:id="rId1952" ref="E510"/>
    <hyperlink r:id="rId1953" ref="Y510"/>
    <hyperlink r:id="rId1954" ref="B511"/>
    <hyperlink r:id="rId1955" ref="C511"/>
    <hyperlink r:id="rId1956" ref="E511"/>
    <hyperlink r:id="rId1957" ref="Y511"/>
    <hyperlink r:id="rId1958" ref="B512"/>
    <hyperlink r:id="rId1959" ref="C512"/>
    <hyperlink r:id="rId1960" ref="E512"/>
    <hyperlink r:id="rId1961" ref="Y512"/>
    <hyperlink r:id="rId1962" ref="B513"/>
    <hyperlink r:id="rId1963" ref="C513"/>
    <hyperlink r:id="rId1964" ref="E513"/>
    <hyperlink r:id="rId1965" ref="Y513"/>
    <hyperlink r:id="rId1966" ref="B514"/>
    <hyperlink r:id="rId1967" ref="C514"/>
    <hyperlink r:id="rId1968" ref="E514"/>
    <hyperlink r:id="rId1969" ref="Y514"/>
    <hyperlink r:id="rId1970" ref="B515"/>
    <hyperlink r:id="rId1971" ref="C515"/>
    <hyperlink r:id="rId1972" ref="E515"/>
    <hyperlink r:id="rId1973" ref="Y515"/>
    <hyperlink r:id="rId1974" ref="B516"/>
    <hyperlink r:id="rId1975" ref="C516"/>
    <hyperlink r:id="rId1976" ref="E516"/>
    <hyperlink r:id="rId1977" ref="Y516"/>
    <hyperlink r:id="rId1978" ref="B517"/>
    <hyperlink r:id="rId1979" ref="C517"/>
    <hyperlink r:id="rId1980" ref="E517"/>
    <hyperlink r:id="rId1981" ref="Y517"/>
    <hyperlink r:id="rId1982" ref="B518"/>
    <hyperlink r:id="rId1983" ref="C518"/>
    <hyperlink r:id="rId1984" ref="E518"/>
    <hyperlink r:id="rId1985" ref="Y518"/>
    <hyperlink r:id="rId1986" ref="B519"/>
    <hyperlink r:id="rId1987" ref="C519"/>
    <hyperlink r:id="rId1988" ref="E519"/>
    <hyperlink r:id="rId1989" ref="Y519"/>
    <hyperlink r:id="rId1990" ref="B520"/>
    <hyperlink r:id="rId1991" ref="C520"/>
    <hyperlink r:id="rId1992" ref="E520"/>
    <hyperlink r:id="rId1993" ref="Y520"/>
    <hyperlink r:id="rId1994" ref="B522"/>
    <hyperlink r:id="rId1995" ref="C522"/>
    <hyperlink r:id="rId1996" ref="E522"/>
    <hyperlink r:id="rId1997" ref="Y522"/>
    <hyperlink r:id="rId1998" ref="B523"/>
    <hyperlink r:id="rId1999" ref="C523"/>
    <hyperlink r:id="rId2000" ref="E523"/>
    <hyperlink r:id="rId2001" ref="Y523"/>
    <hyperlink r:id="rId2002" ref="B524"/>
    <hyperlink r:id="rId2003" ref="C524"/>
    <hyperlink r:id="rId2004" ref="E524"/>
    <hyperlink r:id="rId2005" ref="Y524"/>
    <hyperlink r:id="rId2006" ref="B525"/>
    <hyperlink r:id="rId2007" ref="C525"/>
    <hyperlink r:id="rId2008" ref="E525"/>
    <hyperlink r:id="rId2009" ref="Y525"/>
    <hyperlink r:id="rId2010" ref="B526"/>
    <hyperlink r:id="rId2011" ref="C526"/>
    <hyperlink r:id="rId2012" ref="E526"/>
    <hyperlink r:id="rId2013" ref="Y526"/>
    <hyperlink r:id="rId2014" ref="B527"/>
    <hyperlink r:id="rId2015" ref="C527"/>
    <hyperlink r:id="rId2016" ref="E527"/>
    <hyperlink r:id="rId2017" ref="Y527"/>
    <hyperlink r:id="rId2018" ref="B528"/>
    <hyperlink r:id="rId2019" ref="C528"/>
    <hyperlink r:id="rId2020" ref="E528"/>
    <hyperlink r:id="rId2021" ref="Y528"/>
    <hyperlink r:id="rId2022" ref="B529"/>
    <hyperlink r:id="rId2023" ref="C529"/>
    <hyperlink r:id="rId2024" ref="E529"/>
    <hyperlink r:id="rId2025" ref="Y529"/>
    <hyperlink r:id="rId2026" ref="B530"/>
    <hyperlink r:id="rId2027" ref="C530"/>
    <hyperlink r:id="rId2028" ref="E530"/>
    <hyperlink r:id="rId2029" ref="Y530"/>
    <hyperlink r:id="rId2030" ref="B531"/>
    <hyperlink r:id="rId2031" ref="C531"/>
    <hyperlink r:id="rId2032" ref="E531"/>
    <hyperlink r:id="rId2033" ref="Y531"/>
    <hyperlink r:id="rId2034" ref="B532"/>
    <hyperlink r:id="rId2035" ref="C532"/>
    <hyperlink r:id="rId2036" ref="E532"/>
    <hyperlink r:id="rId2037" ref="Y532"/>
    <hyperlink r:id="rId2038" ref="B533"/>
    <hyperlink r:id="rId2039" ref="C533"/>
    <hyperlink r:id="rId2040" ref="E533"/>
    <hyperlink r:id="rId2041" ref="Y533"/>
    <hyperlink r:id="rId2042" ref="B534"/>
    <hyperlink r:id="rId2043" ref="C534"/>
    <hyperlink r:id="rId2044" ref="E534"/>
    <hyperlink r:id="rId2045" ref="Y534"/>
    <hyperlink r:id="rId2046" ref="B535"/>
    <hyperlink r:id="rId2047" ref="C535"/>
    <hyperlink r:id="rId2048" ref="E535"/>
    <hyperlink r:id="rId2049" ref="Y535"/>
    <hyperlink r:id="rId2050" ref="B536"/>
    <hyperlink r:id="rId2051" ref="C536"/>
    <hyperlink r:id="rId2052" ref="E536"/>
    <hyperlink r:id="rId2053" ref="Y536"/>
    <hyperlink r:id="rId2054" ref="B537"/>
    <hyperlink r:id="rId2055" ref="C537"/>
    <hyperlink r:id="rId2056" ref="E537"/>
    <hyperlink r:id="rId2057" ref="Y537"/>
    <hyperlink r:id="rId2058" ref="B538"/>
    <hyperlink r:id="rId2059" ref="C538"/>
    <hyperlink r:id="rId2060" ref="E538"/>
    <hyperlink r:id="rId2061" ref="Y538"/>
    <hyperlink r:id="rId2062" ref="B539"/>
    <hyperlink r:id="rId2063" ref="C539"/>
    <hyperlink r:id="rId2064" ref="E539"/>
    <hyperlink r:id="rId2065" ref="Y539"/>
    <hyperlink r:id="rId2066" ref="B540"/>
    <hyperlink r:id="rId2067" ref="C540"/>
    <hyperlink r:id="rId2068" ref="E540"/>
    <hyperlink r:id="rId2069" ref="Y540"/>
    <hyperlink r:id="rId2070" ref="B541"/>
    <hyperlink r:id="rId2071" ref="C541"/>
    <hyperlink r:id="rId2072" ref="E541"/>
    <hyperlink r:id="rId2073" ref="Y541"/>
    <hyperlink r:id="rId2074" ref="B542"/>
    <hyperlink r:id="rId2075" ref="C542"/>
    <hyperlink r:id="rId2076" ref="E542"/>
    <hyperlink r:id="rId2077" ref="Y542"/>
    <hyperlink r:id="rId2078" ref="B543"/>
    <hyperlink r:id="rId2079" ref="C543"/>
    <hyperlink r:id="rId2080" ref="E543"/>
    <hyperlink r:id="rId2081" ref="Y543"/>
    <hyperlink r:id="rId2082" ref="B544"/>
    <hyperlink r:id="rId2083" ref="C544"/>
    <hyperlink r:id="rId2084" ref="E544"/>
    <hyperlink r:id="rId2085" ref="Y544"/>
  </hyperlinks>
  <drawing r:id="rId208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5" t="str">
        <f>+/-</f>
        <v>#ERROR!</v>
      </c>
      <c r="W1" s="5" t="str">
        <f>+/-90</f>
        <v>#ERROR!</v>
      </c>
      <c r="X1" s="3" t="s">
        <v>21</v>
      </c>
      <c r="Y1" s="4" t="s">
        <v>22</v>
      </c>
    </row>
    <row r="2">
      <c r="A2" s="6">
        <v>1.0</v>
      </c>
      <c r="B2" s="7" t="s">
        <v>2568</v>
      </c>
      <c r="C2" s="8" t="s">
        <v>2569</v>
      </c>
      <c r="D2" s="9" t="s">
        <v>25</v>
      </c>
      <c r="E2" s="7" t="s">
        <v>2570</v>
      </c>
      <c r="F2" s="9">
        <v>25.0</v>
      </c>
      <c r="G2" s="9">
        <v>1998.0</v>
      </c>
      <c r="H2" s="10">
        <v>28.0</v>
      </c>
      <c r="I2" s="11">
        <v>1.478</v>
      </c>
      <c r="J2" s="11">
        <v>53.0</v>
      </c>
      <c r="K2" s="11" t="s">
        <v>27</v>
      </c>
      <c r="L2" s="11" t="s">
        <v>28</v>
      </c>
      <c r="M2" s="41">
        <v>0.05486111111111111</v>
      </c>
      <c r="N2" s="11">
        <v>80.0</v>
      </c>
      <c r="O2" s="42">
        <v>0.020833333333333332</v>
      </c>
      <c r="P2" s="41">
        <v>0.06319444444444444</v>
      </c>
      <c r="Q2" s="11">
        <v>29.0</v>
      </c>
      <c r="R2" s="43">
        <v>0.0</v>
      </c>
      <c r="S2" s="13">
        <v>0.09583333333333334</v>
      </c>
      <c r="T2" s="42">
        <v>0.08819444444444445</v>
      </c>
      <c r="U2" s="42">
        <v>0.05486111111111111</v>
      </c>
      <c r="V2" s="44">
        <v>0.06111111111111111</v>
      </c>
      <c r="W2" s="14" t="str">
        <f>+1.28</f>
        <v>#ERROR!</v>
      </c>
      <c r="X2" s="15">
        <v>-0.01875</v>
      </c>
      <c r="Y2" s="16" t="s">
        <v>2571</v>
      </c>
    </row>
    <row r="3">
      <c r="A3" s="6">
        <v>2.0</v>
      </c>
      <c r="B3" s="7" t="s">
        <v>2572</v>
      </c>
      <c r="C3" s="8" t="s">
        <v>2573</v>
      </c>
      <c r="D3" s="9" t="s">
        <v>32</v>
      </c>
      <c r="E3" s="7" t="s">
        <v>2574</v>
      </c>
      <c r="F3" s="9">
        <v>24.0</v>
      </c>
      <c r="G3" s="9">
        <v>1999.0</v>
      </c>
      <c r="H3" s="10">
        <v>13.0</v>
      </c>
      <c r="I3" s="11">
        <v>635.0</v>
      </c>
      <c r="J3" s="11">
        <v>49.0</v>
      </c>
      <c r="K3" s="11" t="s">
        <v>34</v>
      </c>
      <c r="L3" s="11" t="s">
        <v>35</v>
      </c>
      <c r="M3" s="41">
        <v>0.06875</v>
      </c>
      <c r="N3" s="11">
        <v>72.0</v>
      </c>
      <c r="O3" s="42">
        <v>0.009722222222222222</v>
      </c>
      <c r="P3" s="41">
        <v>0.059027777777777776</v>
      </c>
      <c r="Q3" s="11">
        <v>22.0</v>
      </c>
      <c r="R3" s="42">
        <v>0.029166666666666667</v>
      </c>
      <c r="S3" s="13">
        <v>0.03194444444444444</v>
      </c>
      <c r="T3" s="42">
        <v>0.03888888888888889</v>
      </c>
      <c r="U3" s="42">
        <v>0.06041666666666667</v>
      </c>
      <c r="V3" s="45">
        <v>-0.04861111111111111</v>
      </c>
      <c r="W3" s="15">
        <v>-0.049305555555555554</v>
      </c>
      <c r="X3" s="15">
        <v>-0.013194444444444444</v>
      </c>
      <c r="Y3" s="16" t="s">
        <v>2575</v>
      </c>
    </row>
    <row r="4">
      <c r="A4" s="6">
        <v>3.0</v>
      </c>
      <c r="B4" s="7" t="s">
        <v>2576</v>
      </c>
      <c r="C4" s="8" t="s">
        <v>2577</v>
      </c>
      <c r="D4" s="9" t="s">
        <v>32</v>
      </c>
      <c r="E4" s="7" t="s">
        <v>2578</v>
      </c>
      <c r="F4" s="9">
        <v>19.0</v>
      </c>
      <c r="G4" s="9">
        <v>2005.0</v>
      </c>
      <c r="H4" s="10">
        <v>24.0</v>
      </c>
      <c r="I4" s="11">
        <v>1.279</v>
      </c>
      <c r="J4" s="11">
        <v>53.0</v>
      </c>
      <c r="K4" s="11" t="s">
        <v>40</v>
      </c>
      <c r="L4" s="11" t="s">
        <v>41</v>
      </c>
      <c r="M4" s="41">
        <v>0.06388888888888888</v>
      </c>
      <c r="N4" s="11">
        <v>71.0</v>
      </c>
      <c r="O4" s="42">
        <v>0.019444444444444445</v>
      </c>
      <c r="P4" s="41">
        <v>0.05347222222222222</v>
      </c>
      <c r="Q4" s="11">
        <v>32.0</v>
      </c>
      <c r="R4" s="42">
        <v>0.004861111111111111</v>
      </c>
      <c r="S4" s="13">
        <v>0.08194444444444444</v>
      </c>
      <c r="T4" s="42">
        <v>0.09930555555555555</v>
      </c>
      <c r="U4" s="42">
        <v>0.08958333333333333</v>
      </c>
      <c r="V4" s="44">
        <v>0.009722222222222222</v>
      </c>
      <c r="W4" s="14" t="str">
        <f>+0.14</f>
        <v>#ERROR!</v>
      </c>
      <c r="X4" s="15">
        <v>-0.016666666666666666</v>
      </c>
      <c r="Y4" s="16" t="s">
        <v>2579</v>
      </c>
    </row>
    <row r="5">
      <c r="A5" s="6">
        <v>4.0</v>
      </c>
      <c r="B5" s="7" t="s">
        <v>2580</v>
      </c>
      <c r="C5" s="8" t="s">
        <v>2581</v>
      </c>
      <c r="D5" s="9" t="s">
        <v>45</v>
      </c>
      <c r="E5" s="7" t="s">
        <v>2582</v>
      </c>
      <c r="F5" s="9">
        <v>27.0</v>
      </c>
      <c r="G5" s="9">
        <v>1996.0</v>
      </c>
      <c r="H5" s="10">
        <v>2.0</v>
      </c>
      <c r="I5" s="11">
        <v>15.0</v>
      </c>
      <c r="J5" s="11">
        <v>8.0</v>
      </c>
      <c r="K5" s="11" t="s">
        <v>47</v>
      </c>
      <c r="L5" s="11" t="s">
        <v>48</v>
      </c>
      <c r="M5" s="46">
        <v>0.0</v>
      </c>
      <c r="N5" s="19"/>
      <c r="O5" s="43">
        <v>0.0</v>
      </c>
      <c r="P5" s="47" t="s">
        <v>268</v>
      </c>
      <c r="Q5" s="11">
        <v>8.0</v>
      </c>
      <c r="R5" s="48" t="s">
        <v>175</v>
      </c>
      <c r="S5" s="20">
        <v>0.0</v>
      </c>
      <c r="T5" s="42">
        <v>0.20833333333333334</v>
      </c>
      <c r="U5" s="42">
        <v>0.20833333333333334</v>
      </c>
      <c r="V5" s="43">
        <v>0.0</v>
      </c>
      <c r="W5" s="21">
        <v>0.0</v>
      </c>
      <c r="X5" s="14" t="str">
        <f>+0.34</f>
        <v>#ERROR!</v>
      </c>
      <c r="Y5" s="16" t="s">
        <v>2583</v>
      </c>
    </row>
    <row r="6">
      <c r="A6" s="6">
        <v>5.0</v>
      </c>
      <c r="B6" s="7" t="s">
        <v>2584</v>
      </c>
      <c r="C6" s="8" t="s">
        <v>2585</v>
      </c>
      <c r="D6" s="9" t="s">
        <v>52</v>
      </c>
      <c r="E6" s="7" t="s">
        <v>2586</v>
      </c>
      <c r="F6" s="9">
        <v>25.0</v>
      </c>
      <c r="G6" s="9">
        <v>1998.0</v>
      </c>
      <c r="H6" s="10">
        <v>23.0</v>
      </c>
      <c r="I6" s="11">
        <v>1.49</v>
      </c>
      <c r="J6" s="11">
        <v>65.0</v>
      </c>
      <c r="K6" s="11" t="s">
        <v>54</v>
      </c>
      <c r="L6" s="11" t="s">
        <v>55</v>
      </c>
      <c r="M6" s="41">
        <v>0.05555555555555555</v>
      </c>
      <c r="N6" s="11">
        <v>72.0</v>
      </c>
      <c r="O6" s="42">
        <v>0.004166666666666667</v>
      </c>
      <c r="P6" s="41">
        <v>0.0125</v>
      </c>
      <c r="Q6" s="11">
        <v>19.0</v>
      </c>
      <c r="R6" s="42">
        <v>0.0125</v>
      </c>
      <c r="S6" s="13">
        <v>0.08125</v>
      </c>
      <c r="T6" s="42">
        <v>0.04722222222222222</v>
      </c>
      <c r="U6" s="42">
        <v>0.043055555555555555</v>
      </c>
      <c r="V6" s="44">
        <v>0.004166666666666667</v>
      </c>
      <c r="W6" s="14" t="str">
        <f>+0.06</f>
        <v>#ERROR!</v>
      </c>
      <c r="X6" s="15">
        <v>-6.944444444444445E-4</v>
      </c>
      <c r="Y6" s="16" t="s">
        <v>2587</v>
      </c>
    </row>
    <row r="7">
      <c r="A7" s="6">
        <v>6.0</v>
      </c>
      <c r="B7" s="7" t="s">
        <v>2588</v>
      </c>
      <c r="C7" s="8" t="s">
        <v>2589</v>
      </c>
      <c r="D7" s="9" t="s">
        <v>59</v>
      </c>
      <c r="E7" s="7" t="s">
        <v>2590</v>
      </c>
      <c r="F7" s="9">
        <v>21.0</v>
      </c>
      <c r="G7" s="9">
        <v>2002.0</v>
      </c>
      <c r="H7" s="10">
        <v>22.0</v>
      </c>
      <c r="I7" s="11">
        <v>1.658</v>
      </c>
      <c r="J7" s="11">
        <v>75.0</v>
      </c>
      <c r="K7" s="11" t="s">
        <v>61</v>
      </c>
      <c r="L7" s="11" t="s">
        <v>62</v>
      </c>
      <c r="M7" s="41">
        <v>0.04375</v>
      </c>
      <c r="N7" s="11">
        <v>83.0</v>
      </c>
      <c r="O7" s="42">
        <v>0.034027777777777775</v>
      </c>
      <c r="P7" s="41">
        <v>0.011111111111111112</v>
      </c>
      <c r="Q7" s="11">
        <v>26.0</v>
      </c>
      <c r="R7" s="43">
        <v>0.0</v>
      </c>
      <c r="S7" s="13">
        <v>0.04513888888888889</v>
      </c>
      <c r="T7" s="42">
        <v>0.04375</v>
      </c>
      <c r="U7" s="42">
        <v>0.07430555555555556</v>
      </c>
      <c r="V7" s="45">
        <v>-0.029861111111111113</v>
      </c>
      <c r="W7" s="15">
        <v>-0.029861111111111113</v>
      </c>
      <c r="X7" s="15">
        <v>-0.018055555555555554</v>
      </c>
      <c r="Y7" s="16" t="s">
        <v>2591</v>
      </c>
    </row>
    <row r="8">
      <c r="A8" s="6">
        <v>7.0</v>
      </c>
      <c r="B8" s="7" t="s">
        <v>2592</v>
      </c>
      <c r="C8" s="8" t="s">
        <v>2593</v>
      </c>
      <c r="D8" s="9" t="s">
        <v>66</v>
      </c>
      <c r="E8" s="7" t="s">
        <v>2594</v>
      </c>
      <c r="F8" s="9">
        <v>24.0</v>
      </c>
      <c r="G8" s="9">
        <v>1999.0</v>
      </c>
      <c r="H8" s="10">
        <v>29.0</v>
      </c>
      <c r="I8" s="11">
        <v>2.232</v>
      </c>
      <c r="J8" s="11">
        <v>77.0</v>
      </c>
      <c r="K8" s="11" t="s">
        <v>68</v>
      </c>
      <c r="L8" s="11" t="s">
        <v>69</v>
      </c>
      <c r="M8" s="41">
        <v>0.04236111111111111</v>
      </c>
      <c r="N8" s="11">
        <v>85.0</v>
      </c>
      <c r="O8" s="42">
        <v>0.04791666666666667</v>
      </c>
      <c r="P8" s="41">
        <v>0.011111111111111112</v>
      </c>
      <c r="Q8" s="11">
        <v>30.0</v>
      </c>
      <c r="R8" s="43">
        <v>0.0</v>
      </c>
      <c r="S8" s="13">
        <v>0.04652777777777778</v>
      </c>
      <c r="T8" s="42">
        <v>0.07291666666666667</v>
      </c>
      <c r="U8" s="42">
        <v>0.09236111111111112</v>
      </c>
      <c r="V8" s="45">
        <v>-0.019444444444444445</v>
      </c>
      <c r="W8" s="15">
        <v>-0.019444444444444445</v>
      </c>
      <c r="X8" s="15">
        <v>-0.019444444444444445</v>
      </c>
      <c r="Y8" s="16" t="s">
        <v>2595</v>
      </c>
    </row>
    <row r="9">
      <c r="A9" s="6">
        <v>8.0</v>
      </c>
      <c r="B9" s="7" t="s">
        <v>2596</v>
      </c>
      <c r="C9" s="8" t="s">
        <v>2597</v>
      </c>
      <c r="D9" s="9" t="s">
        <v>73</v>
      </c>
      <c r="E9" s="7" t="s">
        <v>2598</v>
      </c>
      <c r="F9" s="9">
        <v>35.0</v>
      </c>
      <c r="G9" s="9">
        <v>1988.0</v>
      </c>
      <c r="H9" s="10">
        <v>12.0</v>
      </c>
      <c r="I9" s="11">
        <v>1.08</v>
      </c>
      <c r="J9" s="11">
        <v>90.0</v>
      </c>
      <c r="K9" s="11" t="s">
        <v>75</v>
      </c>
      <c r="L9" s="11" t="s">
        <v>76</v>
      </c>
      <c r="M9" s="41">
        <v>0.041666666666666664</v>
      </c>
      <c r="N9" s="11">
        <v>90.0</v>
      </c>
      <c r="O9" s="42">
        <v>0.041666666666666664</v>
      </c>
      <c r="P9" s="46">
        <v>0.0</v>
      </c>
      <c r="Q9" s="19"/>
      <c r="R9" s="42">
        <v>0.0763888888888889</v>
      </c>
      <c r="S9" s="13">
        <v>0.059027777777777776</v>
      </c>
      <c r="T9" s="42">
        <v>0.08194444444444444</v>
      </c>
      <c r="U9" s="42">
        <v>0.08819444444444445</v>
      </c>
      <c r="V9" s="45">
        <v>-0.005555555555555556</v>
      </c>
      <c r="W9" s="15">
        <v>-0.005555555555555556</v>
      </c>
      <c r="X9" s="15">
        <v>-0.021527777777777778</v>
      </c>
      <c r="Y9" s="16" t="s">
        <v>2599</v>
      </c>
    </row>
    <row r="10">
      <c r="A10" s="6">
        <v>9.0</v>
      </c>
      <c r="B10" s="7" t="s">
        <v>2600</v>
      </c>
      <c r="C10" s="8" t="s">
        <v>2601</v>
      </c>
      <c r="D10" s="9" t="s">
        <v>59</v>
      </c>
      <c r="E10" s="7" t="s">
        <v>2602</v>
      </c>
      <c r="F10" s="9">
        <v>19.0</v>
      </c>
      <c r="G10" s="9">
        <v>2004.0</v>
      </c>
      <c r="H10" s="10">
        <v>27.0</v>
      </c>
      <c r="I10" s="11">
        <v>1.697</v>
      </c>
      <c r="J10" s="11">
        <v>63.0</v>
      </c>
      <c r="K10" s="11" t="s">
        <v>81</v>
      </c>
      <c r="L10" s="11" t="s">
        <v>82</v>
      </c>
      <c r="M10" s="41">
        <v>0.05277777777777778</v>
      </c>
      <c r="N10" s="11">
        <v>73.0</v>
      </c>
      <c r="O10" s="42">
        <v>0.025694444444444443</v>
      </c>
      <c r="P10" s="41">
        <v>0.018055555555555554</v>
      </c>
      <c r="Q10" s="11">
        <v>18.0</v>
      </c>
      <c r="R10" s="42">
        <v>0.003472222222222222</v>
      </c>
      <c r="S10" s="13">
        <v>0.041666666666666664</v>
      </c>
      <c r="T10" s="42">
        <v>0.0625</v>
      </c>
      <c r="U10" s="42">
        <v>0.06388888888888888</v>
      </c>
      <c r="V10" s="45">
        <v>-0.029166666666666667</v>
      </c>
      <c r="W10" s="15">
        <v>-0.029166666666666667</v>
      </c>
      <c r="X10" s="15">
        <v>-0.016666666666666666</v>
      </c>
      <c r="Y10" s="16" t="s">
        <v>2603</v>
      </c>
    </row>
    <row r="11">
      <c r="A11" s="6">
        <v>10.0</v>
      </c>
      <c r="B11" s="7" t="s">
        <v>2604</v>
      </c>
      <c r="C11" s="8" t="s">
        <v>2605</v>
      </c>
      <c r="D11" s="9" t="s">
        <v>45</v>
      </c>
      <c r="E11" s="7" t="s">
        <v>2606</v>
      </c>
      <c r="F11" s="9">
        <v>18.0</v>
      </c>
      <c r="G11" s="9">
        <v>2005.0</v>
      </c>
      <c r="H11" s="10">
        <v>13.0</v>
      </c>
      <c r="I11" s="11">
        <v>1.062</v>
      </c>
      <c r="J11" s="11">
        <v>82.0</v>
      </c>
      <c r="K11" s="11" t="s">
        <v>87</v>
      </c>
      <c r="L11" s="11" t="s">
        <v>88</v>
      </c>
      <c r="M11" s="41">
        <v>0.04861111111111111</v>
      </c>
      <c r="N11" s="11">
        <v>82.0</v>
      </c>
      <c r="O11" s="42">
        <v>0.035416666666666666</v>
      </c>
      <c r="P11" s="46">
        <v>0.0</v>
      </c>
      <c r="Q11" s="19"/>
      <c r="R11" s="42">
        <v>0.017361111111111112</v>
      </c>
      <c r="S11" s="13">
        <v>0.05763888888888889</v>
      </c>
      <c r="T11" s="42">
        <v>0.08402777777777778</v>
      </c>
      <c r="U11" s="42">
        <v>0.07222222222222222</v>
      </c>
      <c r="V11" s="44">
        <v>0.011805555555555555</v>
      </c>
      <c r="W11" s="14" t="str">
        <f>+0.17</f>
        <v>#ERROR!</v>
      </c>
      <c r="X11" s="14" t="str">
        <f>+0.11</f>
        <v>#ERROR!</v>
      </c>
      <c r="Y11" s="16" t="s">
        <v>2607</v>
      </c>
    </row>
    <row r="12">
      <c r="A12" s="6">
        <v>11.0</v>
      </c>
      <c r="B12" s="7" t="s">
        <v>2608</v>
      </c>
      <c r="C12" s="8" t="s">
        <v>2609</v>
      </c>
      <c r="D12" s="9" t="s">
        <v>32</v>
      </c>
      <c r="E12" s="7" t="s">
        <v>2610</v>
      </c>
      <c r="F12" s="9">
        <v>20.0</v>
      </c>
      <c r="G12" s="9">
        <v>2003.0</v>
      </c>
      <c r="H12" s="10">
        <v>11.0</v>
      </c>
      <c r="I12" s="11">
        <v>729.0</v>
      </c>
      <c r="J12" s="11">
        <v>66.0</v>
      </c>
      <c r="K12" s="11" t="s">
        <v>93</v>
      </c>
      <c r="L12" s="11" t="s">
        <v>94</v>
      </c>
      <c r="M12" s="41">
        <v>0.049305555555555554</v>
      </c>
      <c r="N12" s="11">
        <v>73.0</v>
      </c>
      <c r="O12" s="42">
        <v>0.008333333333333333</v>
      </c>
      <c r="P12" s="41">
        <v>0.017361111111111112</v>
      </c>
      <c r="Q12" s="11">
        <v>36.0</v>
      </c>
      <c r="R12" s="43">
        <v>0.0</v>
      </c>
      <c r="S12" s="13">
        <v>0.04791666666666667</v>
      </c>
      <c r="T12" s="42">
        <v>0.06875</v>
      </c>
      <c r="U12" s="42">
        <v>0.075</v>
      </c>
      <c r="V12" s="45">
        <v>-0.034027777777777775</v>
      </c>
      <c r="W12" s="15">
        <v>-0.034027777777777775</v>
      </c>
      <c r="X12" s="14" t="str">
        <f>+0.15</f>
        <v>#ERROR!</v>
      </c>
      <c r="Y12" s="16" t="s">
        <v>2611</v>
      </c>
    </row>
    <row r="13">
      <c r="A13" s="6">
        <v>12.0</v>
      </c>
      <c r="B13" s="7" t="s">
        <v>2612</v>
      </c>
      <c r="C13" s="8" t="s">
        <v>2613</v>
      </c>
      <c r="D13" s="9" t="s">
        <v>32</v>
      </c>
      <c r="E13" s="7" t="s">
        <v>2614</v>
      </c>
      <c r="F13" s="9">
        <v>24.0</v>
      </c>
      <c r="G13" s="9">
        <v>1999.0</v>
      </c>
      <c r="H13" s="10">
        <v>29.0</v>
      </c>
      <c r="I13" s="11">
        <v>1.901</v>
      </c>
      <c r="J13" s="11">
        <v>66.0</v>
      </c>
      <c r="K13" s="11" t="s">
        <v>99</v>
      </c>
      <c r="L13" s="11" t="s">
        <v>100</v>
      </c>
      <c r="M13" s="41">
        <v>0.041666666666666664</v>
      </c>
      <c r="N13" s="11">
        <v>80.0</v>
      </c>
      <c r="O13" s="42">
        <v>0.022916666666666665</v>
      </c>
      <c r="P13" s="41">
        <v>0.02638888888888889</v>
      </c>
      <c r="Q13" s="11">
        <v>28.0</v>
      </c>
      <c r="R13" s="43">
        <v>0.0</v>
      </c>
      <c r="S13" s="13">
        <v>0.0875</v>
      </c>
      <c r="T13" s="42">
        <v>0.05416666666666667</v>
      </c>
      <c r="U13" s="42">
        <v>0.05763888888888889</v>
      </c>
      <c r="V13" s="45">
        <v>-0.003472222222222222</v>
      </c>
      <c r="W13" s="15">
        <v>-0.003472222222222222</v>
      </c>
      <c r="X13" s="15">
        <v>-0.027083333333333334</v>
      </c>
      <c r="Y13" s="16" t="s">
        <v>2615</v>
      </c>
    </row>
    <row r="14">
      <c r="A14" s="6">
        <v>13.0</v>
      </c>
      <c r="B14" s="7" t="s">
        <v>2616</v>
      </c>
      <c r="C14" s="8" t="s">
        <v>2617</v>
      </c>
      <c r="D14" s="9" t="s">
        <v>45</v>
      </c>
      <c r="E14" s="7" t="s">
        <v>2618</v>
      </c>
      <c r="F14" s="9">
        <v>24.0</v>
      </c>
      <c r="G14" s="9">
        <v>1999.0</v>
      </c>
      <c r="H14" s="10">
        <v>26.0</v>
      </c>
      <c r="I14" s="11">
        <v>1.31</v>
      </c>
      <c r="J14" s="11">
        <v>50.0</v>
      </c>
      <c r="K14" s="11" t="s">
        <v>105</v>
      </c>
      <c r="L14" s="11" t="s">
        <v>106</v>
      </c>
      <c r="M14" s="41">
        <v>0.05277777777777778</v>
      </c>
      <c r="N14" s="11">
        <v>66.0</v>
      </c>
      <c r="O14" s="43">
        <v>0.0</v>
      </c>
      <c r="P14" s="41">
        <v>0.043055555555555555</v>
      </c>
      <c r="Q14" s="11">
        <v>22.0</v>
      </c>
      <c r="R14" s="42">
        <v>0.014583333333333334</v>
      </c>
      <c r="S14" s="13">
        <v>0.059027777777777776</v>
      </c>
      <c r="T14" s="42">
        <v>0.05694444444444444</v>
      </c>
      <c r="U14" s="42">
        <v>0.08611111111111111</v>
      </c>
      <c r="V14" s="45">
        <v>-0.05694444444444444</v>
      </c>
      <c r="W14" s="15">
        <v>-0.05694444444444444</v>
      </c>
      <c r="X14" s="15">
        <v>-0.034722222222222224</v>
      </c>
      <c r="Y14" s="16" t="s">
        <v>2619</v>
      </c>
    </row>
    <row r="15">
      <c r="A15" s="6">
        <v>14.0</v>
      </c>
      <c r="B15" s="7" t="s">
        <v>2620</v>
      </c>
      <c r="C15" s="8" t="s">
        <v>2621</v>
      </c>
      <c r="D15" s="9" t="s">
        <v>52</v>
      </c>
      <c r="E15" s="7" t="s">
        <v>2622</v>
      </c>
      <c r="F15" s="9">
        <v>19.0</v>
      </c>
      <c r="G15" s="9">
        <v>2004.0</v>
      </c>
      <c r="H15" s="10">
        <v>13.0</v>
      </c>
      <c r="I15" s="11">
        <v>304.0</v>
      </c>
      <c r="J15" s="11">
        <v>23.0</v>
      </c>
      <c r="K15" s="11" t="s">
        <v>111</v>
      </c>
      <c r="L15" s="11" t="s">
        <v>112</v>
      </c>
      <c r="M15" s="41">
        <v>0.04097222222222222</v>
      </c>
      <c r="N15" s="11">
        <v>60.0</v>
      </c>
      <c r="O15" s="43">
        <v>0.0</v>
      </c>
      <c r="P15" s="41">
        <v>0.14166666666666666</v>
      </c>
      <c r="Q15" s="11">
        <v>17.0</v>
      </c>
      <c r="R15" s="42">
        <v>0.16180555555555556</v>
      </c>
      <c r="S15" s="13">
        <v>0.04791666666666667</v>
      </c>
      <c r="T15" s="42">
        <v>0.06111111111111111</v>
      </c>
      <c r="U15" s="42">
        <v>0.09444444444444444</v>
      </c>
      <c r="V15" s="45">
        <v>-0.06111111111111111</v>
      </c>
      <c r="W15" s="15">
        <v>-0.06180555555555556</v>
      </c>
      <c r="X15" s="15">
        <v>-0.022222222222222223</v>
      </c>
      <c r="Y15" s="16" t="s">
        <v>2623</v>
      </c>
    </row>
    <row r="16">
      <c r="A16" s="6">
        <v>15.0</v>
      </c>
      <c r="B16" s="7" t="s">
        <v>2624</v>
      </c>
      <c r="C16" s="8" t="s">
        <v>2625</v>
      </c>
      <c r="D16" s="9" t="s">
        <v>52</v>
      </c>
      <c r="E16" s="7" t="s">
        <v>2626</v>
      </c>
      <c r="F16" s="9">
        <v>22.0</v>
      </c>
      <c r="G16" s="9">
        <v>2002.0</v>
      </c>
      <c r="H16" s="10">
        <v>3.0</v>
      </c>
      <c r="I16" s="11">
        <v>106.0</v>
      </c>
      <c r="J16" s="11">
        <v>35.0</v>
      </c>
      <c r="K16" s="11" t="s">
        <v>117</v>
      </c>
      <c r="L16" s="11" t="s">
        <v>118</v>
      </c>
      <c r="M16" s="41">
        <v>0.08819444444444445</v>
      </c>
      <c r="N16" s="11">
        <v>42.0</v>
      </c>
      <c r="O16" s="43">
        <v>0.0</v>
      </c>
      <c r="P16" s="41">
        <v>0.05763888888888889</v>
      </c>
      <c r="Q16" s="11">
        <v>22.0</v>
      </c>
      <c r="R16" s="42">
        <v>0.05763888888888889</v>
      </c>
      <c r="S16" s="13">
        <v>0.08819444444444445</v>
      </c>
      <c r="T16" s="42">
        <v>0.08819444444444445</v>
      </c>
      <c r="U16" s="42">
        <v>0.08819444444444445</v>
      </c>
      <c r="V16" s="43">
        <v>0.0</v>
      </c>
      <c r="W16" s="21">
        <v>0.0</v>
      </c>
      <c r="X16" s="15">
        <v>-0.011805555555555555</v>
      </c>
      <c r="Y16" s="16" t="s">
        <v>2627</v>
      </c>
    </row>
    <row r="17">
      <c r="A17" s="6">
        <v>16.0</v>
      </c>
      <c r="B17" s="7" t="s">
        <v>2628</v>
      </c>
      <c r="C17" s="8" t="s">
        <v>2629</v>
      </c>
      <c r="D17" s="9" t="s">
        <v>52</v>
      </c>
      <c r="E17" s="7" t="s">
        <v>2630</v>
      </c>
      <c r="F17" s="9">
        <v>31.0</v>
      </c>
      <c r="G17" s="9">
        <v>1992.0</v>
      </c>
      <c r="H17" s="10">
        <v>28.0</v>
      </c>
      <c r="I17" s="11">
        <v>1.529</v>
      </c>
      <c r="J17" s="11">
        <v>55.0</v>
      </c>
      <c r="K17" s="11" t="s">
        <v>123</v>
      </c>
      <c r="L17" s="11" t="s">
        <v>124</v>
      </c>
      <c r="M17" s="41">
        <v>0.041666666666666664</v>
      </c>
      <c r="N17" s="11">
        <v>79.0</v>
      </c>
      <c r="O17" s="42">
        <v>0.04097222222222222</v>
      </c>
      <c r="P17" s="41">
        <v>0.04513888888888889</v>
      </c>
      <c r="Q17" s="11">
        <v>17.0</v>
      </c>
      <c r="R17" s="42">
        <v>0.004166666666666667</v>
      </c>
      <c r="S17" s="13">
        <v>0.05416666666666667</v>
      </c>
      <c r="T17" s="42">
        <v>0.05416666666666667</v>
      </c>
      <c r="U17" s="42">
        <v>0.08680555555555555</v>
      </c>
      <c r="V17" s="45">
        <v>-0.03263888888888889</v>
      </c>
      <c r="W17" s="15">
        <v>-0.03263888888888889</v>
      </c>
      <c r="X17" s="14" t="str">
        <f>+0.30</f>
        <v>#ERROR!</v>
      </c>
      <c r="Y17" s="16" t="s">
        <v>2631</v>
      </c>
    </row>
    <row r="18">
      <c r="A18" s="6">
        <v>17.0</v>
      </c>
      <c r="B18" s="7" t="s">
        <v>2632</v>
      </c>
      <c r="C18" s="8" t="s">
        <v>2633</v>
      </c>
      <c r="D18" s="9" t="s">
        <v>52</v>
      </c>
      <c r="E18" s="7" t="s">
        <v>2634</v>
      </c>
      <c r="F18" s="9">
        <v>24.0</v>
      </c>
      <c r="G18" s="9">
        <v>2000.0</v>
      </c>
      <c r="H18" s="10">
        <v>6.0</v>
      </c>
      <c r="I18" s="11">
        <v>219.0</v>
      </c>
      <c r="J18" s="11">
        <v>37.0</v>
      </c>
      <c r="K18" s="11" t="s">
        <v>94</v>
      </c>
      <c r="L18" s="11" t="s">
        <v>129</v>
      </c>
      <c r="M18" s="41">
        <v>0.059027777777777776</v>
      </c>
      <c r="N18" s="11">
        <v>64.0</v>
      </c>
      <c r="O18" s="43">
        <v>0.0</v>
      </c>
      <c r="P18" s="41">
        <v>0.059027777777777776</v>
      </c>
      <c r="Q18" s="11">
        <v>9.0</v>
      </c>
      <c r="R18" s="42">
        <v>0.14722222222222223</v>
      </c>
      <c r="S18" s="13">
        <v>0.04652777777777778</v>
      </c>
      <c r="T18" s="42">
        <v>0.059027777777777776</v>
      </c>
      <c r="U18" s="42">
        <v>0.14722222222222223</v>
      </c>
      <c r="V18" s="45">
        <v>-0.08819444444444445</v>
      </c>
      <c r="W18" s="15">
        <v>-0.08611111111111111</v>
      </c>
      <c r="X18" s="15">
        <v>-0.09930555555555555</v>
      </c>
      <c r="Y18" s="16" t="s">
        <v>2635</v>
      </c>
    </row>
    <row r="19">
      <c r="A19" s="6">
        <v>18.0</v>
      </c>
      <c r="B19" s="7" t="s">
        <v>2636</v>
      </c>
      <c r="C19" s="8" t="s">
        <v>2637</v>
      </c>
      <c r="D19" s="9" t="s">
        <v>52</v>
      </c>
      <c r="E19" s="7" t="s">
        <v>2638</v>
      </c>
      <c r="F19" s="9">
        <v>20.0</v>
      </c>
      <c r="G19" s="9">
        <v>2003.0</v>
      </c>
      <c r="H19" s="10">
        <v>28.0</v>
      </c>
      <c r="I19" s="11">
        <v>2.148</v>
      </c>
      <c r="J19" s="11">
        <v>77.0</v>
      </c>
      <c r="K19" s="11" t="s">
        <v>134</v>
      </c>
      <c r="L19" s="11" t="s">
        <v>135</v>
      </c>
      <c r="M19" s="41">
        <v>0.04791666666666667</v>
      </c>
      <c r="N19" s="11">
        <v>81.0</v>
      </c>
      <c r="O19" s="42">
        <v>0.04375</v>
      </c>
      <c r="P19" s="41">
        <v>0.005555555555555556</v>
      </c>
      <c r="Q19" s="11">
        <v>16.0</v>
      </c>
      <c r="R19" s="43">
        <v>0.0</v>
      </c>
      <c r="S19" s="13">
        <v>0.07361111111111111</v>
      </c>
      <c r="T19" s="42">
        <v>0.10277777777777777</v>
      </c>
      <c r="U19" s="42">
        <v>0.09166666666666666</v>
      </c>
      <c r="V19" s="44">
        <v>0.011805555555555555</v>
      </c>
      <c r="W19" s="14" t="str">
        <f>+0.17</f>
        <v>#ERROR!</v>
      </c>
      <c r="X19" s="14" t="str">
        <f>+0.33</f>
        <v>#ERROR!</v>
      </c>
      <c r="Y19" s="16" t="s">
        <v>2639</v>
      </c>
    </row>
    <row r="20">
      <c r="A20" s="6">
        <v>19.0</v>
      </c>
      <c r="B20" s="7" t="s">
        <v>2640</v>
      </c>
      <c r="C20" s="8" t="s">
        <v>2641</v>
      </c>
      <c r="D20" s="9" t="s">
        <v>32</v>
      </c>
      <c r="E20" s="7" t="s">
        <v>2642</v>
      </c>
      <c r="F20" s="9">
        <v>24.0</v>
      </c>
      <c r="G20" s="9">
        <v>1999.0</v>
      </c>
      <c r="H20" s="10">
        <v>25.0</v>
      </c>
      <c r="I20" s="11">
        <v>1.307</v>
      </c>
      <c r="J20" s="11">
        <v>52.0</v>
      </c>
      <c r="K20" s="11" t="s">
        <v>140</v>
      </c>
      <c r="L20" s="11" t="s">
        <v>141</v>
      </c>
      <c r="M20" s="41">
        <v>0.04375</v>
      </c>
      <c r="N20" s="11">
        <v>72.0</v>
      </c>
      <c r="O20" s="43">
        <v>0.0</v>
      </c>
      <c r="P20" s="41">
        <v>0.04791666666666667</v>
      </c>
      <c r="Q20" s="11">
        <v>23.0</v>
      </c>
      <c r="R20" s="42">
        <v>0.009722222222222222</v>
      </c>
      <c r="S20" s="13">
        <v>0.08611111111111111</v>
      </c>
      <c r="T20" s="42">
        <v>0.06319444444444444</v>
      </c>
      <c r="U20" s="42">
        <v>0.04861111111111111</v>
      </c>
      <c r="V20" s="44">
        <v>0.014583333333333334</v>
      </c>
      <c r="W20" s="14" t="str">
        <f>+0.21</f>
        <v>#ERROR!</v>
      </c>
      <c r="X20" s="14" t="str">
        <f>+0.27</f>
        <v>#ERROR!</v>
      </c>
      <c r="Y20" s="16" t="s">
        <v>2643</v>
      </c>
    </row>
    <row r="21">
      <c r="A21" s="6">
        <v>20.0</v>
      </c>
      <c r="B21" s="7" t="s">
        <v>2644</v>
      </c>
      <c r="C21" s="8" t="s">
        <v>2645</v>
      </c>
      <c r="D21" s="9" t="s">
        <v>52</v>
      </c>
      <c r="E21" s="7" t="s">
        <v>2646</v>
      </c>
      <c r="F21" s="9">
        <v>26.0</v>
      </c>
      <c r="G21" s="9">
        <v>1997.0</v>
      </c>
      <c r="H21" s="10">
        <v>13.0</v>
      </c>
      <c r="I21" s="11">
        <v>1.139</v>
      </c>
      <c r="J21" s="11">
        <v>88.0</v>
      </c>
      <c r="K21" s="11" t="s">
        <v>146</v>
      </c>
      <c r="L21" s="11" t="s">
        <v>147</v>
      </c>
      <c r="M21" s="41">
        <v>0.043055555555555555</v>
      </c>
      <c r="N21" s="11">
        <v>88.0</v>
      </c>
      <c r="O21" s="42">
        <v>0.049305555555555554</v>
      </c>
      <c r="P21" s="46">
        <v>0.0</v>
      </c>
      <c r="Q21" s="19"/>
      <c r="R21" s="43">
        <v>0.0</v>
      </c>
      <c r="S21" s="13">
        <v>0.052083333333333336</v>
      </c>
      <c r="T21" s="42">
        <v>0.059722222222222225</v>
      </c>
      <c r="U21" s="42">
        <v>0.09236111111111112</v>
      </c>
      <c r="V21" s="45">
        <v>-0.03263888888888889</v>
      </c>
      <c r="W21" s="15">
        <v>-0.03263888888888889</v>
      </c>
      <c r="X21" s="14" t="str">
        <f>+0.22</f>
        <v>#ERROR!</v>
      </c>
      <c r="Y21" s="16" t="s">
        <v>2647</v>
      </c>
    </row>
    <row r="22">
      <c r="A22" s="6">
        <v>21.0</v>
      </c>
      <c r="B22" s="7" t="s">
        <v>2648</v>
      </c>
      <c r="C22" s="22"/>
      <c r="D22" s="9" t="s">
        <v>52</v>
      </c>
      <c r="E22" s="7" t="s">
        <v>2649</v>
      </c>
      <c r="F22" s="23"/>
      <c r="G22" s="23"/>
      <c r="H22" s="18">
        <v>0.0</v>
      </c>
      <c r="I22" s="19"/>
      <c r="J22" s="19"/>
      <c r="K22" s="19"/>
      <c r="L22" s="19"/>
      <c r="M22" s="18">
        <v>0.0</v>
      </c>
      <c r="N22" s="19"/>
      <c r="O22" s="12">
        <v>0.0</v>
      </c>
      <c r="P22" s="18">
        <v>0.0</v>
      </c>
      <c r="Q22" s="19"/>
      <c r="R22" s="11">
        <v>1.0</v>
      </c>
      <c r="S22" s="24"/>
      <c r="T22" s="19"/>
      <c r="U22" s="19"/>
      <c r="V22" s="19"/>
      <c r="W22" s="19"/>
      <c r="X22" s="19"/>
      <c r="Y22" s="16" t="s">
        <v>2650</v>
      </c>
    </row>
    <row r="23">
      <c r="A23" s="6">
        <v>22.0</v>
      </c>
      <c r="B23" s="7" t="s">
        <v>2651</v>
      </c>
      <c r="C23" s="8" t="s">
        <v>2652</v>
      </c>
      <c r="D23" s="9" t="s">
        <v>32</v>
      </c>
      <c r="E23" s="7" t="s">
        <v>2653</v>
      </c>
      <c r="F23" s="9">
        <v>16.0</v>
      </c>
      <c r="G23" s="9">
        <v>2007.0</v>
      </c>
      <c r="H23" s="10">
        <v>2.0</v>
      </c>
      <c r="I23" s="11">
        <v>6.0</v>
      </c>
      <c r="J23" s="11">
        <v>3.0</v>
      </c>
      <c r="K23" s="11" t="s">
        <v>48</v>
      </c>
      <c r="L23" s="11" t="s">
        <v>155</v>
      </c>
      <c r="M23" s="46">
        <v>0.0</v>
      </c>
      <c r="N23" s="19"/>
      <c r="O23" s="43">
        <v>0.0</v>
      </c>
      <c r="P23" s="47" t="s">
        <v>654</v>
      </c>
      <c r="Q23" s="11">
        <v>3.0</v>
      </c>
      <c r="R23" s="48" t="s">
        <v>174</v>
      </c>
      <c r="S23" s="13">
        <v>0.034722222222222224</v>
      </c>
      <c r="T23" s="43">
        <v>0.0</v>
      </c>
      <c r="U23" s="43">
        <v>0.0</v>
      </c>
      <c r="V23" s="43">
        <v>0.0</v>
      </c>
      <c r="W23" s="21">
        <v>0.0</v>
      </c>
      <c r="X23" s="14" t="str">
        <f>+0.70</f>
        <v>#ERROR!</v>
      </c>
      <c r="Y23" s="16" t="s">
        <v>2654</v>
      </c>
    </row>
    <row r="24">
      <c r="A24" s="6">
        <v>23.0</v>
      </c>
      <c r="B24" s="7" t="s">
        <v>2655</v>
      </c>
      <c r="C24" s="8" t="s">
        <v>2656</v>
      </c>
      <c r="D24" s="9" t="s">
        <v>73</v>
      </c>
      <c r="E24" s="7" t="s">
        <v>2657</v>
      </c>
      <c r="F24" s="9">
        <v>20.0</v>
      </c>
      <c r="G24" s="9">
        <v>2003.0</v>
      </c>
      <c r="H24" s="18">
        <v>0.0</v>
      </c>
      <c r="I24" s="19"/>
      <c r="J24" s="19"/>
      <c r="K24" s="19"/>
      <c r="L24" s="19"/>
      <c r="M24" s="18">
        <v>0.0</v>
      </c>
      <c r="N24" s="19"/>
      <c r="O24" s="12">
        <v>0.0</v>
      </c>
      <c r="P24" s="18">
        <v>0.0</v>
      </c>
      <c r="Q24" s="19"/>
      <c r="R24" s="11">
        <v>30.0</v>
      </c>
      <c r="S24" s="24"/>
      <c r="T24" s="19"/>
      <c r="U24" s="19"/>
      <c r="V24" s="19"/>
      <c r="W24" s="19"/>
      <c r="X24" s="19"/>
      <c r="Y24" s="16" t="s">
        <v>2658</v>
      </c>
    </row>
    <row r="25">
      <c r="A25" s="6">
        <v>24.0</v>
      </c>
      <c r="B25" s="7" t="s">
        <v>2659</v>
      </c>
      <c r="C25" s="8" t="s">
        <v>2660</v>
      </c>
      <c r="D25" s="9" t="s">
        <v>52</v>
      </c>
      <c r="E25" s="7" t="s">
        <v>2661</v>
      </c>
      <c r="F25" s="9">
        <v>17.0</v>
      </c>
      <c r="G25" s="9">
        <v>2007.0</v>
      </c>
      <c r="H25" s="10">
        <v>3.0</v>
      </c>
      <c r="I25" s="11">
        <v>15.0</v>
      </c>
      <c r="J25" s="11">
        <v>5.0</v>
      </c>
      <c r="K25" s="11" t="s">
        <v>47</v>
      </c>
      <c r="L25" s="11" t="s">
        <v>48</v>
      </c>
      <c r="M25" s="46">
        <v>0.0</v>
      </c>
      <c r="N25" s="19"/>
      <c r="O25" s="43">
        <v>0.0</v>
      </c>
      <c r="P25" s="47" t="s">
        <v>175</v>
      </c>
      <c r="Q25" s="11">
        <v>5.0</v>
      </c>
      <c r="R25" s="48" t="s">
        <v>1090</v>
      </c>
      <c r="S25" s="13">
        <v>0.041666666666666664</v>
      </c>
      <c r="T25" s="43">
        <v>0.0</v>
      </c>
      <c r="U25" s="42">
        <v>0.20833333333333334</v>
      </c>
      <c r="V25" s="45">
        <v>-0.20833333333333334</v>
      </c>
      <c r="W25" s="15">
        <v>-0.25</v>
      </c>
      <c r="X25" s="15">
        <v>-0.2548611111111111</v>
      </c>
      <c r="Y25" s="16" t="s">
        <v>2662</v>
      </c>
    </row>
    <row r="26">
      <c r="A26" s="6">
        <v>25.0</v>
      </c>
      <c r="B26" s="7" t="s">
        <v>2663</v>
      </c>
      <c r="C26" s="8" t="s">
        <v>2664</v>
      </c>
      <c r="D26" s="9" t="s">
        <v>59</v>
      </c>
      <c r="E26" s="7" t="s">
        <v>2665</v>
      </c>
      <c r="F26" s="9">
        <v>19.0</v>
      </c>
      <c r="G26" s="9">
        <v>2004.0</v>
      </c>
      <c r="H26" s="10">
        <v>18.0</v>
      </c>
      <c r="I26" s="11">
        <v>457.0</v>
      </c>
      <c r="J26" s="11">
        <v>25.0</v>
      </c>
      <c r="K26" s="11" t="s">
        <v>168</v>
      </c>
      <c r="L26" s="11" t="s">
        <v>169</v>
      </c>
      <c r="M26" s="41">
        <v>0.05416666666666667</v>
      </c>
      <c r="N26" s="11">
        <v>61.0</v>
      </c>
      <c r="O26" s="43">
        <v>0.0</v>
      </c>
      <c r="P26" s="41">
        <v>0.13541666666666666</v>
      </c>
      <c r="Q26" s="11">
        <v>15.0</v>
      </c>
      <c r="R26" s="42">
        <v>0.09444444444444444</v>
      </c>
      <c r="S26" s="13">
        <v>0.07222222222222222</v>
      </c>
      <c r="T26" s="42">
        <v>0.09444444444444444</v>
      </c>
      <c r="U26" s="42">
        <v>0.09444444444444444</v>
      </c>
      <c r="V26" s="45">
        <v>-0.027083333333333334</v>
      </c>
      <c r="W26" s="15">
        <v>-0.027083333333333334</v>
      </c>
      <c r="X26" s="15">
        <v>-0.04652777777777778</v>
      </c>
      <c r="Y26" s="16" t="s">
        <v>2666</v>
      </c>
    </row>
    <row r="27">
      <c r="A27" s="25" t="s">
        <v>0</v>
      </c>
      <c r="B27" s="26" t="s">
        <v>1</v>
      </c>
      <c r="C27" s="27" t="s">
        <v>2</v>
      </c>
      <c r="D27" s="27" t="s">
        <v>3</v>
      </c>
      <c r="E27" s="27" t="s">
        <v>4</v>
      </c>
      <c r="F27" s="27" t="s">
        <v>5</v>
      </c>
      <c r="G27" s="27" t="s">
        <v>6</v>
      </c>
      <c r="H27" s="28" t="s">
        <v>7</v>
      </c>
      <c r="I27" s="27" t="s">
        <v>8</v>
      </c>
      <c r="J27" s="27" t="s">
        <v>9</v>
      </c>
      <c r="K27" s="27" t="s">
        <v>10</v>
      </c>
      <c r="L27" s="27" t="s">
        <v>11</v>
      </c>
      <c r="M27" s="28" t="s">
        <v>12</v>
      </c>
      <c r="N27" s="27" t="s">
        <v>13</v>
      </c>
      <c r="O27" s="27" t="s">
        <v>14</v>
      </c>
      <c r="P27" s="28" t="s">
        <v>15</v>
      </c>
      <c r="Q27" s="27" t="s">
        <v>16</v>
      </c>
      <c r="R27" s="27" t="s">
        <v>17</v>
      </c>
      <c r="S27" s="28" t="s">
        <v>18</v>
      </c>
      <c r="T27" s="27" t="s">
        <v>19</v>
      </c>
      <c r="U27" s="27" t="s">
        <v>20</v>
      </c>
      <c r="V27" s="29" t="str">
        <f>+/-</f>
        <v>#ERROR!</v>
      </c>
      <c r="W27" s="29" t="str">
        <f>+/-90</f>
        <v>#ERROR!</v>
      </c>
      <c r="X27" s="27" t="s">
        <v>21</v>
      </c>
      <c r="Y27" s="28" t="s">
        <v>22</v>
      </c>
    </row>
    <row r="28">
      <c r="A28" s="6">
        <v>26.0</v>
      </c>
      <c r="B28" s="7" t="s">
        <v>2667</v>
      </c>
      <c r="C28" s="8" t="s">
        <v>2668</v>
      </c>
      <c r="D28" s="9" t="s">
        <v>73</v>
      </c>
      <c r="E28" s="7" t="s">
        <v>2669</v>
      </c>
      <c r="F28" s="9">
        <v>19.0</v>
      </c>
      <c r="G28" s="9">
        <v>2004.0</v>
      </c>
      <c r="H28" s="10">
        <v>15.0</v>
      </c>
      <c r="I28" s="11">
        <v>1.35</v>
      </c>
      <c r="J28" s="11">
        <v>90.0</v>
      </c>
      <c r="K28" s="11" t="s">
        <v>174</v>
      </c>
      <c r="L28" s="11" t="s">
        <v>175</v>
      </c>
      <c r="M28" s="41">
        <v>0.041666666666666664</v>
      </c>
      <c r="N28" s="11">
        <v>90.0</v>
      </c>
      <c r="O28" s="42">
        <v>0.041666666666666664</v>
      </c>
      <c r="P28" s="46">
        <v>0.0</v>
      </c>
      <c r="Q28" s="19"/>
      <c r="R28" s="42">
        <v>0.041666666666666664</v>
      </c>
      <c r="S28" s="13">
        <v>0.04652777777777778</v>
      </c>
      <c r="T28" s="42">
        <v>0.06041666666666667</v>
      </c>
      <c r="U28" s="42">
        <v>0.06041666666666667</v>
      </c>
      <c r="V28" s="45">
        <v>-0.027777777777777776</v>
      </c>
      <c r="W28" s="15">
        <v>-0.027777777777777776</v>
      </c>
      <c r="X28" s="15">
        <v>-0.009027777777777777</v>
      </c>
      <c r="Y28" s="16" t="s">
        <v>2670</v>
      </c>
    </row>
    <row r="29">
      <c r="A29" s="6">
        <v>27.0</v>
      </c>
      <c r="B29" s="7" t="s">
        <v>2671</v>
      </c>
      <c r="C29" s="8" t="s">
        <v>2672</v>
      </c>
      <c r="D29" s="9" t="s">
        <v>52</v>
      </c>
      <c r="E29" s="7" t="s">
        <v>2673</v>
      </c>
      <c r="F29" s="9">
        <v>17.0</v>
      </c>
      <c r="G29" s="9">
        <v>2006.0</v>
      </c>
      <c r="H29" s="10">
        <v>4.0</v>
      </c>
      <c r="I29" s="11">
        <v>19.0</v>
      </c>
      <c r="J29" s="11">
        <v>5.0</v>
      </c>
      <c r="K29" s="11" t="s">
        <v>180</v>
      </c>
      <c r="L29" s="11" t="s">
        <v>48</v>
      </c>
      <c r="M29" s="46">
        <v>0.0</v>
      </c>
      <c r="N29" s="19"/>
      <c r="O29" s="43">
        <v>0.0</v>
      </c>
      <c r="P29" s="47" t="s">
        <v>654</v>
      </c>
      <c r="Q29" s="11">
        <v>5.0</v>
      </c>
      <c r="R29" s="48" t="s">
        <v>2674</v>
      </c>
      <c r="S29" s="13">
        <v>0.052083333333333336</v>
      </c>
      <c r="T29" s="42">
        <v>0.20833333333333334</v>
      </c>
      <c r="U29" s="42">
        <v>0.20833333333333334</v>
      </c>
      <c r="V29" s="43">
        <v>0.0</v>
      </c>
      <c r="W29" s="21">
        <v>0.0</v>
      </c>
      <c r="X29" s="14" t="str">
        <f>+0.67</f>
        <v>#ERROR!</v>
      </c>
      <c r="Y29" s="16" t="s">
        <v>2675</v>
      </c>
    </row>
    <row r="30">
      <c r="A30" s="6">
        <v>28.0</v>
      </c>
      <c r="B30" s="7" t="s">
        <v>2676</v>
      </c>
      <c r="C30" s="8" t="s">
        <v>2677</v>
      </c>
      <c r="D30" s="9" t="s">
        <v>32</v>
      </c>
      <c r="E30" s="7" t="s">
        <v>2678</v>
      </c>
      <c r="F30" s="9">
        <v>18.0</v>
      </c>
      <c r="G30" s="9">
        <v>2005.0</v>
      </c>
      <c r="H30" s="18">
        <v>0.0</v>
      </c>
      <c r="I30" s="19"/>
      <c r="J30" s="19"/>
      <c r="K30" s="19"/>
      <c r="L30" s="19"/>
      <c r="M30" s="18">
        <v>0.0</v>
      </c>
      <c r="N30" s="19"/>
      <c r="O30" s="12">
        <v>0.0</v>
      </c>
      <c r="P30" s="18">
        <v>0.0</v>
      </c>
      <c r="Q30" s="19"/>
      <c r="R30" s="11">
        <v>9.0</v>
      </c>
      <c r="S30" s="24"/>
      <c r="T30" s="19"/>
      <c r="U30" s="19"/>
      <c r="V30" s="19"/>
      <c r="W30" s="19"/>
      <c r="X30" s="19"/>
      <c r="Y30" s="16" t="s">
        <v>2679</v>
      </c>
    </row>
    <row r="31">
      <c r="A31" s="6">
        <v>29.0</v>
      </c>
      <c r="B31" s="7" t="s">
        <v>2680</v>
      </c>
      <c r="C31" s="8" t="s">
        <v>2681</v>
      </c>
      <c r="D31" s="9" t="s">
        <v>59</v>
      </c>
      <c r="E31" s="7" t="s">
        <v>2682</v>
      </c>
      <c r="F31" s="9">
        <v>20.0</v>
      </c>
      <c r="G31" s="9">
        <v>2003.0</v>
      </c>
      <c r="H31" s="10">
        <v>20.0</v>
      </c>
      <c r="I31" s="11">
        <v>1.058</v>
      </c>
      <c r="J31" s="11">
        <v>53.0</v>
      </c>
      <c r="K31" s="11" t="s">
        <v>189</v>
      </c>
      <c r="L31" s="11" t="s">
        <v>88</v>
      </c>
      <c r="M31" s="41">
        <v>0.043055555555555555</v>
      </c>
      <c r="N31" s="11">
        <v>75.0</v>
      </c>
      <c r="O31" s="42">
        <v>0.011805555555555555</v>
      </c>
      <c r="P31" s="41">
        <v>0.04722222222222222</v>
      </c>
      <c r="Q31" s="11">
        <v>20.0</v>
      </c>
      <c r="R31" s="42">
        <v>0.035416666666666666</v>
      </c>
      <c r="S31" s="13">
        <v>0.06597222222222222</v>
      </c>
      <c r="T31" s="42">
        <v>0.043055555555555555</v>
      </c>
      <c r="U31" s="42">
        <v>0.08958333333333333</v>
      </c>
      <c r="V31" s="45">
        <v>-0.04722222222222222</v>
      </c>
      <c r="W31" s="15">
        <v>-0.04722222222222222</v>
      </c>
      <c r="X31" s="14" t="str">
        <f>+0.03</f>
        <v>#ERROR!</v>
      </c>
      <c r="Y31" s="16" t="s">
        <v>2683</v>
      </c>
    </row>
    <row r="32">
      <c r="A32" s="6">
        <v>30.0</v>
      </c>
      <c r="B32" s="7" t="s">
        <v>2684</v>
      </c>
      <c r="C32" s="8" t="s">
        <v>2685</v>
      </c>
      <c r="D32" s="9" t="s">
        <v>52</v>
      </c>
      <c r="E32" s="7" t="s">
        <v>2686</v>
      </c>
      <c r="F32" s="9">
        <v>17.0</v>
      </c>
      <c r="G32" s="9">
        <v>2006.0</v>
      </c>
      <c r="H32" s="10">
        <v>1.0</v>
      </c>
      <c r="I32" s="11">
        <v>23.0</v>
      </c>
      <c r="J32" s="11">
        <v>23.0</v>
      </c>
      <c r="K32" s="11" t="s">
        <v>194</v>
      </c>
      <c r="L32" s="11" t="s">
        <v>195</v>
      </c>
      <c r="M32" s="46">
        <v>0.0</v>
      </c>
      <c r="N32" s="19"/>
      <c r="O32" s="43">
        <v>0.0</v>
      </c>
      <c r="P32" s="41">
        <v>0.14791666666666667</v>
      </c>
      <c r="Q32" s="11">
        <v>23.0</v>
      </c>
      <c r="R32" s="42">
        <v>0.14791666666666667</v>
      </c>
      <c r="S32" s="20">
        <v>0.0</v>
      </c>
      <c r="T32" s="43">
        <v>0.0</v>
      </c>
      <c r="U32" s="43">
        <v>0.0</v>
      </c>
      <c r="V32" s="43">
        <v>0.0</v>
      </c>
      <c r="W32" s="21">
        <v>0.0</v>
      </c>
      <c r="X32" s="14" t="str">
        <f>+0.24</f>
        <v>#ERROR!</v>
      </c>
      <c r="Y32" s="16" t="s">
        <v>2687</v>
      </c>
    </row>
    <row r="33">
      <c r="A33" s="6">
        <v>31.0</v>
      </c>
      <c r="B33" s="7" t="s">
        <v>2688</v>
      </c>
      <c r="C33" s="8" t="s">
        <v>2689</v>
      </c>
      <c r="D33" s="9" t="s">
        <v>66</v>
      </c>
      <c r="E33" s="7" t="s">
        <v>2690</v>
      </c>
      <c r="F33" s="9">
        <v>28.0</v>
      </c>
      <c r="G33" s="9">
        <v>1995.0</v>
      </c>
      <c r="H33" s="10">
        <v>1.0</v>
      </c>
      <c r="I33" s="11">
        <v>45.0</v>
      </c>
      <c r="J33" s="11">
        <v>45.0</v>
      </c>
      <c r="K33" s="11" t="s">
        <v>200</v>
      </c>
      <c r="L33" s="11" t="s">
        <v>201</v>
      </c>
      <c r="M33" s="46">
        <v>0.0</v>
      </c>
      <c r="N33" s="19"/>
      <c r="O33" s="43">
        <v>0.0</v>
      </c>
      <c r="P33" s="41">
        <v>0.08333333333333333</v>
      </c>
      <c r="Q33" s="11">
        <v>45.0</v>
      </c>
      <c r="R33" s="48" t="s">
        <v>1335</v>
      </c>
      <c r="S33" s="13">
        <v>0.125</v>
      </c>
      <c r="T33" s="42">
        <v>0.25</v>
      </c>
      <c r="U33" s="43">
        <v>0.0</v>
      </c>
      <c r="V33" s="44">
        <v>0.25</v>
      </c>
      <c r="W33" s="14" t="str">
        <f>+6.00</f>
        <v>#ERROR!</v>
      </c>
      <c r="X33" s="14" t="str">
        <f>+6.68</f>
        <v>#ERROR!</v>
      </c>
      <c r="Y33" s="16" t="s">
        <v>2691</v>
      </c>
    </row>
    <row r="34">
      <c r="A34" s="6">
        <v>32.0</v>
      </c>
      <c r="B34" s="7" t="s">
        <v>2692</v>
      </c>
      <c r="C34" s="8" t="s">
        <v>2693</v>
      </c>
      <c r="D34" s="9" t="s">
        <v>32</v>
      </c>
      <c r="E34" s="7" t="s">
        <v>2694</v>
      </c>
      <c r="F34" s="9">
        <v>19.0</v>
      </c>
      <c r="G34" s="9">
        <v>2004.0</v>
      </c>
      <c r="H34" s="10">
        <v>7.0</v>
      </c>
      <c r="I34" s="11">
        <v>207.0</v>
      </c>
      <c r="J34" s="11">
        <v>30.0</v>
      </c>
      <c r="K34" s="11" t="s">
        <v>206</v>
      </c>
      <c r="L34" s="11" t="s">
        <v>207</v>
      </c>
      <c r="M34" s="41">
        <v>0.0625</v>
      </c>
      <c r="N34" s="11">
        <v>57.0</v>
      </c>
      <c r="O34" s="43">
        <v>0.0</v>
      </c>
      <c r="P34" s="41">
        <v>0.09305555555555556</v>
      </c>
      <c r="Q34" s="11">
        <v>9.0</v>
      </c>
      <c r="R34" s="42">
        <v>0.12777777777777777</v>
      </c>
      <c r="S34" s="13">
        <v>0.10138888888888889</v>
      </c>
      <c r="T34" s="42">
        <v>0.12777777777777777</v>
      </c>
      <c r="U34" s="42">
        <v>0.09305555555555556</v>
      </c>
      <c r="V34" s="44">
        <v>0.0625</v>
      </c>
      <c r="W34" s="14" t="str">
        <f>+1.30</f>
        <v>#ERROR!</v>
      </c>
      <c r="X34" s="14" t="str">
        <f>+1.12</f>
        <v>#ERROR!</v>
      </c>
      <c r="Y34" s="16" t="s">
        <v>2695</v>
      </c>
    </row>
    <row r="35">
      <c r="A35" s="6">
        <v>33.0</v>
      </c>
      <c r="B35" s="7" t="s">
        <v>2696</v>
      </c>
      <c r="C35" s="8" t="s">
        <v>2697</v>
      </c>
      <c r="D35" s="9" t="s">
        <v>66</v>
      </c>
      <c r="E35" s="7" t="s">
        <v>2698</v>
      </c>
      <c r="F35" s="9">
        <v>18.0</v>
      </c>
      <c r="G35" s="9">
        <v>2005.0</v>
      </c>
      <c r="H35" s="18">
        <v>0.0</v>
      </c>
      <c r="I35" s="19"/>
      <c r="J35" s="19"/>
      <c r="K35" s="19"/>
      <c r="L35" s="19"/>
      <c r="M35" s="18">
        <v>0.0</v>
      </c>
      <c r="N35" s="19"/>
      <c r="O35" s="12">
        <v>0.0</v>
      </c>
      <c r="P35" s="18">
        <v>0.0</v>
      </c>
      <c r="Q35" s="19"/>
      <c r="R35" s="11">
        <v>5.0</v>
      </c>
      <c r="S35" s="24"/>
      <c r="T35" s="19"/>
      <c r="U35" s="19"/>
      <c r="V35" s="19"/>
      <c r="W35" s="19"/>
      <c r="X35" s="19"/>
      <c r="Y35" s="16" t="s">
        <v>2699</v>
      </c>
    </row>
    <row r="36">
      <c r="A36" s="6">
        <v>34.0</v>
      </c>
      <c r="B36" s="7" t="s">
        <v>2700</v>
      </c>
      <c r="C36" s="22"/>
      <c r="D36" s="9" t="s">
        <v>73</v>
      </c>
      <c r="E36" s="7" t="s">
        <v>2701</v>
      </c>
      <c r="F36" s="23"/>
      <c r="G36" s="23"/>
      <c r="H36" s="18">
        <v>0.0</v>
      </c>
      <c r="I36" s="19"/>
      <c r="J36" s="19"/>
      <c r="K36" s="19"/>
      <c r="L36" s="19"/>
      <c r="M36" s="18">
        <v>0.0</v>
      </c>
      <c r="N36" s="19"/>
      <c r="O36" s="12">
        <v>0.0</v>
      </c>
      <c r="P36" s="18">
        <v>0.0</v>
      </c>
      <c r="Q36" s="19"/>
      <c r="R36" s="11">
        <v>1.0</v>
      </c>
      <c r="S36" s="24"/>
      <c r="T36" s="19"/>
      <c r="U36" s="19"/>
      <c r="V36" s="19"/>
      <c r="W36" s="19"/>
      <c r="X36" s="19"/>
      <c r="Y36" s="16" t="s">
        <v>2702</v>
      </c>
    </row>
    <row r="37">
      <c r="A37" s="6">
        <v>35.0</v>
      </c>
      <c r="B37" s="7" t="s">
        <v>2703</v>
      </c>
      <c r="C37" s="8" t="s">
        <v>2704</v>
      </c>
      <c r="D37" s="9" t="s">
        <v>52</v>
      </c>
      <c r="E37" s="7" t="s">
        <v>2705</v>
      </c>
      <c r="F37" s="9">
        <v>25.0</v>
      </c>
      <c r="G37" s="9">
        <v>1998.0</v>
      </c>
      <c r="H37" s="10">
        <v>18.0</v>
      </c>
      <c r="I37" s="11">
        <v>1.406</v>
      </c>
      <c r="J37" s="11">
        <v>78.0</v>
      </c>
      <c r="K37" s="11" t="s">
        <v>219</v>
      </c>
      <c r="L37" s="11" t="s">
        <v>220</v>
      </c>
      <c r="M37" s="41">
        <v>0.06666666666666667</v>
      </c>
      <c r="N37" s="11">
        <v>88.0</v>
      </c>
      <c r="O37" s="42">
        <v>0.03125</v>
      </c>
      <c r="P37" s="41">
        <v>0.013194444444444444</v>
      </c>
      <c r="Q37" s="11">
        <v>27.0</v>
      </c>
      <c r="R37" s="43">
        <v>0.0</v>
      </c>
      <c r="S37" s="13">
        <v>0.05763888888888889</v>
      </c>
      <c r="T37" s="42">
        <v>0.04791666666666667</v>
      </c>
      <c r="U37" s="42">
        <v>0.08819444444444445</v>
      </c>
      <c r="V37" s="45">
        <v>-0.04027777777777778</v>
      </c>
      <c r="W37" s="15">
        <v>-0.04027777777777778</v>
      </c>
      <c r="X37" s="15">
        <v>-0.001388888888888889</v>
      </c>
      <c r="Y37" s="16" t="s">
        <v>2706</v>
      </c>
    </row>
    <row r="38">
      <c r="A38" s="6">
        <v>36.0</v>
      </c>
      <c r="B38" s="7" t="s">
        <v>2707</v>
      </c>
      <c r="C38" s="8" t="s">
        <v>2708</v>
      </c>
      <c r="D38" s="9" t="s">
        <v>52</v>
      </c>
      <c r="E38" s="7" t="s">
        <v>2709</v>
      </c>
      <c r="F38" s="9">
        <v>21.0</v>
      </c>
      <c r="G38" s="9">
        <v>2002.0</v>
      </c>
      <c r="H38" s="10">
        <v>9.0</v>
      </c>
      <c r="I38" s="11">
        <v>332.0</v>
      </c>
      <c r="J38" s="11">
        <v>37.0</v>
      </c>
      <c r="K38" s="11" t="s">
        <v>225</v>
      </c>
      <c r="L38" s="11" t="s">
        <v>226</v>
      </c>
      <c r="M38" s="41">
        <v>0.05625</v>
      </c>
      <c r="N38" s="11">
        <v>62.0</v>
      </c>
      <c r="O38" s="43">
        <v>0.0</v>
      </c>
      <c r="P38" s="41">
        <v>0.08472222222222223</v>
      </c>
      <c r="Q38" s="11">
        <v>24.0</v>
      </c>
      <c r="R38" s="42">
        <v>0.01875</v>
      </c>
      <c r="S38" s="13">
        <v>0.09097222222222222</v>
      </c>
      <c r="T38" s="42">
        <v>0.0375</v>
      </c>
      <c r="U38" s="42">
        <v>0.04722222222222222</v>
      </c>
      <c r="V38" s="45">
        <v>-0.0375</v>
      </c>
      <c r="W38" s="15">
        <v>-0.0375</v>
      </c>
      <c r="X38" s="15">
        <v>-0.041666666666666664</v>
      </c>
      <c r="Y38" s="16" t="s">
        <v>2710</v>
      </c>
    </row>
    <row r="39">
      <c r="A39" s="6">
        <v>37.0</v>
      </c>
      <c r="B39" s="7" t="s">
        <v>2711</v>
      </c>
      <c r="C39" s="8" t="s">
        <v>2712</v>
      </c>
      <c r="D39" s="9" t="s">
        <v>59</v>
      </c>
      <c r="E39" s="7" t="s">
        <v>2713</v>
      </c>
      <c r="F39" s="9">
        <v>21.0</v>
      </c>
      <c r="G39" s="9">
        <v>2002.0</v>
      </c>
      <c r="H39" s="10">
        <v>12.0</v>
      </c>
      <c r="I39" s="11">
        <v>1.028</v>
      </c>
      <c r="J39" s="11">
        <v>86.0</v>
      </c>
      <c r="K39" s="11" t="s">
        <v>231</v>
      </c>
      <c r="L39" s="11" t="s">
        <v>232</v>
      </c>
      <c r="M39" s="41">
        <v>0.04513888888888889</v>
      </c>
      <c r="N39" s="11">
        <v>86.0</v>
      </c>
      <c r="O39" s="42">
        <v>0.03680555555555556</v>
      </c>
      <c r="P39" s="46">
        <v>0.0</v>
      </c>
      <c r="Q39" s="19"/>
      <c r="R39" s="43">
        <v>0.0</v>
      </c>
      <c r="S39" s="13">
        <v>0.04652777777777778</v>
      </c>
      <c r="T39" s="42">
        <v>0.04861111111111111</v>
      </c>
      <c r="U39" s="42">
        <v>0.05763888888888889</v>
      </c>
      <c r="V39" s="45">
        <v>-0.03680555555555556</v>
      </c>
      <c r="W39" s="15">
        <v>-0.03680555555555556</v>
      </c>
      <c r="X39" s="14" t="str">
        <f>+0.07</f>
        <v>#ERROR!</v>
      </c>
      <c r="Y39" s="16" t="s">
        <v>2714</v>
      </c>
    </row>
    <row r="40">
      <c r="A40" s="6">
        <v>38.0</v>
      </c>
      <c r="B40" s="7" t="s">
        <v>2715</v>
      </c>
      <c r="C40" s="8" t="s">
        <v>2716</v>
      </c>
      <c r="D40" s="9" t="s">
        <v>52</v>
      </c>
      <c r="E40" s="7" t="s">
        <v>2717</v>
      </c>
      <c r="F40" s="9">
        <v>21.0</v>
      </c>
      <c r="G40" s="9">
        <v>2002.0</v>
      </c>
      <c r="H40" s="10">
        <v>1.0</v>
      </c>
      <c r="I40" s="11">
        <v>19.0</v>
      </c>
      <c r="J40" s="11">
        <v>19.0</v>
      </c>
      <c r="K40" s="11" t="s">
        <v>180</v>
      </c>
      <c r="L40" s="11" t="s">
        <v>48</v>
      </c>
      <c r="M40" s="46">
        <v>0.0</v>
      </c>
      <c r="N40" s="19"/>
      <c r="O40" s="43">
        <v>0.0</v>
      </c>
      <c r="P40" s="41">
        <v>0.20833333333333334</v>
      </c>
      <c r="Q40" s="11">
        <v>19.0</v>
      </c>
      <c r="R40" s="48" t="s">
        <v>174</v>
      </c>
      <c r="S40" s="20">
        <v>0.0</v>
      </c>
      <c r="T40" s="43">
        <v>0.0</v>
      </c>
      <c r="U40" s="43">
        <v>0.0</v>
      </c>
      <c r="V40" s="43">
        <v>0.0</v>
      </c>
      <c r="W40" s="21">
        <v>0.0</v>
      </c>
      <c r="X40" s="14" t="str">
        <f>+0.57</f>
        <v>#ERROR!</v>
      </c>
      <c r="Y40" s="16" t="s">
        <v>2718</v>
      </c>
    </row>
    <row r="41">
      <c r="A41" s="6">
        <v>39.0</v>
      </c>
      <c r="B41" s="7" t="s">
        <v>2719</v>
      </c>
      <c r="C41" s="8" t="s">
        <v>2720</v>
      </c>
      <c r="D41" s="9" t="s">
        <v>66</v>
      </c>
      <c r="E41" s="7" t="s">
        <v>2721</v>
      </c>
      <c r="F41" s="9">
        <v>17.0</v>
      </c>
      <c r="G41" s="9">
        <v>2006.0</v>
      </c>
      <c r="H41" s="18">
        <v>0.0</v>
      </c>
      <c r="I41" s="19"/>
      <c r="J41" s="19"/>
      <c r="K41" s="19"/>
      <c r="L41" s="19"/>
      <c r="M41" s="18">
        <v>0.0</v>
      </c>
      <c r="N41" s="19"/>
      <c r="O41" s="12">
        <v>0.0</v>
      </c>
      <c r="P41" s="18">
        <v>0.0</v>
      </c>
      <c r="Q41" s="19"/>
      <c r="R41" s="11">
        <v>1.0</v>
      </c>
      <c r="S41" s="24"/>
      <c r="T41" s="19"/>
      <c r="U41" s="19"/>
      <c r="V41" s="19"/>
      <c r="W41" s="19"/>
      <c r="X41" s="19"/>
      <c r="Y41" s="16" t="s">
        <v>2722</v>
      </c>
    </row>
    <row r="42">
      <c r="A42" s="6">
        <v>40.0</v>
      </c>
      <c r="B42" s="7" t="s">
        <v>2723</v>
      </c>
      <c r="C42" s="8" t="s">
        <v>2724</v>
      </c>
      <c r="D42" s="9" t="s">
        <v>66</v>
      </c>
      <c r="E42" s="7" t="s">
        <v>2725</v>
      </c>
      <c r="F42" s="9">
        <v>17.0</v>
      </c>
      <c r="G42" s="9">
        <v>2006.0</v>
      </c>
      <c r="H42" s="10">
        <v>1.0</v>
      </c>
      <c r="I42" s="11">
        <v>22.0</v>
      </c>
      <c r="J42" s="11">
        <v>22.0</v>
      </c>
      <c r="K42" s="11" t="s">
        <v>245</v>
      </c>
      <c r="L42" s="11" t="s">
        <v>48</v>
      </c>
      <c r="M42" s="46">
        <v>0.0</v>
      </c>
      <c r="N42" s="19"/>
      <c r="O42" s="43">
        <v>0.0</v>
      </c>
      <c r="P42" s="41">
        <v>0.20833333333333334</v>
      </c>
      <c r="Q42" s="11">
        <v>22.0</v>
      </c>
      <c r="R42" s="43">
        <v>0.0</v>
      </c>
      <c r="S42" s="20">
        <v>0.0</v>
      </c>
      <c r="T42" s="43">
        <v>0.0</v>
      </c>
      <c r="U42" s="43">
        <v>0.0</v>
      </c>
      <c r="V42" s="43">
        <v>0.0</v>
      </c>
      <c r="W42" s="21">
        <v>0.0</v>
      </c>
      <c r="X42" s="15">
        <v>-0.006944444444444444</v>
      </c>
      <c r="Y42" s="16" t="s">
        <v>2726</v>
      </c>
    </row>
    <row r="43">
      <c r="A43" s="6">
        <v>41.0</v>
      </c>
      <c r="B43" s="7" t="s">
        <v>2727</v>
      </c>
      <c r="C43" s="8" t="s">
        <v>2728</v>
      </c>
      <c r="D43" s="9" t="s">
        <v>59</v>
      </c>
      <c r="E43" s="7" t="s">
        <v>2729</v>
      </c>
      <c r="F43" s="9">
        <v>18.0</v>
      </c>
      <c r="G43" s="9">
        <v>2005.0</v>
      </c>
      <c r="H43" s="10">
        <v>15.0</v>
      </c>
      <c r="I43" s="11">
        <v>667.0</v>
      </c>
      <c r="J43" s="11">
        <v>44.0</v>
      </c>
      <c r="K43" s="11" t="s">
        <v>250</v>
      </c>
      <c r="L43" s="11" t="s">
        <v>251</v>
      </c>
      <c r="M43" s="41">
        <v>0.04722222222222222</v>
      </c>
      <c r="N43" s="11">
        <v>66.0</v>
      </c>
      <c r="O43" s="43">
        <v>0.0</v>
      </c>
      <c r="P43" s="41">
        <v>0.06597222222222222</v>
      </c>
      <c r="Q43" s="11">
        <v>20.0</v>
      </c>
      <c r="R43" s="42">
        <v>0.06597222222222222</v>
      </c>
      <c r="S43" s="13">
        <v>0.09236111111111112</v>
      </c>
      <c r="T43" s="42">
        <v>0.11319444444444444</v>
      </c>
      <c r="U43" s="42">
        <v>0.06597222222222222</v>
      </c>
      <c r="V43" s="44">
        <v>0.07569444444444444</v>
      </c>
      <c r="W43" s="14" t="str">
        <f>+1.48</f>
        <v>#ERROR!</v>
      </c>
      <c r="X43" s="14" t="str">
        <f>+1.75</f>
        <v>#ERROR!</v>
      </c>
      <c r="Y43" s="16" t="s">
        <v>2730</v>
      </c>
    </row>
    <row r="44">
      <c r="A44" s="6">
        <v>42.0</v>
      </c>
      <c r="B44" s="7" t="s">
        <v>2731</v>
      </c>
      <c r="C44" s="8" t="s">
        <v>2732</v>
      </c>
      <c r="D44" s="9" t="s">
        <v>32</v>
      </c>
      <c r="E44" s="7" t="s">
        <v>2733</v>
      </c>
      <c r="F44" s="9">
        <v>23.0</v>
      </c>
      <c r="G44" s="9">
        <v>2000.0</v>
      </c>
      <c r="H44" s="10">
        <v>3.0</v>
      </c>
      <c r="I44" s="11">
        <v>139.0</v>
      </c>
      <c r="J44" s="11">
        <v>46.0</v>
      </c>
      <c r="K44" s="11" t="s">
        <v>169</v>
      </c>
      <c r="L44" s="11" t="s">
        <v>256</v>
      </c>
      <c r="M44" s="41">
        <v>0.06458333333333334</v>
      </c>
      <c r="N44" s="11">
        <v>63.0</v>
      </c>
      <c r="O44" s="43">
        <v>0.0</v>
      </c>
      <c r="P44" s="41">
        <v>0.04652777777777778</v>
      </c>
      <c r="Q44" s="11">
        <v>13.0</v>
      </c>
      <c r="R44" s="42">
        <v>0.12986111111111112</v>
      </c>
      <c r="S44" s="13">
        <v>0.022916666666666665</v>
      </c>
      <c r="T44" s="43">
        <v>0.0</v>
      </c>
      <c r="U44" s="42">
        <v>0.08333333333333333</v>
      </c>
      <c r="V44" s="45">
        <v>-0.08333333333333333</v>
      </c>
      <c r="W44" s="15">
        <v>-0.10694444444444444</v>
      </c>
      <c r="X44" s="15">
        <v>-0.09027777777777778</v>
      </c>
      <c r="Y44" s="16" t="s">
        <v>2734</v>
      </c>
    </row>
    <row r="45">
      <c r="A45" s="6">
        <v>43.0</v>
      </c>
      <c r="B45" s="7" t="s">
        <v>2735</v>
      </c>
      <c r="C45" s="8" t="s">
        <v>2736</v>
      </c>
      <c r="D45" s="9" t="s">
        <v>66</v>
      </c>
      <c r="E45" s="7" t="s">
        <v>2737</v>
      </c>
      <c r="F45" s="9">
        <v>31.0</v>
      </c>
      <c r="G45" s="9">
        <v>1992.0</v>
      </c>
      <c r="H45" s="10">
        <v>24.0</v>
      </c>
      <c r="I45" s="11">
        <v>1.691</v>
      </c>
      <c r="J45" s="11">
        <v>70.0</v>
      </c>
      <c r="K45" s="11" t="s">
        <v>261</v>
      </c>
      <c r="L45" s="11" t="s">
        <v>262</v>
      </c>
      <c r="M45" s="41">
        <v>0.06666666666666667</v>
      </c>
      <c r="N45" s="11">
        <v>90.0</v>
      </c>
      <c r="O45" s="42">
        <v>0.06666666666666667</v>
      </c>
      <c r="P45" s="41">
        <v>0.022222222222222223</v>
      </c>
      <c r="Q45" s="11">
        <v>12.0</v>
      </c>
      <c r="R45" s="42">
        <v>0.007638888888888889</v>
      </c>
      <c r="S45" s="13">
        <v>0.05625</v>
      </c>
      <c r="T45" s="42">
        <v>0.05</v>
      </c>
      <c r="U45" s="42">
        <v>0.08680555555555555</v>
      </c>
      <c r="V45" s="45">
        <v>-0.03680555555555556</v>
      </c>
      <c r="W45" s="15">
        <v>-0.03680555555555556</v>
      </c>
      <c r="X45" s="14" t="str">
        <f>+0.18</f>
        <v>#ERROR!</v>
      </c>
      <c r="Y45" s="16" t="s">
        <v>2738</v>
      </c>
    </row>
    <row r="46">
      <c r="A46" s="6">
        <v>44.0</v>
      </c>
      <c r="B46" s="7" t="s">
        <v>2739</v>
      </c>
      <c r="C46" s="8" t="s">
        <v>2740</v>
      </c>
      <c r="D46" s="9" t="s">
        <v>66</v>
      </c>
      <c r="E46" s="7" t="s">
        <v>2741</v>
      </c>
      <c r="F46" s="9">
        <v>27.0</v>
      </c>
      <c r="G46" s="9">
        <v>1996.0</v>
      </c>
      <c r="H46" s="10">
        <v>12.0</v>
      </c>
      <c r="I46" s="11">
        <v>897.0</v>
      </c>
      <c r="J46" s="11">
        <v>75.0</v>
      </c>
      <c r="K46" s="11" t="s">
        <v>267</v>
      </c>
      <c r="L46" s="11" t="s">
        <v>268</v>
      </c>
      <c r="M46" s="41">
        <v>0.04861111111111111</v>
      </c>
      <c r="N46" s="11">
        <v>77.0</v>
      </c>
      <c r="O46" s="42">
        <v>0.020833333333333332</v>
      </c>
      <c r="P46" s="41">
        <v>0.006944444444444444</v>
      </c>
      <c r="Q46" s="11">
        <v>45.0</v>
      </c>
      <c r="R46" s="42">
        <v>0.006944444444444444</v>
      </c>
      <c r="S46" s="13">
        <v>0.052083333333333336</v>
      </c>
      <c r="T46" s="42">
        <v>0.0625</v>
      </c>
      <c r="U46" s="42">
        <v>0.0625</v>
      </c>
      <c r="V46" s="45">
        <v>-0.027777777777777776</v>
      </c>
      <c r="W46" s="15">
        <v>-0.027777777777777776</v>
      </c>
      <c r="X46" s="15">
        <v>-0.006944444444444444</v>
      </c>
      <c r="Y46" s="16" t="s">
        <v>2742</v>
      </c>
    </row>
    <row r="47">
      <c r="A47" s="6">
        <v>45.0</v>
      </c>
      <c r="B47" s="7" t="s">
        <v>2743</v>
      </c>
      <c r="C47" s="8" t="s">
        <v>2744</v>
      </c>
      <c r="D47" s="9" t="s">
        <v>66</v>
      </c>
      <c r="E47" s="7" t="s">
        <v>2745</v>
      </c>
      <c r="F47" s="9">
        <v>20.0</v>
      </c>
      <c r="G47" s="9">
        <v>2003.0</v>
      </c>
      <c r="H47" s="10">
        <v>14.0</v>
      </c>
      <c r="I47" s="11">
        <v>546.0</v>
      </c>
      <c r="J47" s="11">
        <v>39.0</v>
      </c>
      <c r="K47" s="11" t="s">
        <v>273</v>
      </c>
      <c r="L47" s="11" t="s">
        <v>274</v>
      </c>
      <c r="M47" s="41">
        <v>0.04583333333333333</v>
      </c>
      <c r="N47" s="11">
        <v>81.0</v>
      </c>
      <c r="O47" s="42">
        <v>0.022916666666666665</v>
      </c>
      <c r="P47" s="41">
        <v>0.08611111111111111</v>
      </c>
      <c r="Q47" s="11">
        <v>22.0</v>
      </c>
      <c r="R47" s="42">
        <v>0.11527777777777778</v>
      </c>
      <c r="S47" s="13">
        <v>0.06458333333333334</v>
      </c>
      <c r="T47" s="42">
        <v>0.075</v>
      </c>
      <c r="U47" s="42">
        <v>0.09236111111111112</v>
      </c>
      <c r="V47" s="45">
        <v>-0.04583333333333333</v>
      </c>
      <c r="W47" s="15">
        <v>-0.04583333333333333</v>
      </c>
      <c r="X47" s="14" t="str">
        <f>+0.05</f>
        <v>#ERROR!</v>
      </c>
      <c r="Y47" s="16" t="s">
        <v>2746</v>
      </c>
    </row>
    <row r="48">
      <c r="A48" s="6">
        <v>46.0</v>
      </c>
      <c r="B48" s="7" t="s">
        <v>2747</v>
      </c>
      <c r="C48" s="8" t="s">
        <v>2748</v>
      </c>
      <c r="D48" s="9" t="s">
        <v>59</v>
      </c>
      <c r="E48" s="7" t="s">
        <v>2749</v>
      </c>
      <c r="F48" s="9">
        <v>24.0</v>
      </c>
      <c r="G48" s="9">
        <v>1999.0</v>
      </c>
      <c r="H48" s="10">
        <v>27.0</v>
      </c>
      <c r="I48" s="11">
        <v>2.101</v>
      </c>
      <c r="J48" s="11">
        <v>78.0</v>
      </c>
      <c r="K48" s="11" t="s">
        <v>279</v>
      </c>
      <c r="L48" s="11" t="s">
        <v>280</v>
      </c>
      <c r="M48" s="41">
        <v>0.04652777777777778</v>
      </c>
      <c r="N48" s="11">
        <v>82.0</v>
      </c>
      <c r="O48" s="42">
        <v>0.03263888888888889</v>
      </c>
      <c r="P48" s="41">
        <v>0.00625</v>
      </c>
      <c r="Q48" s="11">
        <v>31.0</v>
      </c>
      <c r="R48" s="43">
        <v>0.0</v>
      </c>
      <c r="S48" s="13">
        <v>0.07777777777777778</v>
      </c>
      <c r="T48" s="42">
        <v>0.09166666666666666</v>
      </c>
      <c r="U48" s="42">
        <v>0.07083333333333333</v>
      </c>
      <c r="V48" s="44">
        <v>0.020833333333333332</v>
      </c>
      <c r="W48" s="14" t="str">
        <f>+0.30</f>
        <v>#ERROR!</v>
      </c>
      <c r="X48" s="14" t="str">
        <f>+0.15</f>
        <v>#ERROR!</v>
      </c>
      <c r="Y48" s="16" t="s">
        <v>2750</v>
      </c>
    </row>
    <row r="49">
      <c r="A49" s="6">
        <v>47.0</v>
      </c>
      <c r="B49" s="7" t="s">
        <v>2751</v>
      </c>
      <c r="C49" s="8" t="s">
        <v>2752</v>
      </c>
      <c r="D49" s="9" t="s">
        <v>284</v>
      </c>
      <c r="E49" s="7" t="s">
        <v>2753</v>
      </c>
      <c r="F49" s="9">
        <v>29.0</v>
      </c>
      <c r="G49" s="9">
        <v>1994.0</v>
      </c>
      <c r="H49" s="10">
        <v>21.0</v>
      </c>
      <c r="I49" s="11">
        <v>745.0</v>
      </c>
      <c r="J49" s="11">
        <v>35.0</v>
      </c>
      <c r="K49" s="11" t="s">
        <v>286</v>
      </c>
      <c r="L49" s="11" t="s">
        <v>287</v>
      </c>
      <c r="M49" s="41">
        <v>0.06666666666666667</v>
      </c>
      <c r="N49" s="11">
        <v>67.0</v>
      </c>
      <c r="O49" s="42">
        <v>0.016666666666666666</v>
      </c>
      <c r="P49" s="41">
        <v>0.08125</v>
      </c>
      <c r="Q49" s="11">
        <v>16.0</v>
      </c>
      <c r="R49" s="42">
        <v>0.03333333333333333</v>
      </c>
      <c r="S49" s="13">
        <v>0.06180555555555556</v>
      </c>
      <c r="T49" s="42">
        <v>0.08958333333333333</v>
      </c>
      <c r="U49" s="42">
        <v>0.09513888888888888</v>
      </c>
      <c r="V49" s="45">
        <v>-0.03333333333333333</v>
      </c>
      <c r="W49" s="15">
        <v>-0.03333333333333333</v>
      </c>
      <c r="X49" s="15">
        <v>-0.05625</v>
      </c>
      <c r="Y49" s="16" t="s">
        <v>2754</v>
      </c>
    </row>
    <row r="50">
      <c r="A50" s="6">
        <v>48.0</v>
      </c>
      <c r="B50" s="7" t="s">
        <v>2755</v>
      </c>
      <c r="C50" s="8" t="s">
        <v>2756</v>
      </c>
      <c r="D50" s="9" t="s">
        <v>284</v>
      </c>
      <c r="E50" s="7" t="s">
        <v>2757</v>
      </c>
      <c r="F50" s="9">
        <v>19.0</v>
      </c>
      <c r="G50" s="9">
        <v>2004.0</v>
      </c>
      <c r="H50" s="10">
        <v>22.0</v>
      </c>
      <c r="I50" s="11">
        <v>1.506</v>
      </c>
      <c r="J50" s="11">
        <v>68.0</v>
      </c>
      <c r="K50" s="11" t="s">
        <v>292</v>
      </c>
      <c r="L50" s="11" t="s">
        <v>293</v>
      </c>
      <c r="M50" s="41">
        <v>0.06666666666666667</v>
      </c>
      <c r="N50" s="11">
        <v>86.0</v>
      </c>
      <c r="O50" s="42">
        <v>0.0375</v>
      </c>
      <c r="P50" s="41">
        <v>0.025</v>
      </c>
      <c r="Q50" s="11">
        <v>22.0</v>
      </c>
      <c r="R50" s="42">
        <v>0.004166666666666667</v>
      </c>
      <c r="S50" s="13">
        <v>0.06388888888888888</v>
      </c>
      <c r="T50" s="42">
        <v>0.09444444444444444</v>
      </c>
      <c r="U50" s="42">
        <v>0.10555555555555556</v>
      </c>
      <c r="V50" s="44">
        <v>0.016666666666666666</v>
      </c>
      <c r="W50" s="14" t="str">
        <f>+0.24</f>
        <v>#ERROR!</v>
      </c>
      <c r="X50" s="14" t="str">
        <f>+1.07</f>
        <v>#ERROR!</v>
      </c>
      <c r="Y50" s="16" t="s">
        <v>2758</v>
      </c>
    </row>
    <row r="51">
      <c r="A51" s="6">
        <v>49.0</v>
      </c>
      <c r="B51" s="7" t="s">
        <v>2759</v>
      </c>
      <c r="C51" s="8" t="s">
        <v>2760</v>
      </c>
      <c r="D51" s="9" t="s">
        <v>52</v>
      </c>
      <c r="E51" s="7" t="s">
        <v>2761</v>
      </c>
      <c r="F51" s="9">
        <v>19.0</v>
      </c>
      <c r="G51" s="9">
        <v>2004.0</v>
      </c>
      <c r="H51" s="18">
        <v>0.0</v>
      </c>
      <c r="I51" s="19"/>
      <c r="J51" s="19"/>
      <c r="K51" s="19"/>
      <c r="L51" s="19"/>
      <c r="M51" s="18">
        <v>0.0</v>
      </c>
      <c r="N51" s="19"/>
      <c r="O51" s="12">
        <v>0.0</v>
      </c>
      <c r="P51" s="18">
        <v>0.0</v>
      </c>
      <c r="Q51" s="19"/>
      <c r="R51" s="11">
        <v>11.0</v>
      </c>
      <c r="S51" s="24"/>
      <c r="T51" s="19"/>
      <c r="U51" s="19"/>
      <c r="V51" s="19"/>
      <c r="W51" s="19"/>
      <c r="X51" s="19"/>
      <c r="Y51" s="16" t="s">
        <v>2762</v>
      </c>
    </row>
    <row r="52">
      <c r="A52" s="6">
        <v>50.0</v>
      </c>
      <c r="B52" s="7" t="s">
        <v>2763</v>
      </c>
      <c r="C52" s="8" t="s">
        <v>2764</v>
      </c>
      <c r="D52" s="9" t="s">
        <v>32</v>
      </c>
      <c r="E52" s="7" t="s">
        <v>2765</v>
      </c>
      <c r="F52" s="9">
        <v>23.0</v>
      </c>
      <c r="G52" s="9">
        <v>2000.0</v>
      </c>
      <c r="H52" s="10">
        <v>17.0</v>
      </c>
      <c r="I52" s="11">
        <v>412.0</v>
      </c>
      <c r="J52" s="11">
        <v>24.0</v>
      </c>
      <c r="K52" s="11" t="s">
        <v>302</v>
      </c>
      <c r="L52" s="11" t="s">
        <v>303</v>
      </c>
      <c r="M52" s="41">
        <v>0.029861111111111113</v>
      </c>
      <c r="N52" s="11">
        <v>59.0</v>
      </c>
      <c r="O52" s="43">
        <v>0.0</v>
      </c>
      <c r="P52" s="41">
        <v>0.14305555555555555</v>
      </c>
      <c r="Q52" s="11">
        <v>20.0</v>
      </c>
      <c r="R52" s="42">
        <v>0.12569444444444444</v>
      </c>
      <c r="S52" s="13">
        <v>0.08333333333333333</v>
      </c>
      <c r="T52" s="42">
        <v>0.04513888888888889</v>
      </c>
      <c r="U52" s="42">
        <v>0.04791666666666667</v>
      </c>
      <c r="V52" s="45">
        <v>-0.029861111111111113</v>
      </c>
      <c r="W52" s="15">
        <v>-0.030555555555555555</v>
      </c>
      <c r="X52" s="15">
        <v>-0.04097222222222222</v>
      </c>
      <c r="Y52" s="16" t="s">
        <v>2766</v>
      </c>
    </row>
    <row r="53">
      <c r="A53" s="25" t="s">
        <v>0</v>
      </c>
      <c r="B53" s="26" t="s">
        <v>1</v>
      </c>
      <c r="C53" s="27" t="s">
        <v>2</v>
      </c>
      <c r="D53" s="27" t="s">
        <v>3</v>
      </c>
      <c r="E53" s="27" t="s">
        <v>4</v>
      </c>
      <c r="F53" s="27" t="s">
        <v>5</v>
      </c>
      <c r="G53" s="27" t="s">
        <v>6</v>
      </c>
      <c r="H53" s="28" t="s">
        <v>7</v>
      </c>
      <c r="I53" s="27" t="s">
        <v>8</v>
      </c>
      <c r="J53" s="27" t="s">
        <v>9</v>
      </c>
      <c r="K53" s="27" t="s">
        <v>10</v>
      </c>
      <c r="L53" s="27" t="s">
        <v>11</v>
      </c>
      <c r="M53" s="28" t="s">
        <v>12</v>
      </c>
      <c r="N53" s="27" t="s">
        <v>13</v>
      </c>
      <c r="O53" s="27" t="s">
        <v>14</v>
      </c>
      <c r="P53" s="28" t="s">
        <v>15</v>
      </c>
      <c r="Q53" s="27" t="s">
        <v>16</v>
      </c>
      <c r="R53" s="27" t="s">
        <v>17</v>
      </c>
      <c r="S53" s="28" t="s">
        <v>18</v>
      </c>
      <c r="T53" s="27" t="s">
        <v>19</v>
      </c>
      <c r="U53" s="27" t="s">
        <v>20</v>
      </c>
      <c r="V53" s="29" t="str">
        <f>+/-</f>
        <v>#ERROR!</v>
      </c>
      <c r="W53" s="29" t="str">
        <f>+/-90</f>
        <v>#ERROR!</v>
      </c>
      <c r="X53" s="27" t="s">
        <v>21</v>
      </c>
      <c r="Y53" s="28" t="s">
        <v>22</v>
      </c>
    </row>
    <row r="54">
      <c r="A54" s="6">
        <v>51.0</v>
      </c>
      <c r="B54" s="7" t="s">
        <v>2767</v>
      </c>
      <c r="C54" s="8" t="s">
        <v>2768</v>
      </c>
      <c r="D54" s="9" t="s">
        <v>66</v>
      </c>
      <c r="E54" s="7" t="s">
        <v>2769</v>
      </c>
      <c r="F54" s="9">
        <v>20.0</v>
      </c>
      <c r="G54" s="9">
        <v>2003.0</v>
      </c>
      <c r="H54" s="10">
        <v>16.0</v>
      </c>
      <c r="I54" s="11">
        <v>1.228</v>
      </c>
      <c r="J54" s="11">
        <v>77.0</v>
      </c>
      <c r="K54" s="11" t="s">
        <v>308</v>
      </c>
      <c r="L54" s="11" t="s">
        <v>309</v>
      </c>
      <c r="M54" s="41">
        <v>0.06666666666666667</v>
      </c>
      <c r="N54" s="11">
        <v>89.0</v>
      </c>
      <c r="O54" s="42">
        <v>0.06111111111111111</v>
      </c>
      <c r="P54" s="41">
        <v>0.015277777777777777</v>
      </c>
      <c r="Q54" s="11">
        <v>22.0</v>
      </c>
      <c r="R54" s="42">
        <v>0.004861111111111111</v>
      </c>
      <c r="S54" s="13">
        <v>0.08055555555555556</v>
      </c>
      <c r="T54" s="42">
        <v>0.06388888888888888</v>
      </c>
      <c r="U54" s="42">
        <v>0.06666666666666667</v>
      </c>
      <c r="V54" s="44">
        <v>0.025694444444444443</v>
      </c>
      <c r="W54" s="14" t="str">
        <f>+0.37</f>
        <v>#ERROR!</v>
      </c>
      <c r="X54" s="14" t="str">
        <f>+0.55</f>
        <v>#ERROR!</v>
      </c>
      <c r="Y54" s="16" t="s">
        <v>2770</v>
      </c>
    </row>
    <row r="55">
      <c r="A55" s="6">
        <v>52.0</v>
      </c>
      <c r="B55" s="7" t="s">
        <v>2771</v>
      </c>
      <c r="C55" s="8" t="s">
        <v>2772</v>
      </c>
      <c r="D55" s="9" t="s">
        <v>73</v>
      </c>
      <c r="E55" s="7" t="s">
        <v>2773</v>
      </c>
      <c r="F55" s="9">
        <v>21.0</v>
      </c>
      <c r="G55" s="9">
        <v>2002.0</v>
      </c>
      <c r="H55" s="18">
        <v>0.0</v>
      </c>
      <c r="I55" s="19"/>
      <c r="J55" s="19"/>
      <c r="K55" s="19"/>
      <c r="L55" s="19"/>
      <c r="M55" s="18">
        <v>0.0</v>
      </c>
      <c r="N55" s="19"/>
      <c r="O55" s="12">
        <v>0.0</v>
      </c>
      <c r="P55" s="18">
        <v>0.0</v>
      </c>
      <c r="Q55" s="19"/>
      <c r="R55" s="11">
        <v>10.0</v>
      </c>
      <c r="S55" s="24"/>
      <c r="T55" s="19"/>
      <c r="U55" s="19"/>
      <c r="V55" s="19"/>
      <c r="W55" s="19"/>
      <c r="X55" s="19"/>
      <c r="Y55" s="16" t="s">
        <v>2774</v>
      </c>
    </row>
    <row r="56">
      <c r="A56" s="6">
        <v>53.0</v>
      </c>
      <c r="B56" s="7" t="s">
        <v>2775</v>
      </c>
      <c r="C56" s="8" t="s">
        <v>2776</v>
      </c>
      <c r="D56" s="9" t="s">
        <v>32</v>
      </c>
      <c r="E56" s="7" t="s">
        <v>2777</v>
      </c>
      <c r="F56" s="9">
        <v>17.0</v>
      </c>
      <c r="G56" s="9">
        <v>2006.0</v>
      </c>
      <c r="H56" s="10">
        <v>4.0</v>
      </c>
      <c r="I56" s="11">
        <v>33.0</v>
      </c>
      <c r="J56" s="11">
        <v>8.0</v>
      </c>
      <c r="K56" s="11" t="s">
        <v>118</v>
      </c>
      <c r="L56" s="11" t="s">
        <v>318</v>
      </c>
      <c r="M56" s="46">
        <v>0.0</v>
      </c>
      <c r="N56" s="19"/>
      <c r="O56" s="43">
        <v>0.0</v>
      </c>
      <c r="P56" s="47" t="s">
        <v>268</v>
      </c>
      <c r="Q56" s="11">
        <v>8.0</v>
      </c>
      <c r="R56" s="48" t="s">
        <v>510</v>
      </c>
      <c r="S56" s="13">
        <v>0.017361111111111112</v>
      </c>
      <c r="T56" s="43">
        <v>0.0</v>
      </c>
      <c r="U56" s="43">
        <v>0.0</v>
      </c>
      <c r="V56" s="43">
        <v>0.0</v>
      </c>
      <c r="W56" s="21">
        <v>0.0</v>
      </c>
      <c r="X56" s="14" t="str">
        <f>+0.34</f>
        <v>#ERROR!</v>
      </c>
      <c r="Y56" s="16" t="s">
        <v>2778</v>
      </c>
    </row>
    <row r="57">
      <c r="A57" s="6">
        <v>54.0</v>
      </c>
      <c r="B57" s="7" t="s">
        <v>2779</v>
      </c>
      <c r="C57" s="8" t="s">
        <v>2780</v>
      </c>
      <c r="D57" s="9" t="s">
        <v>52</v>
      </c>
      <c r="E57" s="7" t="s">
        <v>2781</v>
      </c>
      <c r="F57" s="9">
        <v>24.0</v>
      </c>
      <c r="G57" s="9">
        <v>1999.0</v>
      </c>
      <c r="H57" s="10">
        <v>28.0</v>
      </c>
      <c r="I57" s="11">
        <v>2.334</v>
      </c>
      <c r="J57" s="11">
        <v>83.0</v>
      </c>
      <c r="K57" s="11" t="s">
        <v>323</v>
      </c>
      <c r="L57" s="11" t="s">
        <v>324</v>
      </c>
      <c r="M57" s="41">
        <v>0.041666666666666664</v>
      </c>
      <c r="N57" s="11">
        <v>88.0</v>
      </c>
      <c r="O57" s="42">
        <v>0.059027777777777776</v>
      </c>
      <c r="P57" s="41">
        <v>0.005555555555555556</v>
      </c>
      <c r="Q57" s="11">
        <v>29.0</v>
      </c>
      <c r="R57" s="43">
        <v>0.0</v>
      </c>
      <c r="S57" s="13">
        <v>0.10347222222222222</v>
      </c>
      <c r="T57" s="42">
        <v>0.10277777777777777</v>
      </c>
      <c r="U57" s="42">
        <v>0.050694444444444445</v>
      </c>
      <c r="V57" s="44">
        <v>0.07916666666666666</v>
      </c>
      <c r="W57" s="14" t="str">
        <f>+1.54</f>
        <v>#ERROR!</v>
      </c>
      <c r="X57" s="14" t="str">
        <f>+1.05</f>
        <v>#ERROR!</v>
      </c>
      <c r="Y57" s="16" t="s">
        <v>2782</v>
      </c>
    </row>
    <row r="58">
      <c r="A58" s="6">
        <v>55.0</v>
      </c>
      <c r="B58" s="7" t="s">
        <v>2783</v>
      </c>
      <c r="C58" s="8" t="s">
        <v>2784</v>
      </c>
      <c r="D58" s="9" t="s">
        <v>52</v>
      </c>
      <c r="E58" s="7" t="s">
        <v>2785</v>
      </c>
      <c r="F58" s="9">
        <v>30.0</v>
      </c>
      <c r="G58" s="9">
        <v>1993.0</v>
      </c>
      <c r="H58" s="10">
        <v>17.0</v>
      </c>
      <c r="I58" s="11">
        <v>967.0</v>
      </c>
      <c r="J58" s="11">
        <v>57.0</v>
      </c>
      <c r="K58" s="11" t="s">
        <v>329</v>
      </c>
      <c r="L58" s="11" t="s">
        <v>330</v>
      </c>
      <c r="M58" s="41">
        <v>0.04375</v>
      </c>
      <c r="N58" s="11">
        <v>75.0</v>
      </c>
      <c r="O58" s="42">
        <v>0.019444444444444445</v>
      </c>
      <c r="P58" s="41">
        <v>0.03888888888888889</v>
      </c>
      <c r="Q58" s="11">
        <v>24.0</v>
      </c>
      <c r="R58" s="42">
        <v>0.025694444444444443</v>
      </c>
      <c r="S58" s="13">
        <v>0.09583333333333334</v>
      </c>
      <c r="T58" s="42">
        <v>0.10833333333333334</v>
      </c>
      <c r="U58" s="42">
        <v>0.06458333333333334</v>
      </c>
      <c r="V58" s="44">
        <v>0.04375</v>
      </c>
      <c r="W58" s="14" t="str">
        <f>+1.02</f>
        <v>#ERROR!</v>
      </c>
      <c r="X58" s="15">
        <v>-0.04097222222222222</v>
      </c>
      <c r="Y58" s="16" t="s">
        <v>2786</v>
      </c>
    </row>
    <row r="59">
      <c r="A59" s="6">
        <v>56.0</v>
      </c>
      <c r="B59" s="7" t="s">
        <v>2787</v>
      </c>
      <c r="C59" s="8" t="s">
        <v>2788</v>
      </c>
      <c r="D59" s="9" t="s">
        <v>284</v>
      </c>
      <c r="E59" s="7" t="s">
        <v>2789</v>
      </c>
      <c r="F59" s="9">
        <v>24.0</v>
      </c>
      <c r="G59" s="9">
        <v>1999.0</v>
      </c>
      <c r="H59" s="10">
        <v>15.0</v>
      </c>
      <c r="I59" s="11">
        <v>1.305</v>
      </c>
      <c r="J59" s="11">
        <v>87.0</v>
      </c>
      <c r="K59" s="11" t="s">
        <v>335</v>
      </c>
      <c r="L59" s="11" t="s">
        <v>141</v>
      </c>
      <c r="M59" s="41">
        <v>0.04375</v>
      </c>
      <c r="N59" s="11">
        <v>87.0</v>
      </c>
      <c r="O59" s="42">
        <v>0.06736111111111111</v>
      </c>
      <c r="P59" s="46">
        <v>0.0</v>
      </c>
      <c r="Q59" s="19"/>
      <c r="R59" s="43">
        <v>0.0</v>
      </c>
      <c r="S59" s="13">
        <v>0.05555555555555555</v>
      </c>
      <c r="T59" s="42">
        <v>0.06319444444444444</v>
      </c>
      <c r="U59" s="42">
        <v>0.07777777777777778</v>
      </c>
      <c r="V59" s="45">
        <v>-0.014583333333333334</v>
      </c>
      <c r="W59" s="15">
        <v>-0.014583333333333334</v>
      </c>
      <c r="X59" s="14" t="str">
        <f>+0.24</f>
        <v>#ERROR!</v>
      </c>
      <c r="Y59" s="16" t="s">
        <v>2790</v>
      </c>
    </row>
    <row r="60">
      <c r="A60" s="6">
        <v>57.0</v>
      </c>
      <c r="B60" s="7" t="s">
        <v>2791</v>
      </c>
      <c r="C60" s="8" t="s">
        <v>2792</v>
      </c>
      <c r="D60" s="9" t="s">
        <v>66</v>
      </c>
      <c r="E60" s="7" t="s">
        <v>2793</v>
      </c>
      <c r="F60" s="9">
        <v>24.0</v>
      </c>
      <c r="G60" s="9">
        <v>1999.0</v>
      </c>
      <c r="H60" s="10">
        <v>6.0</v>
      </c>
      <c r="I60" s="11">
        <v>318.0</v>
      </c>
      <c r="J60" s="11">
        <v>53.0</v>
      </c>
      <c r="K60" s="11" t="s">
        <v>88</v>
      </c>
      <c r="L60" s="11" t="s">
        <v>340</v>
      </c>
      <c r="M60" s="41">
        <v>0.059722222222222225</v>
      </c>
      <c r="N60" s="11">
        <v>85.0</v>
      </c>
      <c r="O60" s="42">
        <v>0.03958333333333333</v>
      </c>
      <c r="P60" s="41">
        <v>0.059722222222222225</v>
      </c>
      <c r="Q60" s="11">
        <v>21.0</v>
      </c>
      <c r="R60" s="42">
        <v>0.10347222222222222</v>
      </c>
      <c r="S60" s="13">
        <v>0.08819444444444445</v>
      </c>
      <c r="T60" s="42">
        <v>0.059722222222222225</v>
      </c>
      <c r="U60" s="42">
        <v>0.07152777777777777</v>
      </c>
      <c r="V60" s="45">
        <v>-0.03958333333333333</v>
      </c>
      <c r="W60" s="15">
        <v>-0.03958333333333333</v>
      </c>
      <c r="X60" s="15">
        <v>-0.043055555555555555</v>
      </c>
      <c r="Y60" s="16" t="s">
        <v>2794</v>
      </c>
    </row>
    <row r="61">
      <c r="A61" s="6">
        <v>58.0</v>
      </c>
      <c r="B61" s="7" t="s">
        <v>2795</v>
      </c>
      <c r="C61" s="8" t="s">
        <v>2796</v>
      </c>
      <c r="D61" s="9" t="s">
        <v>32</v>
      </c>
      <c r="E61" s="7" t="s">
        <v>2797</v>
      </c>
      <c r="F61" s="9">
        <v>28.0</v>
      </c>
      <c r="G61" s="9">
        <v>1995.0</v>
      </c>
      <c r="H61" s="10">
        <v>26.0</v>
      </c>
      <c r="I61" s="11">
        <v>2.209</v>
      </c>
      <c r="J61" s="11">
        <v>85.0</v>
      </c>
      <c r="K61" s="11" t="s">
        <v>345</v>
      </c>
      <c r="L61" s="11" t="s">
        <v>346</v>
      </c>
      <c r="M61" s="41">
        <v>0.043055555555555555</v>
      </c>
      <c r="N61" s="11">
        <v>87.0</v>
      </c>
      <c r="O61" s="42">
        <v>0.050694444444444445</v>
      </c>
      <c r="P61" s="41">
        <v>0.002777777777777778</v>
      </c>
      <c r="Q61" s="11">
        <v>45.0</v>
      </c>
      <c r="R61" s="43">
        <v>0.0</v>
      </c>
      <c r="S61" s="13">
        <v>0.09513888888888888</v>
      </c>
      <c r="T61" s="42">
        <v>0.08263888888888889</v>
      </c>
      <c r="U61" s="42">
        <v>0.04861111111111111</v>
      </c>
      <c r="V61" s="44">
        <v>0.034027777777777775</v>
      </c>
      <c r="W61" s="14" t="str">
        <f>+0.49</f>
        <v>#ERROR!</v>
      </c>
      <c r="X61" s="14" t="str">
        <f>+1.04</f>
        <v>#ERROR!</v>
      </c>
      <c r="Y61" s="16" t="s">
        <v>2798</v>
      </c>
    </row>
    <row r="62">
      <c r="A62" s="6">
        <v>59.0</v>
      </c>
      <c r="B62" s="7" t="s">
        <v>2799</v>
      </c>
      <c r="C62" s="8" t="s">
        <v>2800</v>
      </c>
      <c r="D62" s="9" t="s">
        <v>73</v>
      </c>
      <c r="E62" s="7" t="s">
        <v>2801</v>
      </c>
      <c r="F62" s="9">
        <v>21.0</v>
      </c>
      <c r="G62" s="9">
        <v>2002.0</v>
      </c>
      <c r="H62" s="10">
        <v>3.0</v>
      </c>
      <c r="I62" s="11">
        <v>270.0</v>
      </c>
      <c r="J62" s="11">
        <v>90.0</v>
      </c>
      <c r="K62" s="11" t="s">
        <v>268</v>
      </c>
      <c r="L62" s="11" t="s">
        <v>351</v>
      </c>
      <c r="M62" s="41">
        <v>0.041666666666666664</v>
      </c>
      <c r="N62" s="11">
        <v>90.0</v>
      </c>
      <c r="O62" s="42">
        <v>0.041666666666666664</v>
      </c>
      <c r="P62" s="46">
        <v>0.0</v>
      </c>
      <c r="Q62" s="19"/>
      <c r="R62" s="42">
        <v>0.12986111111111112</v>
      </c>
      <c r="S62" s="13">
        <v>0.06458333333333334</v>
      </c>
      <c r="T62" s="42">
        <v>0.125</v>
      </c>
      <c r="U62" s="42">
        <v>0.08333333333333333</v>
      </c>
      <c r="V62" s="44">
        <v>0.041666666666666664</v>
      </c>
      <c r="W62" s="14" t="str">
        <f>+1.00</f>
        <v>#ERROR!</v>
      </c>
      <c r="X62" s="14" t="str">
        <f>+1.37</f>
        <v>#ERROR!</v>
      </c>
      <c r="Y62" s="16" t="s">
        <v>2802</v>
      </c>
    </row>
    <row r="63">
      <c r="A63" s="6">
        <v>60.0</v>
      </c>
      <c r="B63" s="7" t="s">
        <v>2803</v>
      </c>
      <c r="C63" s="8" t="s">
        <v>2804</v>
      </c>
      <c r="D63" s="9" t="s">
        <v>52</v>
      </c>
      <c r="E63" s="7" t="s">
        <v>2805</v>
      </c>
      <c r="F63" s="9">
        <v>17.0</v>
      </c>
      <c r="G63" s="9">
        <v>2006.0</v>
      </c>
      <c r="H63" s="10">
        <v>12.0</v>
      </c>
      <c r="I63" s="11">
        <v>923.0</v>
      </c>
      <c r="J63" s="11">
        <v>77.0</v>
      </c>
      <c r="K63" s="11" t="s">
        <v>356</v>
      </c>
      <c r="L63" s="11" t="s">
        <v>357</v>
      </c>
      <c r="M63" s="41">
        <v>0.04652777777777778</v>
      </c>
      <c r="N63" s="11">
        <v>81.0</v>
      </c>
      <c r="O63" s="42">
        <v>0.027083333333333334</v>
      </c>
      <c r="P63" s="41">
        <v>0.006944444444444444</v>
      </c>
      <c r="Q63" s="11">
        <v>33.0</v>
      </c>
      <c r="R63" s="43">
        <v>0.0</v>
      </c>
      <c r="S63" s="13">
        <v>0.08888888888888889</v>
      </c>
      <c r="T63" s="42">
        <v>0.10694444444444444</v>
      </c>
      <c r="U63" s="42">
        <v>0.06736111111111111</v>
      </c>
      <c r="V63" s="44">
        <v>0.06736111111111111</v>
      </c>
      <c r="W63" s="14" t="str">
        <f>+0.98</f>
        <v>#ERROR!</v>
      </c>
      <c r="X63" s="14" t="str">
        <f>+0.98</f>
        <v>#ERROR!</v>
      </c>
      <c r="Y63" s="16" t="s">
        <v>2806</v>
      </c>
    </row>
    <row r="64">
      <c r="A64" s="6">
        <v>61.0</v>
      </c>
      <c r="B64" s="7" t="s">
        <v>2807</v>
      </c>
      <c r="C64" s="8" t="s">
        <v>2808</v>
      </c>
      <c r="D64" s="9" t="s">
        <v>66</v>
      </c>
      <c r="E64" s="7" t="s">
        <v>2809</v>
      </c>
      <c r="F64" s="9">
        <v>19.0</v>
      </c>
      <c r="G64" s="9">
        <v>2004.0</v>
      </c>
      <c r="H64" s="10">
        <v>2.0</v>
      </c>
      <c r="I64" s="11">
        <v>78.0</v>
      </c>
      <c r="J64" s="11">
        <v>39.0</v>
      </c>
      <c r="K64" s="11" t="s">
        <v>362</v>
      </c>
      <c r="L64" s="11" t="s">
        <v>194</v>
      </c>
      <c r="M64" s="46">
        <v>0.0</v>
      </c>
      <c r="N64" s="19"/>
      <c r="O64" s="43">
        <v>0.0</v>
      </c>
      <c r="P64" s="41">
        <v>0.09861111111111111</v>
      </c>
      <c r="Q64" s="11">
        <v>39.0</v>
      </c>
      <c r="R64" s="42">
        <v>0.2965277777777778</v>
      </c>
      <c r="S64" s="13">
        <v>0.0763888888888889</v>
      </c>
      <c r="T64" s="43">
        <v>0.0</v>
      </c>
      <c r="U64" s="42">
        <v>0.14791666666666667</v>
      </c>
      <c r="V64" s="45">
        <v>-0.14791666666666667</v>
      </c>
      <c r="W64" s="15">
        <v>-0.15694444444444444</v>
      </c>
      <c r="X64" s="15">
        <v>-0.18819444444444444</v>
      </c>
      <c r="Y64" s="16" t="s">
        <v>2810</v>
      </c>
    </row>
    <row r="65">
      <c r="A65" s="6">
        <v>62.0</v>
      </c>
      <c r="B65" s="7" t="s">
        <v>2811</v>
      </c>
      <c r="C65" s="8" t="s">
        <v>2812</v>
      </c>
      <c r="D65" s="9" t="s">
        <v>66</v>
      </c>
      <c r="E65" s="7" t="s">
        <v>2813</v>
      </c>
      <c r="F65" s="9">
        <v>19.0</v>
      </c>
      <c r="G65" s="9">
        <v>2004.0</v>
      </c>
      <c r="H65" s="10">
        <v>8.0</v>
      </c>
      <c r="I65" s="11">
        <v>325.0</v>
      </c>
      <c r="J65" s="11">
        <v>41.0</v>
      </c>
      <c r="K65" s="11" t="s">
        <v>76</v>
      </c>
      <c r="L65" s="11" t="s">
        <v>367</v>
      </c>
      <c r="M65" s="41">
        <v>0.049305555555555554</v>
      </c>
      <c r="N65" s="11">
        <v>63.0</v>
      </c>
      <c r="O65" s="43">
        <v>0.0</v>
      </c>
      <c r="P65" s="41">
        <v>0.049305555555555554</v>
      </c>
      <c r="Q65" s="11">
        <v>19.0</v>
      </c>
      <c r="R65" s="42">
        <v>0.03888888888888889</v>
      </c>
      <c r="S65" s="13">
        <v>0.04375</v>
      </c>
      <c r="T65" s="42">
        <v>0.05763888888888889</v>
      </c>
      <c r="U65" s="42">
        <v>0.03888888888888889</v>
      </c>
      <c r="V65" s="44">
        <v>0.019444444444444445</v>
      </c>
      <c r="W65" s="14" t="str">
        <f>+0.28</f>
        <v>#ERROR!</v>
      </c>
      <c r="X65" s="14" t="str">
        <f>+0.58</f>
        <v>#ERROR!</v>
      </c>
      <c r="Y65" s="16" t="s">
        <v>2814</v>
      </c>
    </row>
    <row r="66">
      <c r="A66" s="6">
        <v>63.0</v>
      </c>
      <c r="B66" s="7" t="s">
        <v>2815</v>
      </c>
      <c r="C66" s="8" t="s">
        <v>2816</v>
      </c>
      <c r="D66" s="9" t="s">
        <v>59</v>
      </c>
      <c r="E66" s="7" t="s">
        <v>2817</v>
      </c>
      <c r="F66" s="9">
        <v>32.0</v>
      </c>
      <c r="G66" s="9">
        <v>1991.0</v>
      </c>
      <c r="H66" s="10">
        <v>28.0</v>
      </c>
      <c r="I66" s="11">
        <v>2.438</v>
      </c>
      <c r="J66" s="11">
        <v>87.0</v>
      </c>
      <c r="K66" s="11" t="s">
        <v>372</v>
      </c>
      <c r="L66" s="11" t="s">
        <v>373</v>
      </c>
      <c r="M66" s="41">
        <v>0.04375</v>
      </c>
      <c r="N66" s="11">
        <v>87.0</v>
      </c>
      <c r="O66" s="42">
        <v>0.059027777777777776</v>
      </c>
      <c r="P66" s="46">
        <v>0.0</v>
      </c>
      <c r="Q66" s="19"/>
      <c r="R66" s="42">
        <v>0.002777777777777778</v>
      </c>
      <c r="S66" s="13">
        <v>0.09861111111111111</v>
      </c>
      <c r="T66" s="42">
        <v>0.0875</v>
      </c>
      <c r="U66" s="42">
        <v>0.06180555555555556</v>
      </c>
      <c r="V66" s="44">
        <v>0.05347222222222222</v>
      </c>
      <c r="W66" s="14" t="str">
        <f>+0.78</f>
        <v>#ERROR!</v>
      </c>
      <c r="X66" s="14" t="str">
        <f>+0.09</f>
        <v>#ERROR!</v>
      </c>
      <c r="Y66" s="16" t="s">
        <v>2818</v>
      </c>
    </row>
    <row r="67">
      <c r="A67" s="6">
        <v>64.0</v>
      </c>
      <c r="B67" s="7" t="s">
        <v>2819</v>
      </c>
      <c r="C67" s="8" t="s">
        <v>2820</v>
      </c>
      <c r="D67" s="9" t="s">
        <v>59</v>
      </c>
      <c r="E67" s="7" t="s">
        <v>2821</v>
      </c>
      <c r="F67" s="9">
        <v>30.0</v>
      </c>
      <c r="G67" s="9">
        <v>1994.0</v>
      </c>
      <c r="H67" s="10">
        <v>20.0</v>
      </c>
      <c r="I67" s="11">
        <v>1.063</v>
      </c>
      <c r="J67" s="11">
        <v>53.0</v>
      </c>
      <c r="K67" s="11" t="s">
        <v>378</v>
      </c>
      <c r="L67" s="11" t="s">
        <v>88</v>
      </c>
      <c r="M67" s="41">
        <v>0.05486111111111111</v>
      </c>
      <c r="N67" s="11">
        <v>70.0</v>
      </c>
      <c r="O67" s="42">
        <v>0.011805555555555555</v>
      </c>
      <c r="P67" s="41">
        <v>0.035416666666666666</v>
      </c>
      <c r="Q67" s="11">
        <v>15.0</v>
      </c>
      <c r="R67" s="42">
        <v>0.005555555555555556</v>
      </c>
      <c r="S67" s="13">
        <v>0.08680555555555555</v>
      </c>
      <c r="T67" s="42">
        <v>0.08402777777777778</v>
      </c>
      <c r="U67" s="42">
        <v>0.10138888888888889</v>
      </c>
      <c r="V67" s="45">
        <v>-0.017361111111111112</v>
      </c>
      <c r="W67" s="15">
        <v>-0.017361111111111112</v>
      </c>
      <c r="X67" s="15">
        <v>-0.04791666666666667</v>
      </c>
      <c r="Y67" s="16" t="s">
        <v>2822</v>
      </c>
    </row>
    <row r="68">
      <c r="A68" s="6">
        <v>65.0</v>
      </c>
      <c r="B68" s="7" t="s">
        <v>2823</v>
      </c>
      <c r="C68" s="8" t="s">
        <v>2824</v>
      </c>
      <c r="D68" s="9" t="s">
        <v>32</v>
      </c>
      <c r="E68" s="7" t="s">
        <v>2825</v>
      </c>
      <c r="F68" s="9">
        <v>18.0</v>
      </c>
      <c r="G68" s="9">
        <v>2005.0</v>
      </c>
      <c r="H68" s="10">
        <v>4.0</v>
      </c>
      <c r="I68" s="11">
        <v>82.0</v>
      </c>
      <c r="J68" s="11">
        <v>21.0</v>
      </c>
      <c r="K68" s="11" t="s">
        <v>351</v>
      </c>
      <c r="L68" s="11" t="s">
        <v>194</v>
      </c>
      <c r="M68" s="46">
        <v>0.0</v>
      </c>
      <c r="N68" s="19"/>
      <c r="O68" s="43">
        <v>0.0</v>
      </c>
      <c r="P68" s="41">
        <v>0.19722222222222222</v>
      </c>
      <c r="Q68" s="11">
        <v>21.0</v>
      </c>
      <c r="R68" s="42">
        <v>0.2965277777777778</v>
      </c>
      <c r="S68" s="13">
        <v>0.052083333333333336</v>
      </c>
      <c r="T68" s="43">
        <v>0.0</v>
      </c>
      <c r="U68" s="42">
        <v>0.09861111111111111</v>
      </c>
      <c r="V68" s="45">
        <v>-0.09861111111111111</v>
      </c>
      <c r="W68" s="15">
        <v>-0.09722222222222222</v>
      </c>
      <c r="X68" s="15">
        <v>-0.10555555555555556</v>
      </c>
      <c r="Y68" s="16" t="s">
        <v>2826</v>
      </c>
    </row>
    <row r="69">
      <c r="A69" s="6">
        <v>66.0</v>
      </c>
      <c r="B69" s="7" t="s">
        <v>2827</v>
      </c>
      <c r="C69" s="8" t="s">
        <v>2828</v>
      </c>
      <c r="D69" s="9" t="s">
        <v>66</v>
      </c>
      <c r="E69" s="7" t="s">
        <v>2829</v>
      </c>
      <c r="F69" s="9">
        <v>28.0</v>
      </c>
      <c r="G69" s="9">
        <v>1995.0</v>
      </c>
      <c r="H69" s="10">
        <v>2.0</v>
      </c>
      <c r="I69" s="11">
        <v>7.0</v>
      </c>
      <c r="J69" s="11">
        <v>4.0</v>
      </c>
      <c r="K69" s="11" t="s">
        <v>195</v>
      </c>
      <c r="L69" s="11" t="s">
        <v>155</v>
      </c>
      <c r="M69" s="46">
        <v>0.0</v>
      </c>
      <c r="N69" s="19"/>
      <c r="O69" s="43">
        <v>0.0</v>
      </c>
      <c r="P69" s="47" t="s">
        <v>654</v>
      </c>
      <c r="Q69" s="11">
        <v>4.0</v>
      </c>
      <c r="R69" s="43">
        <v>0.0</v>
      </c>
      <c r="S69" s="13">
        <v>0.125</v>
      </c>
      <c r="T69" s="48" t="s">
        <v>268</v>
      </c>
      <c r="U69" s="43">
        <v>0.0</v>
      </c>
      <c r="V69" s="49" t="s">
        <v>268</v>
      </c>
      <c r="W69" s="14" t="str">
        <f>+12.86</f>
        <v>#ERROR!</v>
      </c>
      <c r="X69" s="14" t="str">
        <f>+12.82</f>
        <v>#ERROR!</v>
      </c>
      <c r="Y69" s="16" t="s">
        <v>2830</v>
      </c>
    </row>
    <row r="70">
      <c r="A70" s="6">
        <v>67.0</v>
      </c>
      <c r="B70" s="7" t="s">
        <v>2831</v>
      </c>
      <c r="C70" s="8" t="s">
        <v>2832</v>
      </c>
      <c r="D70" s="9" t="s">
        <v>73</v>
      </c>
      <c r="E70" s="7" t="s">
        <v>2833</v>
      </c>
      <c r="F70" s="9">
        <v>18.0</v>
      </c>
      <c r="G70" s="9">
        <v>2005.0</v>
      </c>
      <c r="H70" s="10">
        <v>16.0</v>
      </c>
      <c r="I70" s="11">
        <v>1.388</v>
      </c>
      <c r="J70" s="11">
        <v>87.0</v>
      </c>
      <c r="K70" s="11" t="s">
        <v>391</v>
      </c>
      <c r="L70" s="11" t="s">
        <v>392</v>
      </c>
      <c r="M70" s="41">
        <v>0.044444444444444446</v>
      </c>
      <c r="N70" s="11">
        <v>87.0</v>
      </c>
      <c r="O70" s="42">
        <v>0.06736111111111111</v>
      </c>
      <c r="P70" s="46">
        <v>0.0</v>
      </c>
      <c r="Q70" s="19"/>
      <c r="R70" s="42">
        <v>0.058333333333333334</v>
      </c>
      <c r="S70" s="13">
        <v>0.050694444444444445</v>
      </c>
      <c r="T70" s="42">
        <v>0.044444444444444446</v>
      </c>
      <c r="U70" s="42">
        <v>0.07152777777777777</v>
      </c>
      <c r="V70" s="45">
        <v>-0.027083333333333334</v>
      </c>
      <c r="W70" s="15">
        <v>-0.027083333333333334</v>
      </c>
      <c r="X70" s="15">
        <v>-0.007638888888888889</v>
      </c>
      <c r="Y70" s="16" t="s">
        <v>2834</v>
      </c>
    </row>
    <row r="71">
      <c r="A71" s="6">
        <v>68.0</v>
      </c>
      <c r="B71" s="7" t="s">
        <v>2835</v>
      </c>
      <c r="C71" s="8" t="s">
        <v>2836</v>
      </c>
      <c r="D71" s="9" t="s">
        <v>59</v>
      </c>
      <c r="E71" s="7" t="s">
        <v>2837</v>
      </c>
      <c r="F71" s="9">
        <v>24.0</v>
      </c>
      <c r="G71" s="9">
        <v>2000.0</v>
      </c>
      <c r="H71" s="10">
        <v>26.0</v>
      </c>
      <c r="I71" s="11">
        <v>926.0</v>
      </c>
      <c r="J71" s="11">
        <v>36.0</v>
      </c>
      <c r="K71" s="11" t="s">
        <v>397</v>
      </c>
      <c r="L71" s="11" t="s">
        <v>357</v>
      </c>
      <c r="M71" s="41">
        <v>0.05416666666666667</v>
      </c>
      <c r="N71" s="11">
        <v>80.0</v>
      </c>
      <c r="O71" s="42">
        <v>0.006944444444444444</v>
      </c>
      <c r="P71" s="41">
        <v>0.09375</v>
      </c>
      <c r="Q71" s="11">
        <v>16.0</v>
      </c>
      <c r="R71" s="42">
        <v>0.013194444444444444</v>
      </c>
      <c r="S71" s="13">
        <v>0.05</v>
      </c>
      <c r="T71" s="42">
        <v>0.06041666666666667</v>
      </c>
      <c r="U71" s="42">
        <v>0.1</v>
      </c>
      <c r="V71" s="45">
        <v>-0.06736111111111111</v>
      </c>
      <c r="W71" s="15">
        <v>-0.06736111111111111</v>
      </c>
      <c r="X71" s="15">
        <v>-0.02847222222222222</v>
      </c>
      <c r="Y71" s="16" t="s">
        <v>2838</v>
      </c>
    </row>
    <row r="72">
      <c r="A72" s="6">
        <v>69.0</v>
      </c>
      <c r="B72" s="7" t="s">
        <v>2839</v>
      </c>
      <c r="C72" s="8" t="s">
        <v>2840</v>
      </c>
      <c r="D72" s="9" t="s">
        <v>284</v>
      </c>
      <c r="E72" s="7" t="s">
        <v>2841</v>
      </c>
      <c r="F72" s="9">
        <v>27.0</v>
      </c>
      <c r="G72" s="9">
        <v>1996.0</v>
      </c>
      <c r="H72" s="10">
        <v>15.0</v>
      </c>
      <c r="I72" s="11">
        <v>747.0</v>
      </c>
      <c r="J72" s="11">
        <v>50.0</v>
      </c>
      <c r="K72" s="11" t="s">
        <v>402</v>
      </c>
      <c r="L72" s="11" t="s">
        <v>287</v>
      </c>
      <c r="M72" s="41">
        <v>0.06666666666666667</v>
      </c>
      <c r="N72" s="11">
        <v>81.0</v>
      </c>
      <c r="O72" s="42">
        <v>0.041666666666666664</v>
      </c>
      <c r="P72" s="41">
        <v>0.058333333333333334</v>
      </c>
      <c r="Q72" s="11">
        <v>15.0</v>
      </c>
      <c r="R72" s="42">
        <v>0.06666666666666667</v>
      </c>
      <c r="S72" s="13">
        <v>0.050694444444444445</v>
      </c>
      <c r="T72" s="42">
        <v>0.06458333333333334</v>
      </c>
      <c r="U72" s="42">
        <v>0.09513888888888888</v>
      </c>
      <c r="V72" s="45">
        <v>-0.058333333333333334</v>
      </c>
      <c r="W72" s="15">
        <v>-0.058333333333333334</v>
      </c>
      <c r="X72" s="15">
        <v>-0.058333333333333334</v>
      </c>
      <c r="Y72" s="16" t="s">
        <v>2842</v>
      </c>
    </row>
    <row r="73">
      <c r="A73" s="6">
        <v>70.0</v>
      </c>
      <c r="B73" s="7" t="s">
        <v>2843</v>
      </c>
      <c r="C73" s="8" t="s">
        <v>2844</v>
      </c>
      <c r="D73" s="9" t="s">
        <v>66</v>
      </c>
      <c r="E73" s="7" t="s">
        <v>2845</v>
      </c>
      <c r="F73" s="9">
        <v>28.0</v>
      </c>
      <c r="G73" s="9">
        <v>1995.0</v>
      </c>
      <c r="H73" s="10">
        <v>24.0</v>
      </c>
      <c r="I73" s="11">
        <v>1.348</v>
      </c>
      <c r="J73" s="11">
        <v>56.0</v>
      </c>
      <c r="K73" s="11" t="s">
        <v>407</v>
      </c>
      <c r="L73" s="11" t="s">
        <v>175</v>
      </c>
      <c r="M73" s="41">
        <v>0.05555555555555555</v>
      </c>
      <c r="N73" s="11">
        <v>90.0</v>
      </c>
      <c r="O73" s="42">
        <v>0.05555555555555555</v>
      </c>
      <c r="P73" s="41">
        <v>0.05555555555555555</v>
      </c>
      <c r="Q73" s="11">
        <v>22.0</v>
      </c>
      <c r="R73" s="42">
        <v>0.027777777777777776</v>
      </c>
      <c r="S73" s="13">
        <v>0.0763888888888889</v>
      </c>
      <c r="T73" s="42">
        <v>0.08819444444444445</v>
      </c>
      <c r="U73" s="42">
        <v>0.10625</v>
      </c>
      <c r="V73" s="45">
        <v>-0.01875</v>
      </c>
      <c r="W73" s="15">
        <v>-0.01875</v>
      </c>
      <c r="X73" s="15">
        <v>-0.06041666666666667</v>
      </c>
      <c r="Y73" s="16" t="s">
        <v>2846</v>
      </c>
    </row>
    <row r="74">
      <c r="A74" s="6">
        <v>71.0</v>
      </c>
      <c r="B74" s="7" t="s">
        <v>2847</v>
      </c>
      <c r="C74" s="8" t="s">
        <v>2848</v>
      </c>
      <c r="D74" s="9" t="s">
        <v>73</v>
      </c>
      <c r="E74" s="7" t="s">
        <v>2849</v>
      </c>
      <c r="F74" s="9">
        <v>30.0</v>
      </c>
      <c r="G74" s="9">
        <v>1993.0</v>
      </c>
      <c r="H74" s="10">
        <v>2.0</v>
      </c>
      <c r="I74" s="11">
        <v>180.0</v>
      </c>
      <c r="J74" s="11">
        <v>90.0</v>
      </c>
      <c r="K74" s="11" t="s">
        <v>412</v>
      </c>
      <c r="L74" s="11" t="s">
        <v>413</v>
      </c>
      <c r="M74" s="41">
        <v>0.041666666666666664</v>
      </c>
      <c r="N74" s="11">
        <v>90.0</v>
      </c>
      <c r="O74" s="42">
        <v>0.041666666666666664</v>
      </c>
      <c r="P74" s="46">
        <v>0.0</v>
      </c>
      <c r="Q74" s="19"/>
      <c r="R74" s="48" t="s">
        <v>1335</v>
      </c>
      <c r="S74" s="20">
        <v>0.0</v>
      </c>
      <c r="T74" s="43">
        <v>0.0</v>
      </c>
      <c r="U74" s="42">
        <v>0.041666666666666664</v>
      </c>
      <c r="V74" s="45">
        <v>-0.041666666666666664</v>
      </c>
      <c r="W74" s="15">
        <v>-0.041666666666666664</v>
      </c>
      <c r="X74" s="15">
        <v>-0.10347222222222222</v>
      </c>
      <c r="Y74" s="16" t="s">
        <v>2850</v>
      </c>
    </row>
    <row r="75">
      <c r="A75" s="6">
        <v>72.0</v>
      </c>
      <c r="B75" s="7" t="s">
        <v>2851</v>
      </c>
      <c r="C75" s="8" t="s">
        <v>2852</v>
      </c>
      <c r="D75" s="9" t="s">
        <v>52</v>
      </c>
      <c r="E75" s="7" t="s">
        <v>2853</v>
      </c>
      <c r="F75" s="9">
        <v>30.0</v>
      </c>
      <c r="G75" s="9">
        <v>1993.0</v>
      </c>
      <c r="H75" s="10">
        <v>5.0</v>
      </c>
      <c r="I75" s="11">
        <v>84.0</v>
      </c>
      <c r="J75" s="11">
        <v>17.0</v>
      </c>
      <c r="K75" s="11" t="s">
        <v>418</v>
      </c>
      <c r="L75" s="11" t="s">
        <v>194</v>
      </c>
      <c r="M75" s="46">
        <v>0.0</v>
      </c>
      <c r="N75" s="19"/>
      <c r="O75" s="43">
        <v>0.0</v>
      </c>
      <c r="P75" s="41">
        <v>0.24722222222222223</v>
      </c>
      <c r="Q75" s="11">
        <v>17.0</v>
      </c>
      <c r="R75" s="48" t="s">
        <v>293</v>
      </c>
      <c r="S75" s="13">
        <v>0.09722222222222222</v>
      </c>
      <c r="T75" s="42">
        <v>0.049305555555555554</v>
      </c>
      <c r="U75" s="42">
        <v>0.19722222222222222</v>
      </c>
      <c r="V75" s="45">
        <v>-0.14791666666666667</v>
      </c>
      <c r="W75" s="15">
        <v>-0.13958333333333334</v>
      </c>
      <c r="X75" s="15">
        <v>-0.13194444444444445</v>
      </c>
      <c r="Y75" s="16" t="s">
        <v>2854</v>
      </c>
    </row>
    <row r="76">
      <c r="A76" s="6">
        <v>73.0</v>
      </c>
      <c r="B76" s="7" t="s">
        <v>2855</v>
      </c>
      <c r="C76" s="8" t="s">
        <v>2856</v>
      </c>
      <c r="D76" s="9" t="s">
        <v>59</v>
      </c>
      <c r="E76" s="7" t="s">
        <v>2857</v>
      </c>
      <c r="F76" s="9">
        <v>20.0</v>
      </c>
      <c r="G76" s="9">
        <v>2003.0</v>
      </c>
      <c r="H76" s="10">
        <v>25.0</v>
      </c>
      <c r="I76" s="11">
        <v>1.274</v>
      </c>
      <c r="J76" s="11">
        <v>51.0</v>
      </c>
      <c r="K76" s="11" t="s">
        <v>423</v>
      </c>
      <c r="L76" s="11" t="s">
        <v>41</v>
      </c>
      <c r="M76" s="41">
        <v>0.06875</v>
      </c>
      <c r="N76" s="11">
        <v>75.0</v>
      </c>
      <c r="O76" s="42">
        <v>0.019444444444444445</v>
      </c>
      <c r="P76" s="41">
        <v>0.05347222222222222</v>
      </c>
      <c r="Q76" s="11">
        <v>20.0</v>
      </c>
      <c r="R76" s="42">
        <v>0.019444444444444445</v>
      </c>
      <c r="S76" s="13">
        <v>0.08888888888888889</v>
      </c>
      <c r="T76" s="42">
        <v>0.09583333333333334</v>
      </c>
      <c r="U76" s="42">
        <v>0.059027777777777776</v>
      </c>
      <c r="V76" s="44">
        <v>0.06527777777777778</v>
      </c>
      <c r="W76" s="14" t="str">
        <f>+1.34</f>
        <v>#ERROR!</v>
      </c>
      <c r="X76" s="15">
        <v>-0.007638888888888889</v>
      </c>
      <c r="Y76" s="16" t="s">
        <v>2858</v>
      </c>
    </row>
    <row r="77">
      <c r="A77" s="6">
        <v>74.0</v>
      </c>
      <c r="B77" s="7" t="s">
        <v>2859</v>
      </c>
      <c r="C77" s="8" t="s">
        <v>2860</v>
      </c>
      <c r="D77" s="9" t="s">
        <v>52</v>
      </c>
      <c r="E77" s="7" t="s">
        <v>2861</v>
      </c>
      <c r="F77" s="9">
        <v>19.0</v>
      </c>
      <c r="G77" s="9">
        <v>2004.0</v>
      </c>
      <c r="H77" s="10">
        <v>4.0</v>
      </c>
      <c r="I77" s="11">
        <v>62.0</v>
      </c>
      <c r="J77" s="11">
        <v>16.0</v>
      </c>
      <c r="K77" s="11" t="s">
        <v>207</v>
      </c>
      <c r="L77" s="11" t="s">
        <v>180</v>
      </c>
      <c r="M77" s="41">
        <v>0.07152777777777777</v>
      </c>
      <c r="N77" s="11">
        <v>45.0</v>
      </c>
      <c r="O77" s="43">
        <v>0.0</v>
      </c>
      <c r="P77" s="41">
        <v>0.18680555555555556</v>
      </c>
      <c r="Q77" s="11">
        <v>6.0</v>
      </c>
      <c r="R77" s="42">
        <v>0.18680555555555556</v>
      </c>
      <c r="S77" s="13">
        <v>0.059027777777777776</v>
      </c>
      <c r="T77" s="43">
        <v>0.0</v>
      </c>
      <c r="U77" s="42">
        <v>0.14305555555555555</v>
      </c>
      <c r="V77" s="45">
        <v>-0.14305555555555555</v>
      </c>
      <c r="W77" s="15">
        <v>-0.14583333333333334</v>
      </c>
      <c r="X77" s="15">
        <v>-0.10138888888888889</v>
      </c>
      <c r="Y77" s="16" t="s">
        <v>2862</v>
      </c>
    </row>
    <row r="78">
      <c r="A78" s="6">
        <v>75.0</v>
      </c>
      <c r="B78" s="7" t="s">
        <v>2863</v>
      </c>
      <c r="C78" s="8" t="s">
        <v>2864</v>
      </c>
      <c r="D78" s="9" t="s">
        <v>284</v>
      </c>
      <c r="E78" s="7" t="s">
        <v>2865</v>
      </c>
      <c r="F78" s="9">
        <v>22.0</v>
      </c>
      <c r="G78" s="9">
        <v>2001.0</v>
      </c>
      <c r="H78" s="10">
        <v>17.0</v>
      </c>
      <c r="I78" s="11">
        <v>1.513</v>
      </c>
      <c r="J78" s="11">
        <v>89.0</v>
      </c>
      <c r="K78" s="11" t="s">
        <v>432</v>
      </c>
      <c r="L78" s="11" t="s">
        <v>433</v>
      </c>
      <c r="M78" s="41">
        <v>0.04236111111111111</v>
      </c>
      <c r="N78" s="11">
        <v>89.0</v>
      </c>
      <c r="O78" s="42">
        <v>0.05763888888888889</v>
      </c>
      <c r="P78" s="46">
        <v>0.0</v>
      </c>
      <c r="Q78" s="19"/>
      <c r="R78" s="43">
        <v>0.0</v>
      </c>
      <c r="S78" s="13">
        <v>0.06111111111111111</v>
      </c>
      <c r="T78" s="42">
        <v>0.05763888888888889</v>
      </c>
      <c r="U78" s="42">
        <v>0.0798611111111111</v>
      </c>
      <c r="V78" s="45">
        <v>-0.049305555555555554</v>
      </c>
      <c r="W78" s="15">
        <v>-0.049305555555555554</v>
      </c>
      <c r="X78" s="15">
        <v>-0.018055555555555554</v>
      </c>
      <c r="Y78" s="16" t="s">
        <v>2866</v>
      </c>
    </row>
    <row r="79">
      <c r="A79" s="25" t="s">
        <v>0</v>
      </c>
      <c r="B79" s="26" t="s">
        <v>1</v>
      </c>
      <c r="C79" s="27" t="s">
        <v>2</v>
      </c>
      <c r="D79" s="27" t="s">
        <v>3</v>
      </c>
      <c r="E79" s="27" t="s">
        <v>4</v>
      </c>
      <c r="F79" s="27" t="s">
        <v>5</v>
      </c>
      <c r="G79" s="27" t="s">
        <v>6</v>
      </c>
      <c r="H79" s="28" t="s">
        <v>7</v>
      </c>
      <c r="I79" s="27" t="s">
        <v>8</v>
      </c>
      <c r="J79" s="27" t="s">
        <v>9</v>
      </c>
      <c r="K79" s="27" t="s">
        <v>10</v>
      </c>
      <c r="L79" s="27" t="s">
        <v>11</v>
      </c>
      <c r="M79" s="28" t="s">
        <v>12</v>
      </c>
      <c r="N79" s="27" t="s">
        <v>13</v>
      </c>
      <c r="O79" s="27" t="s">
        <v>14</v>
      </c>
      <c r="P79" s="28" t="s">
        <v>15</v>
      </c>
      <c r="Q79" s="27" t="s">
        <v>16</v>
      </c>
      <c r="R79" s="27" t="s">
        <v>17</v>
      </c>
      <c r="S79" s="28" t="s">
        <v>18</v>
      </c>
      <c r="T79" s="27" t="s">
        <v>19</v>
      </c>
      <c r="U79" s="27" t="s">
        <v>20</v>
      </c>
      <c r="V79" s="29" t="str">
        <f>+/-</f>
        <v>#ERROR!</v>
      </c>
      <c r="W79" s="29" t="str">
        <f>+/-90</f>
        <v>#ERROR!</v>
      </c>
      <c r="X79" s="27" t="s">
        <v>21</v>
      </c>
      <c r="Y79" s="28" t="s">
        <v>22</v>
      </c>
    </row>
    <row r="80">
      <c r="A80" s="6">
        <v>76.0</v>
      </c>
      <c r="B80" s="7" t="s">
        <v>2867</v>
      </c>
      <c r="C80" s="8" t="s">
        <v>2868</v>
      </c>
      <c r="D80" s="9" t="s">
        <v>66</v>
      </c>
      <c r="E80" s="7" t="s">
        <v>2869</v>
      </c>
      <c r="F80" s="9">
        <v>22.0</v>
      </c>
      <c r="G80" s="9">
        <v>2001.0</v>
      </c>
      <c r="H80" s="10">
        <v>4.0</v>
      </c>
      <c r="I80" s="11">
        <v>260.0</v>
      </c>
      <c r="J80" s="11">
        <v>65.0</v>
      </c>
      <c r="K80" s="11" t="s">
        <v>438</v>
      </c>
      <c r="L80" s="11" t="s">
        <v>362</v>
      </c>
      <c r="M80" s="41">
        <v>0.04375</v>
      </c>
      <c r="N80" s="11">
        <v>86.0</v>
      </c>
      <c r="O80" s="42">
        <v>0.04791666666666667</v>
      </c>
      <c r="P80" s="41">
        <v>0.02361111111111111</v>
      </c>
      <c r="Q80" s="11">
        <v>3.0</v>
      </c>
      <c r="R80" s="42">
        <v>0.1361111111111111</v>
      </c>
      <c r="S80" s="13">
        <v>0.0763888888888889</v>
      </c>
      <c r="T80" s="42">
        <v>0.04791666666666667</v>
      </c>
      <c r="U80" s="42">
        <v>0.04375</v>
      </c>
      <c r="V80" s="45">
        <v>-0.02361111111111111</v>
      </c>
      <c r="W80" s="15">
        <v>-0.024305555555555556</v>
      </c>
      <c r="X80" s="15">
        <v>-0.04722222222222222</v>
      </c>
      <c r="Y80" s="16" t="s">
        <v>2870</v>
      </c>
    </row>
    <row r="81">
      <c r="A81" s="6">
        <v>77.0</v>
      </c>
      <c r="B81" s="7" t="s">
        <v>2871</v>
      </c>
      <c r="C81" s="8" t="s">
        <v>2872</v>
      </c>
      <c r="D81" s="9" t="s">
        <v>52</v>
      </c>
      <c r="E81" s="7" t="s">
        <v>2873</v>
      </c>
      <c r="F81" s="9">
        <v>17.0</v>
      </c>
      <c r="G81" s="9">
        <v>2006.0</v>
      </c>
      <c r="H81" s="10">
        <v>9.0</v>
      </c>
      <c r="I81" s="11">
        <v>97.0</v>
      </c>
      <c r="J81" s="11">
        <v>11.0</v>
      </c>
      <c r="K81" s="11" t="s">
        <v>367</v>
      </c>
      <c r="L81" s="11" t="s">
        <v>443</v>
      </c>
      <c r="M81" s="46">
        <v>0.0</v>
      </c>
      <c r="N81" s="19"/>
      <c r="O81" s="43">
        <v>0.0</v>
      </c>
      <c r="P81" s="41">
        <v>0.3458333333333333</v>
      </c>
      <c r="Q81" s="11">
        <v>11.0</v>
      </c>
      <c r="R81" s="42">
        <v>0.13402777777777777</v>
      </c>
      <c r="S81" s="13">
        <v>0.05694444444444444</v>
      </c>
      <c r="T81" s="42">
        <v>0.09861111111111111</v>
      </c>
      <c r="U81" s="42">
        <v>0.16944444444444445</v>
      </c>
      <c r="V81" s="45">
        <v>-0.09861111111111111</v>
      </c>
      <c r="W81" s="15">
        <v>-0.10138888888888889</v>
      </c>
      <c r="X81" s="15">
        <v>-0.08888888888888889</v>
      </c>
      <c r="Y81" s="16" t="s">
        <v>2874</v>
      </c>
    </row>
    <row r="82">
      <c r="A82" s="6">
        <v>78.0</v>
      </c>
      <c r="B82" s="7" t="s">
        <v>2875</v>
      </c>
      <c r="C82" s="8" t="s">
        <v>2876</v>
      </c>
      <c r="D82" s="9" t="s">
        <v>45</v>
      </c>
      <c r="E82" s="7" t="s">
        <v>2877</v>
      </c>
      <c r="F82" s="9">
        <v>24.0</v>
      </c>
      <c r="G82" s="9">
        <v>2000.0</v>
      </c>
      <c r="H82" s="10">
        <v>30.0</v>
      </c>
      <c r="I82" s="11">
        <v>2.13</v>
      </c>
      <c r="J82" s="11">
        <v>71.0</v>
      </c>
      <c r="K82" s="11" t="s">
        <v>448</v>
      </c>
      <c r="L82" s="11" t="s">
        <v>449</v>
      </c>
      <c r="M82" s="41">
        <v>0.04861111111111111</v>
      </c>
      <c r="N82" s="11">
        <v>78.0</v>
      </c>
      <c r="O82" s="42">
        <v>0.029166666666666667</v>
      </c>
      <c r="P82" s="41">
        <v>0.011805555555555555</v>
      </c>
      <c r="Q82" s="11">
        <v>26.0</v>
      </c>
      <c r="R82" s="43">
        <v>0.0</v>
      </c>
      <c r="S82" s="13">
        <v>0.09513888888888888</v>
      </c>
      <c r="T82" s="42">
        <v>0.10555555555555556</v>
      </c>
      <c r="U82" s="42">
        <v>0.06180555555555556</v>
      </c>
      <c r="V82" s="44">
        <v>0.07152777777777777</v>
      </c>
      <c r="W82" s="14" t="str">
        <f>+1.44</f>
        <v>#ERROR!</v>
      </c>
      <c r="X82" s="14" t="str">
        <f>+0.17</f>
        <v>#ERROR!</v>
      </c>
      <c r="Y82" s="16" t="s">
        <v>2878</v>
      </c>
    </row>
    <row r="83">
      <c r="A83" s="6">
        <v>79.0</v>
      </c>
      <c r="B83" s="7" t="s">
        <v>2879</v>
      </c>
      <c r="C83" s="8" t="s">
        <v>2880</v>
      </c>
      <c r="D83" s="9" t="s">
        <v>59</v>
      </c>
      <c r="E83" s="7" t="s">
        <v>2881</v>
      </c>
      <c r="F83" s="9">
        <v>19.0</v>
      </c>
      <c r="G83" s="9">
        <v>2004.0</v>
      </c>
      <c r="H83" s="10">
        <v>22.0</v>
      </c>
      <c r="I83" s="11">
        <v>877.0</v>
      </c>
      <c r="J83" s="11">
        <v>40.0</v>
      </c>
      <c r="K83" s="11" t="s">
        <v>454</v>
      </c>
      <c r="L83" s="11" t="s">
        <v>455</v>
      </c>
      <c r="M83" s="41">
        <v>0.06458333333333334</v>
      </c>
      <c r="N83" s="11">
        <v>67.0</v>
      </c>
      <c r="O83" s="42">
        <v>0.006944444444444444</v>
      </c>
      <c r="P83" s="41">
        <v>0.06527777777777778</v>
      </c>
      <c r="Q83" s="11">
        <v>21.0</v>
      </c>
      <c r="R83" s="42">
        <v>0.043055555555555555</v>
      </c>
      <c r="S83" s="13">
        <v>0.06666666666666667</v>
      </c>
      <c r="T83" s="42">
        <v>0.06458333333333334</v>
      </c>
      <c r="U83" s="42">
        <v>0.08680555555555555</v>
      </c>
      <c r="V83" s="45">
        <v>-0.05</v>
      </c>
      <c r="W83" s="15">
        <v>-0.05</v>
      </c>
      <c r="X83" s="15">
        <v>-0.05277777777777778</v>
      </c>
      <c r="Y83" s="16" t="s">
        <v>2882</v>
      </c>
    </row>
    <row r="84">
      <c r="A84" s="6">
        <v>80.0</v>
      </c>
      <c r="B84" s="7" t="s">
        <v>2883</v>
      </c>
      <c r="C84" s="8" t="s">
        <v>2884</v>
      </c>
      <c r="D84" s="9" t="s">
        <v>25</v>
      </c>
      <c r="E84" s="7" t="s">
        <v>2885</v>
      </c>
      <c r="F84" s="9">
        <v>26.0</v>
      </c>
      <c r="G84" s="9">
        <v>1997.0</v>
      </c>
      <c r="H84" s="10">
        <v>17.0</v>
      </c>
      <c r="I84" s="11">
        <v>939.0</v>
      </c>
      <c r="J84" s="11">
        <v>55.0</v>
      </c>
      <c r="K84" s="11" t="s">
        <v>460</v>
      </c>
      <c r="L84" s="11" t="s">
        <v>461</v>
      </c>
      <c r="M84" s="41">
        <v>0.05347222222222222</v>
      </c>
      <c r="N84" s="11">
        <v>87.0</v>
      </c>
      <c r="O84" s="42">
        <v>0.02013888888888889</v>
      </c>
      <c r="P84" s="41">
        <v>0.06041666666666667</v>
      </c>
      <c r="Q84" s="11">
        <v>27.0</v>
      </c>
      <c r="R84" s="42">
        <v>0.006944444444444444</v>
      </c>
      <c r="S84" s="13">
        <v>0.06111111111111111</v>
      </c>
      <c r="T84" s="42">
        <v>0.06666666666666667</v>
      </c>
      <c r="U84" s="42">
        <v>0.07222222222222222</v>
      </c>
      <c r="V84" s="45">
        <v>-0.03333333333333333</v>
      </c>
      <c r="W84" s="15">
        <v>-0.03333333333333333</v>
      </c>
      <c r="X84" s="14" t="str">
        <f>+0.13</f>
        <v>#ERROR!</v>
      </c>
      <c r="Y84" s="16" t="s">
        <v>2886</v>
      </c>
    </row>
    <row r="85">
      <c r="A85" s="6">
        <v>81.0</v>
      </c>
      <c r="B85" s="7" t="s">
        <v>2887</v>
      </c>
      <c r="C85" s="8" t="s">
        <v>2888</v>
      </c>
      <c r="D85" s="9" t="s">
        <v>32</v>
      </c>
      <c r="E85" s="7" t="s">
        <v>2889</v>
      </c>
      <c r="F85" s="9">
        <v>16.0</v>
      </c>
      <c r="G85" s="9">
        <v>2007.0</v>
      </c>
      <c r="H85" s="18">
        <v>0.0</v>
      </c>
      <c r="I85" s="19"/>
      <c r="J85" s="19"/>
      <c r="K85" s="19"/>
      <c r="L85" s="19"/>
      <c r="M85" s="18">
        <v>0.0</v>
      </c>
      <c r="N85" s="19"/>
      <c r="O85" s="12">
        <v>0.0</v>
      </c>
      <c r="P85" s="18">
        <v>0.0</v>
      </c>
      <c r="Q85" s="19"/>
      <c r="R85" s="11">
        <v>6.0</v>
      </c>
      <c r="S85" s="24"/>
      <c r="T85" s="19"/>
      <c r="U85" s="19"/>
      <c r="V85" s="19"/>
      <c r="W85" s="19"/>
      <c r="X85" s="19"/>
      <c r="Y85" s="16" t="s">
        <v>2890</v>
      </c>
    </row>
    <row r="86">
      <c r="A86" s="6">
        <v>82.0</v>
      </c>
      <c r="B86" s="7" t="s">
        <v>2891</v>
      </c>
      <c r="C86" s="8" t="s">
        <v>2892</v>
      </c>
      <c r="D86" s="9" t="s">
        <v>52</v>
      </c>
      <c r="E86" s="7" t="s">
        <v>2893</v>
      </c>
      <c r="F86" s="9">
        <v>15.0</v>
      </c>
      <c r="G86" s="9">
        <v>2008.0</v>
      </c>
      <c r="H86" s="10">
        <v>1.0</v>
      </c>
      <c r="I86" s="11">
        <v>2.0</v>
      </c>
      <c r="J86" s="11">
        <v>2.0</v>
      </c>
      <c r="K86" s="11" t="s">
        <v>155</v>
      </c>
      <c r="L86" s="12" t="s">
        <v>470</v>
      </c>
      <c r="M86" s="18">
        <v>0.0</v>
      </c>
      <c r="N86" s="19"/>
      <c r="O86" s="12">
        <v>0.0</v>
      </c>
      <c r="P86" s="10">
        <v>1.0</v>
      </c>
      <c r="Q86" s="11">
        <v>2.0</v>
      </c>
      <c r="R86" s="11">
        <v>13.0</v>
      </c>
      <c r="S86" s="13">
        <v>0.125</v>
      </c>
      <c r="T86" s="12">
        <v>0.0</v>
      </c>
      <c r="U86" s="12">
        <v>0.0</v>
      </c>
      <c r="V86" s="12">
        <v>0.0</v>
      </c>
      <c r="W86" s="21">
        <v>0.0</v>
      </c>
      <c r="X86" s="14" t="str">
        <f>+0.33</f>
        <v>#ERROR!</v>
      </c>
      <c r="Y86" s="16" t="s">
        <v>2894</v>
      </c>
    </row>
    <row r="87">
      <c r="A87" s="6">
        <v>83.0</v>
      </c>
      <c r="B87" s="7" t="s">
        <v>2895</v>
      </c>
      <c r="C87" s="8" t="s">
        <v>2896</v>
      </c>
      <c r="D87" s="9" t="s">
        <v>73</v>
      </c>
      <c r="E87" s="7" t="s">
        <v>2897</v>
      </c>
      <c r="F87" s="9">
        <v>27.0</v>
      </c>
      <c r="G87" s="9">
        <v>1996.0</v>
      </c>
      <c r="H87" s="10">
        <v>15.0</v>
      </c>
      <c r="I87" s="11">
        <v>1.35</v>
      </c>
      <c r="J87" s="11">
        <v>90.0</v>
      </c>
      <c r="K87" s="11" t="s">
        <v>174</v>
      </c>
      <c r="L87" s="11" t="s">
        <v>175</v>
      </c>
      <c r="M87" s="41">
        <v>0.041666666666666664</v>
      </c>
      <c r="N87" s="11">
        <v>90.0</v>
      </c>
      <c r="O87" s="42">
        <v>0.041666666666666664</v>
      </c>
      <c r="P87" s="46">
        <v>0.0</v>
      </c>
      <c r="Q87" s="19"/>
      <c r="R87" s="42">
        <v>0.041666666666666664</v>
      </c>
      <c r="S87" s="13">
        <v>0.06041666666666667</v>
      </c>
      <c r="T87" s="42">
        <v>0.06458333333333334</v>
      </c>
      <c r="U87" s="42">
        <v>0.07847222222222222</v>
      </c>
      <c r="V87" s="45">
        <v>-0.041666666666666664</v>
      </c>
      <c r="W87" s="15">
        <v>-0.041666666666666664</v>
      </c>
      <c r="X87" s="15">
        <v>-0.004861111111111111</v>
      </c>
      <c r="Y87" s="16" t="s">
        <v>2898</v>
      </c>
    </row>
    <row r="88">
      <c r="A88" s="6">
        <v>84.0</v>
      </c>
      <c r="B88" s="7" t="s">
        <v>2899</v>
      </c>
      <c r="C88" s="8" t="s">
        <v>2900</v>
      </c>
      <c r="D88" s="9" t="s">
        <v>32</v>
      </c>
      <c r="E88" s="7" t="s">
        <v>2901</v>
      </c>
      <c r="F88" s="9">
        <v>17.0</v>
      </c>
      <c r="G88" s="9">
        <v>2006.0</v>
      </c>
      <c r="H88" s="18">
        <v>0.0</v>
      </c>
      <c r="I88" s="19"/>
      <c r="J88" s="19"/>
      <c r="K88" s="19"/>
      <c r="L88" s="19"/>
      <c r="M88" s="18">
        <v>0.0</v>
      </c>
      <c r="N88" s="19"/>
      <c r="O88" s="12">
        <v>0.0</v>
      </c>
      <c r="P88" s="18">
        <v>0.0</v>
      </c>
      <c r="Q88" s="19"/>
      <c r="R88" s="11">
        <v>4.0</v>
      </c>
      <c r="S88" s="24"/>
      <c r="T88" s="19"/>
      <c r="U88" s="19"/>
      <c r="V88" s="19"/>
      <c r="W88" s="19"/>
      <c r="X88" s="19"/>
      <c r="Y88" s="16" t="s">
        <v>2902</v>
      </c>
    </row>
    <row r="89">
      <c r="A89" s="6">
        <v>85.0</v>
      </c>
      <c r="B89" s="7" t="s">
        <v>2903</v>
      </c>
      <c r="C89" s="8" t="s">
        <v>2904</v>
      </c>
      <c r="D89" s="9" t="s">
        <v>66</v>
      </c>
      <c r="E89" s="7" t="s">
        <v>2905</v>
      </c>
      <c r="F89" s="9">
        <v>21.0</v>
      </c>
      <c r="G89" s="9">
        <v>2002.0</v>
      </c>
      <c r="H89" s="10">
        <v>13.0</v>
      </c>
      <c r="I89" s="11">
        <v>757.0</v>
      </c>
      <c r="J89" s="11">
        <v>58.0</v>
      </c>
      <c r="K89" s="11" t="s">
        <v>483</v>
      </c>
      <c r="L89" s="11" t="s">
        <v>484</v>
      </c>
      <c r="M89" s="41">
        <v>0.06597222222222222</v>
      </c>
      <c r="N89" s="11">
        <v>79.0</v>
      </c>
      <c r="O89" s="42">
        <v>0.041666666666666664</v>
      </c>
      <c r="P89" s="41">
        <v>0.041666666666666664</v>
      </c>
      <c r="Q89" s="11">
        <v>24.0</v>
      </c>
      <c r="R89" s="42">
        <v>0.025</v>
      </c>
      <c r="S89" s="13">
        <v>0.09930555555555555</v>
      </c>
      <c r="T89" s="42">
        <v>0.09652777777777778</v>
      </c>
      <c r="U89" s="42">
        <v>0.041666666666666664</v>
      </c>
      <c r="V89" s="44">
        <v>0.05486111111111111</v>
      </c>
      <c r="W89" s="14" t="str">
        <f>+1.19</f>
        <v>#ERROR!</v>
      </c>
      <c r="X89" s="14" t="str">
        <f>+0.59</f>
        <v>#ERROR!</v>
      </c>
      <c r="Y89" s="16" t="s">
        <v>2906</v>
      </c>
    </row>
    <row r="90">
      <c r="A90" s="6">
        <v>86.0</v>
      </c>
      <c r="B90" s="7" t="s">
        <v>2907</v>
      </c>
      <c r="C90" s="8" t="s">
        <v>2908</v>
      </c>
      <c r="D90" s="9" t="s">
        <v>73</v>
      </c>
      <c r="E90" s="7" t="s">
        <v>2909</v>
      </c>
      <c r="F90" s="9">
        <v>23.0</v>
      </c>
      <c r="G90" s="9">
        <v>2000.0</v>
      </c>
      <c r="H90" s="10">
        <v>24.0</v>
      </c>
      <c r="I90" s="11">
        <v>2.15</v>
      </c>
      <c r="J90" s="11">
        <v>90.0</v>
      </c>
      <c r="K90" s="11" t="s">
        <v>134</v>
      </c>
      <c r="L90" s="11" t="s">
        <v>135</v>
      </c>
      <c r="M90" s="41">
        <v>0.041666666666666664</v>
      </c>
      <c r="N90" s="11">
        <v>90.0</v>
      </c>
      <c r="O90" s="42">
        <v>0.06666666666666667</v>
      </c>
      <c r="P90" s="46">
        <v>0.0</v>
      </c>
      <c r="Q90" s="19"/>
      <c r="R90" s="42">
        <v>0.017361111111111112</v>
      </c>
      <c r="S90" s="13">
        <v>0.06666666666666667</v>
      </c>
      <c r="T90" s="42">
        <v>0.05625</v>
      </c>
      <c r="U90" s="42">
        <v>0.09722222222222222</v>
      </c>
      <c r="V90" s="45">
        <v>-0.04097222222222222</v>
      </c>
      <c r="W90" s="15">
        <v>-0.04097222222222222</v>
      </c>
      <c r="X90" s="14" t="str">
        <f>+0.40</f>
        <v>#ERROR!</v>
      </c>
      <c r="Y90" s="16" t="s">
        <v>2910</v>
      </c>
    </row>
    <row r="91">
      <c r="A91" s="6">
        <v>87.0</v>
      </c>
      <c r="B91" s="7" t="s">
        <v>2911</v>
      </c>
      <c r="C91" s="8" t="s">
        <v>2912</v>
      </c>
      <c r="D91" s="9" t="s">
        <v>284</v>
      </c>
      <c r="E91" s="7" t="s">
        <v>2913</v>
      </c>
      <c r="F91" s="9">
        <v>24.0</v>
      </c>
      <c r="G91" s="9">
        <v>1999.0</v>
      </c>
      <c r="H91" s="10">
        <v>28.0</v>
      </c>
      <c r="I91" s="11">
        <v>1.959</v>
      </c>
      <c r="J91" s="11">
        <v>70.0</v>
      </c>
      <c r="K91" s="11" t="s">
        <v>493</v>
      </c>
      <c r="L91" s="11" t="s">
        <v>494</v>
      </c>
      <c r="M91" s="41">
        <v>0.06666666666666667</v>
      </c>
      <c r="N91" s="11">
        <v>88.0</v>
      </c>
      <c r="O91" s="42">
        <v>0.05763888888888889</v>
      </c>
      <c r="P91" s="41">
        <v>0.022222222222222223</v>
      </c>
      <c r="Q91" s="11">
        <v>16.0</v>
      </c>
      <c r="R91" s="42">
        <v>0.003472222222222222</v>
      </c>
      <c r="S91" s="13">
        <v>0.09652777777777778</v>
      </c>
      <c r="T91" s="42">
        <v>0.07083333333333333</v>
      </c>
      <c r="U91" s="42">
        <v>0.04583333333333333</v>
      </c>
      <c r="V91" s="44">
        <v>0.025694444444444443</v>
      </c>
      <c r="W91" s="14" t="str">
        <f>+0.37</f>
        <v>#ERROR!</v>
      </c>
      <c r="X91" s="14" t="str">
        <f>+0.25</f>
        <v>#ERROR!</v>
      </c>
      <c r="Y91" s="16" t="s">
        <v>2914</v>
      </c>
    </row>
    <row r="92">
      <c r="A92" s="6">
        <v>88.0</v>
      </c>
      <c r="B92" s="7" t="s">
        <v>2915</v>
      </c>
      <c r="C92" s="8" t="s">
        <v>2916</v>
      </c>
      <c r="D92" s="9" t="s">
        <v>52</v>
      </c>
      <c r="E92" s="7" t="s">
        <v>2917</v>
      </c>
      <c r="F92" s="9">
        <v>17.0</v>
      </c>
      <c r="G92" s="9">
        <v>2006.0</v>
      </c>
      <c r="H92" s="18">
        <v>0.0</v>
      </c>
      <c r="I92" s="19"/>
      <c r="J92" s="19"/>
      <c r="K92" s="19"/>
      <c r="L92" s="19"/>
      <c r="M92" s="18">
        <v>0.0</v>
      </c>
      <c r="N92" s="19"/>
      <c r="O92" s="12">
        <v>0.0</v>
      </c>
      <c r="P92" s="18">
        <v>0.0</v>
      </c>
      <c r="Q92" s="19"/>
      <c r="R92" s="11">
        <v>1.0</v>
      </c>
      <c r="S92" s="24"/>
      <c r="T92" s="19"/>
      <c r="U92" s="19"/>
      <c r="V92" s="19"/>
      <c r="W92" s="19"/>
      <c r="X92" s="19"/>
      <c r="Y92" s="16" t="s">
        <v>2918</v>
      </c>
    </row>
    <row r="93">
      <c r="A93" s="6">
        <v>89.0</v>
      </c>
      <c r="B93" s="7" t="s">
        <v>2919</v>
      </c>
      <c r="C93" s="8" t="s">
        <v>2920</v>
      </c>
      <c r="D93" s="9" t="s">
        <v>66</v>
      </c>
      <c r="E93" s="7" t="s">
        <v>2921</v>
      </c>
      <c r="F93" s="9">
        <v>22.0</v>
      </c>
      <c r="G93" s="9">
        <v>2001.0</v>
      </c>
      <c r="H93" s="10">
        <v>16.0</v>
      </c>
      <c r="I93" s="11">
        <v>1.164</v>
      </c>
      <c r="J93" s="11">
        <v>73.0</v>
      </c>
      <c r="K93" s="11" t="s">
        <v>503</v>
      </c>
      <c r="L93" s="11" t="s">
        <v>504</v>
      </c>
      <c r="M93" s="41">
        <v>0.04236111111111111</v>
      </c>
      <c r="N93" s="11">
        <v>81.0</v>
      </c>
      <c r="O93" s="42">
        <v>0.059027777777777776</v>
      </c>
      <c r="P93" s="41">
        <v>0.01597222222222222</v>
      </c>
      <c r="Q93" s="11">
        <v>38.0</v>
      </c>
      <c r="R93" s="42">
        <v>0.05416666666666667</v>
      </c>
      <c r="S93" s="13">
        <v>0.08055555555555556</v>
      </c>
      <c r="T93" s="42">
        <v>0.08472222222222223</v>
      </c>
      <c r="U93" s="42">
        <v>0.0798611111111111</v>
      </c>
      <c r="V93" s="44">
        <v>0.03263888888888889</v>
      </c>
      <c r="W93" s="14" t="str">
        <f>+0.46</f>
        <v>#ERROR!</v>
      </c>
      <c r="X93" s="14" t="str">
        <f>+0.35</f>
        <v>#ERROR!</v>
      </c>
      <c r="Y93" s="16" t="s">
        <v>2922</v>
      </c>
    </row>
    <row r="94">
      <c r="A94" s="6">
        <v>90.0</v>
      </c>
      <c r="B94" s="7" t="s">
        <v>2923</v>
      </c>
      <c r="C94" s="8" t="s">
        <v>2924</v>
      </c>
      <c r="D94" s="9" t="s">
        <v>73</v>
      </c>
      <c r="E94" s="7" t="s">
        <v>2925</v>
      </c>
      <c r="F94" s="9">
        <v>22.0</v>
      </c>
      <c r="G94" s="9">
        <v>2001.0</v>
      </c>
      <c r="H94" s="10">
        <v>13.0</v>
      </c>
      <c r="I94" s="11">
        <v>1.125</v>
      </c>
      <c r="J94" s="11">
        <v>87.0</v>
      </c>
      <c r="K94" s="11" t="s">
        <v>509</v>
      </c>
      <c r="L94" s="11" t="s">
        <v>510</v>
      </c>
      <c r="M94" s="41">
        <v>0.044444444444444446</v>
      </c>
      <c r="N94" s="11">
        <v>87.0</v>
      </c>
      <c r="O94" s="42">
        <v>0.06666666666666667</v>
      </c>
      <c r="P94" s="46">
        <v>0.0</v>
      </c>
      <c r="Q94" s="19"/>
      <c r="R94" s="42">
        <v>0.06111111111111111</v>
      </c>
      <c r="S94" s="13">
        <v>0.06319444444444444</v>
      </c>
      <c r="T94" s="42">
        <v>0.06111111111111111</v>
      </c>
      <c r="U94" s="42">
        <v>0.05555555555555555</v>
      </c>
      <c r="V94" s="44">
        <v>0.005555555555555556</v>
      </c>
      <c r="W94" s="14" t="str">
        <f>+0.08</f>
        <v>#ERROR!</v>
      </c>
      <c r="X94" s="15">
        <v>-0.022222222222222223</v>
      </c>
      <c r="Y94" s="16" t="s">
        <v>2926</v>
      </c>
    </row>
    <row r="95">
      <c r="A95" s="6">
        <v>91.0</v>
      </c>
      <c r="B95" s="7" t="s">
        <v>2927</v>
      </c>
      <c r="C95" s="8" t="s">
        <v>2928</v>
      </c>
      <c r="D95" s="9" t="s">
        <v>66</v>
      </c>
      <c r="E95" s="7" t="s">
        <v>2929</v>
      </c>
      <c r="F95" s="9">
        <v>25.0</v>
      </c>
      <c r="G95" s="9">
        <v>1998.0</v>
      </c>
      <c r="H95" s="10">
        <v>26.0</v>
      </c>
      <c r="I95" s="11">
        <v>2.059</v>
      </c>
      <c r="J95" s="11">
        <v>79.0</v>
      </c>
      <c r="K95" s="11" t="s">
        <v>515</v>
      </c>
      <c r="L95" s="11" t="s">
        <v>516</v>
      </c>
      <c r="M95" s="41">
        <v>0.04513888888888889</v>
      </c>
      <c r="N95" s="11">
        <v>84.0</v>
      </c>
      <c r="O95" s="42">
        <v>0.04583333333333333</v>
      </c>
      <c r="P95" s="41">
        <v>0.00625</v>
      </c>
      <c r="Q95" s="11">
        <v>25.0</v>
      </c>
      <c r="R95" s="42">
        <v>0.002777777777777778</v>
      </c>
      <c r="S95" s="13">
        <v>0.09166666666666666</v>
      </c>
      <c r="T95" s="42">
        <v>0.09930555555555555</v>
      </c>
      <c r="U95" s="42">
        <v>0.06388888888888888</v>
      </c>
      <c r="V95" s="44">
        <v>0.06319444444444444</v>
      </c>
      <c r="W95" s="14" t="str">
        <f>+1.31</f>
        <v>#ERROR!</v>
      </c>
      <c r="X95" s="15">
        <v>-0.025694444444444443</v>
      </c>
      <c r="Y95" s="16" t="s">
        <v>2930</v>
      </c>
    </row>
    <row r="96">
      <c r="A96" s="6">
        <v>92.0</v>
      </c>
      <c r="B96" s="7" t="s">
        <v>2931</v>
      </c>
      <c r="C96" s="8" t="s">
        <v>2932</v>
      </c>
      <c r="D96" s="9" t="s">
        <v>59</v>
      </c>
      <c r="E96" s="7" t="s">
        <v>2933</v>
      </c>
      <c r="F96" s="9">
        <v>27.0</v>
      </c>
      <c r="G96" s="9">
        <v>1996.0</v>
      </c>
      <c r="H96" s="10">
        <v>19.0</v>
      </c>
      <c r="I96" s="11">
        <v>436.0</v>
      </c>
      <c r="J96" s="11">
        <v>23.0</v>
      </c>
      <c r="K96" s="11" t="s">
        <v>521</v>
      </c>
      <c r="L96" s="11" t="s">
        <v>522</v>
      </c>
      <c r="M96" s="41">
        <v>0.04375</v>
      </c>
      <c r="N96" s="11">
        <v>55.0</v>
      </c>
      <c r="O96" s="43">
        <v>0.0</v>
      </c>
      <c r="P96" s="41">
        <v>0.14791666666666667</v>
      </c>
      <c r="Q96" s="11">
        <v>17.0</v>
      </c>
      <c r="R96" s="42">
        <v>0.10277777777777777</v>
      </c>
      <c r="S96" s="13">
        <v>0.06597222222222222</v>
      </c>
      <c r="T96" s="42">
        <v>0.059027777777777776</v>
      </c>
      <c r="U96" s="42">
        <v>0.044444444444444446</v>
      </c>
      <c r="V96" s="44">
        <v>0.014583333333333334</v>
      </c>
      <c r="W96" s="14" t="str">
        <f>+0.21</f>
        <v>#ERROR!</v>
      </c>
      <c r="X96" s="14" t="str">
        <f>+0.64</f>
        <v>#ERROR!</v>
      </c>
      <c r="Y96" s="16" t="s">
        <v>2934</v>
      </c>
    </row>
    <row r="97">
      <c r="A97" s="6">
        <v>93.0</v>
      </c>
      <c r="B97" s="7" t="s">
        <v>2935</v>
      </c>
      <c r="C97" s="8" t="s">
        <v>2936</v>
      </c>
      <c r="D97" s="9" t="s">
        <v>52</v>
      </c>
      <c r="E97" s="7" t="s">
        <v>2937</v>
      </c>
      <c r="F97" s="9">
        <v>16.0</v>
      </c>
      <c r="G97" s="9">
        <v>2007.0</v>
      </c>
      <c r="H97" s="10">
        <v>1.0</v>
      </c>
      <c r="I97" s="11">
        <v>8.0</v>
      </c>
      <c r="J97" s="11">
        <v>8.0</v>
      </c>
      <c r="K97" s="11" t="s">
        <v>195</v>
      </c>
      <c r="L97" s="11" t="s">
        <v>155</v>
      </c>
      <c r="M97" s="46">
        <v>0.0</v>
      </c>
      <c r="N97" s="19"/>
      <c r="O97" s="43">
        <v>0.0</v>
      </c>
      <c r="P97" s="47" t="s">
        <v>268</v>
      </c>
      <c r="Q97" s="11">
        <v>8.0</v>
      </c>
      <c r="R97" s="48" t="s">
        <v>673</v>
      </c>
      <c r="S97" s="13">
        <v>0.125</v>
      </c>
      <c r="T97" s="43">
        <v>0.0</v>
      </c>
      <c r="U97" s="43">
        <v>0.0</v>
      </c>
      <c r="V97" s="43">
        <v>0.0</v>
      </c>
      <c r="W97" s="21">
        <v>0.0</v>
      </c>
      <c r="X97" s="15">
        <v>-0.06944444444444445</v>
      </c>
      <c r="Y97" s="16" t="s">
        <v>2938</v>
      </c>
    </row>
    <row r="98">
      <c r="A98" s="6">
        <v>94.0</v>
      </c>
      <c r="B98" s="7" t="s">
        <v>2939</v>
      </c>
      <c r="C98" s="8" t="s">
        <v>2940</v>
      </c>
      <c r="D98" s="9" t="s">
        <v>52</v>
      </c>
      <c r="E98" s="7" t="s">
        <v>2941</v>
      </c>
      <c r="F98" s="9">
        <v>20.0</v>
      </c>
      <c r="G98" s="9">
        <v>2003.0</v>
      </c>
      <c r="H98" s="18">
        <v>0.0</v>
      </c>
      <c r="I98" s="19"/>
      <c r="J98" s="19"/>
      <c r="K98" s="19"/>
      <c r="L98" s="19"/>
      <c r="M98" s="18">
        <v>0.0</v>
      </c>
      <c r="N98" s="19"/>
      <c r="O98" s="12">
        <v>0.0</v>
      </c>
      <c r="P98" s="18">
        <v>0.0</v>
      </c>
      <c r="Q98" s="19"/>
      <c r="R98" s="11">
        <v>3.0</v>
      </c>
      <c r="S98" s="24"/>
      <c r="T98" s="19"/>
      <c r="U98" s="19"/>
      <c r="V98" s="19"/>
      <c r="W98" s="19"/>
      <c r="X98" s="19"/>
      <c r="Y98" s="16" t="s">
        <v>2942</v>
      </c>
    </row>
    <row r="99">
      <c r="A99" s="6">
        <v>95.0</v>
      </c>
      <c r="B99" s="7" t="s">
        <v>2943</v>
      </c>
      <c r="C99" s="8" t="s">
        <v>2944</v>
      </c>
      <c r="D99" s="9" t="s">
        <v>284</v>
      </c>
      <c r="E99" s="7" t="s">
        <v>2945</v>
      </c>
      <c r="F99" s="9">
        <v>33.0</v>
      </c>
      <c r="G99" s="9">
        <v>1990.0</v>
      </c>
      <c r="H99" s="10">
        <v>24.0</v>
      </c>
      <c r="I99" s="11">
        <v>1.499</v>
      </c>
      <c r="J99" s="11">
        <v>62.0</v>
      </c>
      <c r="K99" s="11" t="s">
        <v>535</v>
      </c>
      <c r="L99" s="11" t="s">
        <v>293</v>
      </c>
      <c r="M99" s="41">
        <v>0.05555555555555555</v>
      </c>
      <c r="N99" s="11">
        <v>73.0</v>
      </c>
      <c r="O99" s="42">
        <v>0.0125</v>
      </c>
      <c r="P99" s="41">
        <v>0.016666666666666666</v>
      </c>
      <c r="Q99" s="11">
        <v>9.0</v>
      </c>
      <c r="R99" s="42">
        <v>0.008333333333333333</v>
      </c>
      <c r="S99" s="13">
        <v>0.050694444444444445</v>
      </c>
      <c r="T99" s="42">
        <v>0.059722222222222225</v>
      </c>
      <c r="U99" s="42">
        <v>0.09722222222222222</v>
      </c>
      <c r="V99" s="45">
        <v>-0.0375</v>
      </c>
      <c r="W99" s="15">
        <v>-0.0375</v>
      </c>
      <c r="X99" s="15">
        <v>-0.04791666666666667</v>
      </c>
      <c r="Y99" s="16" t="s">
        <v>2946</v>
      </c>
    </row>
    <row r="100">
      <c r="A100" s="6">
        <v>96.0</v>
      </c>
      <c r="B100" s="7" t="s">
        <v>2947</v>
      </c>
      <c r="C100" s="8" t="s">
        <v>2948</v>
      </c>
      <c r="D100" s="9" t="s">
        <v>66</v>
      </c>
      <c r="E100" s="7" t="s">
        <v>2949</v>
      </c>
      <c r="F100" s="9">
        <v>18.0</v>
      </c>
      <c r="G100" s="9">
        <v>2005.0</v>
      </c>
      <c r="H100" s="10">
        <v>17.0</v>
      </c>
      <c r="I100" s="11">
        <v>904.0</v>
      </c>
      <c r="J100" s="11">
        <v>53.0</v>
      </c>
      <c r="K100" s="11" t="s">
        <v>540</v>
      </c>
      <c r="L100" s="11" t="s">
        <v>268</v>
      </c>
      <c r="M100" s="41">
        <v>0.041666666666666664</v>
      </c>
      <c r="N100" s="11">
        <v>81.0</v>
      </c>
      <c r="O100" s="42">
        <v>0.034722222222222224</v>
      </c>
      <c r="P100" s="41">
        <v>0.04861111111111111</v>
      </c>
      <c r="Q100" s="11">
        <v>14.0</v>
      </c>
      <c r="R100" s="42">
        <v>0.04861111111111111</v>
      </c>
      <c r="S100" s="13">
        <v>0.06180555555555556</v>
      </c>
      <c r="T100" s="42">
        <v>0.0625</v>
      </c>
      <c r="U100" s="42">
        <v>0.0763888888888889</v>
      </c>
      <c r="V100" s="45">
        <v>-0.041666666666666664</v>
      </c>
      <c r="W100" s="15">
        <v>-0.041666666666666664</v>
      </c>
      <c r="X100" s="15">
        <v>-0.041666666666666664</v>
      </c>
      <c r="Y100" s="16" t="s">
        <v>2950</v>
      </c>
    </row>
    <row r="101">
      <c r="A101" s="6">
        <v>97.0</v>
      </c>
      <c r="B101" s="7" t="s">
        <v>2951</v>
      </c>
      <c r="C101" s="8" t="s">
        <v>2952</v>
      </c>
      <c r="D101" s="9" t="s">
        <v>25</v>
      </c>
      <c r="E101" s="7" t="s">
        <v>2953</v>
      </c>
      <c r="F101" s="9">
        <v>23.0</v>
      </c>
      <c r="G101" s="9">
        <v>2000.0</v>
      </c>
      <c r="H101" s="10">
        <v>27.0</v>
      </c>
      <c r="I101" s="11">
        <v>1.507</v>
      </c>
      <c r="J101" s="11">
        <v>56.0</v>
      </c>
      <c r="K101" s="11" t="s">
        <v>292</v>
      </c>
      <c r="L101" s="11" t="s">
        <v>293</v>
      </c>
      <c r="M101" s="41">
        <v>0.058333333333333334</v>
      </c>
      <c r="N101" s="11">
        <v>88.0</v>
      </c>
      <c r="O101" s="42">
        <v>0.05416666666666667</v>
      </c>
      <c r="P101" s="41">
        <v>0.05416666666666667</v>
      </c>
      <c r="Q101" s="11">
        <v>21.0</v>
      </c>
      <c r="R101" s="42">
        <v>0.0125</v>
      </c>
      <c r="S101" s="13">
        <v>0.052083333333333336</v>
      </c>
      <c r="T101" s="42">
        <v>0.06805555555555555</v>
      </c>
      <c r="U101" s="42">
        <v>0.08055555555555556</v>
      </c>
      <c r="V101" s="45">
        <v>-0.0125</v>
      </c>
      <c r="W101" s="15">
        <v>-0.0125</v>
      </c>
      <c r="X101" s="14" t="str">
        <f>+0.35</f>
        <v>#ERROR!</v>
      </c>
      <c r="Y101" s="16" t="s">
        <v>2954</v>
      </c>
    </row>
    <row r="102">
      <c r="A102" s="6">
        <v>98.0</v>
      </c>
      <c r="B102" s="7" t="s">
        <v>2955</v>
      </c>
      <c r="C102" s="8" t="s">
        <v>2956</v>
      </c>
      <c r="D102" s="9" t="s">
        <v>32</v>
      </c>
      <c r="E102" s="7" t="s">
        <v>2957</v>
      </c>
      <c r="F102" s="9">
        <v>19.0</v>
      </c>
      <c r="G102" s="9">
        <v>2004.0</v>
      </c>
      <c r="H102" s="10">
        <v>16.0</v>
      </c>
      <c r="I102" s="11">
        <v>365.0</v>
      </c>
      <c r="J102" s="11">
        <v>23.0</v>
      </c>
      <c r="K102" s="11" t="s">
        <v>549</v>
      </c>
      <c r="L102" s="11" t="s">
        <v>550</v>
      </c>
      <c r="M102" s="41">
        <v>0.050694444444444445</v>
      </c>
      <c r="N102" s="11">
        <v>71.0</v>
      </c>
      <c r="O102" s="43">
        <v>0.0</v>
      </c>
      <c r="P102" s="41">
        <v>0.13680555555555557</v>
      </c>
      <c r="Q102" s="11">
        <v>12.0</v>
      </c>
      <c r="R102" s="42">
        <v>0.13055555555555556</v>
      </c>
      <c r="S102" s="13">
        <v>0.04583333333333333</v>
      </c>
      <c r="T102" s="42">
        <v>0.1076388888888889</v>
      </c>
      <c r="U102" s="42">
        <v>0.07361111111111111</v>
      </c>
      <c r="V102" s="44">
        <v>0.034027777777777775</v>
      </c>
      <c r="W102" s="14" t="str">
        <f>+0.49</f>
        <v>#ERROR!</v>
      </c>
      <c r="X102" s="14" t="str">
        <f>+0.96</f>
        <v>#ERROR!</v>
      </c>
      <c r="Y102" s="16" t="s">
        <v>2958</v>
      </c>
    </row>
    <row r="103">
      <c r="A103" s="6">
        <v>99.0</v>
      </c>
      <c r="B103" s="7" t="s">
        <v>2959</v>
      </c>
      <c r="C103" s="8" t="s">
        <v>2960</v>
      </c>
      <c r="D103" s="9" t="s">
        <v>52</v>
      </c>
      <c r="E103" s="7" t="s">
        <v>2961</v>
      </c>
      <c r="F103" s="9">
        <v>20.0</v>
      </c>
      <c r="G103" s="9">
        <v>2003.0</v>
      </c>
      <c r="H103" s="10">
        <v>2.0</v>
      </c>
      <c r="I103" s="11">
        <v>65.0</v>
      </c>
      <c r="J103" s="11">
        <v>33.0</v>
      </c>
      <c r="K103" s="11" t="s">
        <v>129</v>
      </c>
      <c r="L103" s="11" t="s">
        <v>180</v>
      </c>
      <c r="M103" s="41">
        <v>0.07152777777777777</v>
      </c>
      <c r="N103" s="11">
        <v>61.0</v>
      </c>
      <c r="O103" s="43">
        <v>0.0</v>
      </c>
      <c r="P103" s="41">
        <v>0.07152777777777777</v>
      </c>
      <c r="Q103" s="11">
        <v>4.0</v>
      </c>
      <c r="R103" s="42">
        <v>0.3013888888888889</v>
      </c>
      <c r="S103" s="20">
        <v>0.0</v>
      </c>
      <c r="T103" s="43">
        <v>0.0</v>
      </c>
      <c r="U103" s="42">
        <v>0.07152777777777777</v>
      </c>
      <c r="V103" s="45">
        <v>-0.07152777777777777</v>
      </c>
      <c r="W103" s="15">
        <v>-0.06805555555555555</v>
      </c>
      <c r="X103" s="15">
        <v>-0.04722222222222222</v>
      </c>
      <c r="Y103" s="16" t="s">
        <v>2962</v>
      </c>
    </row>
    <row r="104">
      <c r="A104" s="6">
        <v>100.0</v>
      </c>
      <c r="B104" s="7" t="s">
        <v>2963</v>
      </c>
      <c r="C104" s="8" t="s">
        <v>2964</v>
      </c>
      <c r="D104" s="9" t="s">
        <v>66</v>
      </c>
      <c r="E104" s="7" t="s">
        <v>2965</v>
      </c>
      <c r="F104" s="9">
        <v>27.0</v>
      </c>
      <c r="G104" s="9">
        <v>1996.0</v>
      </c>
      <c r="H104" s="10">
        <v>28.0</v>
      </c>
      <c r="I104" s="11">
        <v>2.518</v>
      </c>
      <c r="J104" s="11">
        <v>90.0</v>
      </c>
      <c r="K104" s="11" t="s">
        <v>559</v>
      </c>
      <c r="L104" s="11" t="s">
        <v>483</v>
      </c>
      <c r="M104" s="41">
        <v>0.041666666666666664</v>
      </c>
      <c r="N104" s="11">
        <v>90.0</v>
      </c>
      <c r="O104" s="42">
        <v>0.06458333333333334</v>
      </c>
      <c r="P104" s="46">
        <v>0.0</v>
      </c>
      <c r="Q104" s="19"/>
      <c r="R104" s="43">
        <v>0.0</v>
      </c>
      <c r="S104" s="13">
        <v>0.07152777777777777</v>
      </c>
      <c r="T104" s="42">
        <v>0.07916666666666666</v>
      </c>
      <c r="U104" s="42">
        <v>0.0763888888888889</v>
      </c>
      <c r="V104" s="44">
        <v>0.002777777777777778</v>
      </c>
      <c r="W104" s="14" t="str">
        <f>+0.04</f>
        <v>#ERROR!</v>
      </c>
      <c r="X104" s="14" t="str">
        <f>+0.04</f>
        <v>#ERROR!</v>
      </c>
      <c r="Y104" s="16" t="s">
        <v>2966</v>
      </c>
    </row>
    <row r="105">
      <c r="A105" s="25" t="s">
        <v>0</v>
      </c>
      <c r="B105" s="26" t="s">
        <v>1</v>
      </c>
      <c r="C105" s="27" t="s">
        <v>2</v>
      </c>
      <c r="D105" s="27" t="s">
        <v>3</v>
      </c>
      <c r="E105" s="27" t="s">
        <v>4</v>
      </c>
      <c r="F105" s="27" t="s">
        <v>5</v>
      </c>
      <c r="G105" s="27" t="s">
        <v>6</v>
      </c>
      <c r="H105" s="28" t="s">
        <v>7</v>
      </c>
      <c r="I105" s="27" t="s">
        <v>8</v>
      </c>
      <c r="J105" s="27" t="s">
        <v>9</v>
      </c>
      <c r="K105" s="27" t="s">
        <v>10</v>
      </c>
      <c r="L105" s="27" t="s">
        <v>11</v>
      </c>
      <c r="M105" s="28" t="s">
        <v>12</v>
      </c>
      <c r="N105" s="27" t="s">
        <v>13</v>
      </c>
      <c r="O105" s="27" t="s">
        <v>14</v>
      </c>
      <c r="P105" s="28" t="s">
        <v>15</v>
      </c>
      <c r="Q105" s="27" t="s">
        <v>16</v>
      </c>
      <c r="R105" s="27" t="s">
        <v>17</v>
      </c>
      <c r="S105" s="28" t="s">
        <v>18</v>
      </c>
      <c r="T105" s="27" t="s">
        <v>19</v>
      </c>
      <c r="U105" s="27" t="s">
        <v>20</v>
      </c>
      <c r="V105" s="29" t="str">
        <f>+/-</f>
        <v>#ERROR!</v>
      </c>
      <c r="W105" s="29" t="str">
        <f>+/-90</f>
        <v>#ERROR!</v>
      </c>
      <c r="X105" s="27" t="s">
        <v>21</v>
      </c>
      <c r="Y105" s="28" t="s">
        <v>22</v>
      </c>
    </row>
    <row r="106">
      <c r="A106" s="6">
        <v>101.0</v>
      </c>
      <c r="B106" s="7" t="s">
        <v>2967</v>
      </c>
      <c r="C106" s="8" t="s">
        <v>2968</v>
      </c>
      <c r="D106" s="9" t="s">
        <v>52</v>
      </c>
      <c r="E106" s="7" t="s">
        <v>2969</v>
      </c>
      <c r="F106" s="9">
        <v>22.0</v>
      </c>
      <c r="G106" s="9">
        <v>2001.0</v>
      </c>
      <c r="H106" s="10">
        <v>20.0</v>
      </c>
      <c r="I106" s="11">
        <v>1.199</v>
      </c>
      <c r="J106" s="11">
        <v>60.0</v>
      </c>
      <c r="K106" s="11" t="s">
        <v>564</v>
      </c>
      <c r="L106" s="11" t="s">
        <v>565</v>
      </c>
      <c r="M106" s="41">
        <v>0.0625</v>
      </c>
      <c r="N106" s="11">
        <v>86.0</v>
      </c>
      <c r="O106" s="42">
        <v>0.04722222222222222</v>
      </c>
      <c r="P106" s="41">
        <v>0.041666666666666664</v>
      </c>
      <c r="Q106" s="11">
        <v>21.0</v>
      </c>
      <c r="R106" s="42">
        <v>0.02638888888888889</v>
      </c>
      <c r="S106" s="13">
        <v>0.052083333333333336</v>
      </c>
      <c r="T106" s="42">
        <v>0.050694444444444445</v>
      </c>
      <c r="U106" s="42">
        <v>0.09097222222222222</v>
      </c>
      <c r="V106" s="45">
        <v>-0.06805555555555555</v>
      </c>
      <c r="W106" s="15">
        <v>-0.06805555555555555</v>
      </c>
      <c r="X106" s="15">
        <v>-0.034722222222222224</v>
      </c>
      <c r="Y106" s="16" t="s">
        <v>2970</v>
      </c>
    </row>
    <row r="107">
      <c r="A107" s="6">
        <v>102.0</v>
      </c>
      <c r="B107" s="7" t="s">
        <v>2971</v>
      </c>
      <c r="C107" s="8" t="s">
        <v>2972</v>
      </c>
      <c r="D107" s="9" t="s">
        <v>52</v>
      </c>
      <c r="E107" s="7" t="s">
        <v>2973</v>
      </c>
      <c r="F107" s="9">
        <v>25.0</v>
      </c>
      <c r="G107" s="9">
        <v>1998.0</v>
      </c>
      <c r="H107" s="10">
        <v>7.0</v>
      </c>
      <c r="I107" s="11">
        <v>494.0</v>
      </c>
      <c r="J107" s="11">
        <v>71.0</v>
      </c>
      <c r="K107" s="11" t="s">
        <v>570</v>
      </c>
      <c r="L107" s="11" t="s">
        <v>571</v>
      </c>
      <c r="M107" s="41">
        <v>0.04791666666666667</v>
      </c>
      <c r="N107" s="11">
        <v>79.0</v>
      </c>
      <c r="O107" s="42">
        <v>0.03819444444444445</v>
      </c>
      <c r="P107" s="41">
        <v>0.0125</v>
      </c>
      <c r="Q107" s="11">
        <v>23.0</v>
      </c>
      <c r="R107" s="43">
        <v>0.0</v>
      </c>
      <c r="S107" s="13">
        <v>0.07152777777777777</v>
      </c>
      <c r="T107" s="42">
        <v>0.08333333333333333</v>
      </c>
      <c r="U107" s="42">
        <v>0.08333333333333333</v>
      </c>
      <c r="V107" s="43">
        <v>0.0</v>
      </c>
      <c r="W107" s="21">
        <v>0.0</v>
      </c>
      <c r="X107" s="14" t="str">
        <f>+0.86</f>
        <v>#ERROR!</v>
      </c>
      <c r="Y107" s="16" t="s">
        <v>2974</v>
      </c>
    </row>
    <row r="108">
      <c r="A108" s="6">
        <v>103.0</v>
      </c>
      <c r="B108" s="7" t="s">
        <v>2975</v>
      </c>
      <c r="C108" s="8" t="s">
        <v>2976</v>
      </c>
      <c r="D108" s="9" t="s">
        <v>73</v>
      </c>
      <c r="E108" s="7" t="s">
        <v>2977</v>
      </c>
      <c r="F108" s="9">
        <v>20.0</v>
      </c>
      <c r="G108" s="9">
        <v>2003.0</v>
      </c>
      <c r="H108" s="10">
        <v>1.0</v>
      </c>
      <c r="I108" s="11">
        <v>90.0</v>
      </c>
      <c r="J108" s="11">
        <v>90.0</v>
      </c>
      <c r="K108" s="11" t="s">
        <v>576</v>
      </c>
      <c r="L108" s="11" t="s">
        <v>577</v>
      </c>
      <c r="M108" s="41">
        <v>0.041666666666666664</v>
      </c>
      <c r="N108" s="11">
        <v>90.0</v>
      </c>
      <c r="O108" s="42">
        <v>0.041666666666666664</v>
      </c>
      <c r="P108" s="46">
        <v>0.0</v>
      </c>
      <c r="Q108" s="19"/>
      <c r="R108" s="48" t="s">
        <v>1667</v>
      </c>
      <c r="S108" s="20">
        <v>0.0</v>
      </c>
      <c r="T108" s="42">
        <v>0.041666666666666664</v>
      </c>
      <c r="U108" s="42">
        <v>0.08333333333333333</v>
      </c>
      <c r="V108" s="45">
        <v>-0.041666666666666664</v>
      </c>
      <c r="W108" s="15">
        <v>-0.041666666666666664</v>
      </c>
      <c r="X108" s="15">
        <v>-0.04652777777777778</v>
      </c>
      <c r="Y108" s="16" t="s">
        <v>2978</v>
      </c>
    </row>
    <row r="109">
      <c r="A109" s="6">
        <v>104.0</v>
      </c>
      <c r="B109" s="7" t="s">
        <v>2979</v>
      </c>
      <c r="C109" s="8" t="s">
        <v>2980</v>
      </c>
      <c r="D109" s="9" t="s">
        <v>32</v>
      </c>
      <c r="E109" s="7" t="s">
        <v>2981</v>
      </c>
      <c r="F109" s="9">
        <v>33.0</v>
      </c>
      <c r="G109" s="9">
        <v>1990.0</v>
      </c>
      <c r="H109" s="10">
        <v>26.0</v>
      </c>
      <c r="I109" s="11">
        <v>1.382</v>
      </c>
      <c r="J109" s="11">
        <v>53.0</v>
      </c>
      <c r="K109" s="11" t="s">
        <v>582</v>
      </c>
      <c r="L109" s="11" t="s">
        <v>392</v>
      </c>
      <c r="M109" s="41">
        <v>0.05347222222222222</v>
      </c>
      <c r="N109" s="11">
        <v>67.0</v>
      </c>
      <c r="O109" s="42">
        <v>0.004166666666666667</v>
      </c>
      <c r="P109" s="41">
        <v>0.03611111111111111</v>
      </c>
      <c r="Q109" s="11">
        <v>23.0</v>
      </c>
      <c r="R109" s="42">
        <v>0.013194444444444444</v>
      </c>
      <c r="S109" s="13">
        <v>0.07916666666666666</v>
      </c>
      <c r="T109" s="42">
        <v>0.06666666666666667</v>
      </c>
      <c r="U109" s="42">
        <v>0.058333333333333334</v>
      </c>
      <c r="V109" s="44">
        <v>0.03611111111111111</v>
      </c>
      <c r="W109" s="14" t="str">
        <f>+0.52</f>
        <v>#ERROR!</v>
      </c>
      <c r="X109" s="14" t="str">
        <f>+0.93</f>
        <v>#ERROR!</v>
      </c>
      <c r="Y109" s="16" t="s">
        <v>2982</v>
      </c>
    </row>
    <row r="110">
      <c r="A110" s="6">
        <v>105.0</v>
      </c>
      <c r="B110" s="7" t="s">
        <v>2983</v>
      </c>
      <c r="C110" s="8" t="s">
        <v>2984</v>
      </c>
      <c r="D110" s="9" t="s">
        <v>52</v>
      </c>
      <c r="E110" s="7" t="s">
        <v>2985</v>
      </c>
      <c r="F110" s="9">
        <v>27.0</v>
      </c>
      <c r="G110" s="9">
        <v>1996.0</v>
      </c>
      <c r="H110" s="10">
        <v>30.0</v>
      </c>
      <c r="I110" s="11">
        <v>2.418</v>
      </c>
      <c r="J110" s="11">
        <v>81.0</v>
      </c>
      <c r="K110" s="11" t="s">
        <v>587</v>
      </c>
      <c r="L110" s="11" t="s">
        <v>588</v>
      </c>
      <c r="M110" s="41">
        <v>0.06458333333333334</v>
      </c>
      <c r="N110" s="11">
        <v>87.0</v>
      </c>
      <c r="O110" s="42">
        <v>0.04652777777777778</v>
      </c>
      <c r="P110" s="41">
        <v>0.013194444444444444</v>
      </c>
      <c r="Q110" s="11">
        <v>48.0</v>
      </c>
      <c r="R110" s="43">
        <v>0.0</v>
      </c>
      <c r="S110" s="13">
        <v>0.09722222222222222</v>
      </c>
      <c r="T110" s="42">
        <v>0.08611111111111111</v>
      </c>
      <c r="U110" s="42">
        <v>0.07291666666666667</v>
      </c>
      <c r="V110" s="44">
        <v>0.013194444444444444</v>
      </c>
      <c r="W110" s="14" t="str">
        <f>+0.19</f>
        <v>#ERROR!</v>
      </c>
      <c r="X110" s="14" t="str">
        <f>+0.19</f>
        <v>#ERROR!</v>
      </c>
      <c r="Y110" s="16" t="s">
        <v>2986</v>
      </c>
    </row>
    <row r="111">
      <c r="A111" s="6">
        <v>106.0</v>
      </c>
      <c r="B111" s="7" t="s">
        <v>2987</v>
      </c>
      <c r="C111" s="8" t="s">
        <v>2988</v>
      </c>
      <c r="D111" s="9" t="s">
        <v>52</v>
      </c>
      <c r="E111" s="7" t="s">
        <v>2989</v>
      </c>
      <c r="F111" s="9">
        <v>23.0</v>
      </c>
      <c r="G111" s="9">
        <v>2000.0</v>
      </c>
      <c r="H111" s="10">
        <v>10.0</v>
      </c>
      <c r="I111" s="11">
        <v>690.0</v>
      </c>
      <c r="J111" s="11">
        <v>69.0</v>
      </c>
      <c r="K111" s="11" t="s">
        <v>593</v>
      </c>
      <c r="L111" s="11" t="s">
        <v>206</v>
      </c>
      <c r="M111" s="41">
        <v>0.044444444444444446</v>
      </c>
      <c r="N111" s="11">
        <v>79.0</v>
      </c>
      <c r="O111" s="42">
        <v>0.03611111111111111</v>
      </c>
      <c r="P111" s="41">
        <v>0.018055555555555554</v>
      </c>
      <c r="Q111" s="11">
        <v>31.0</v>
      </c>
      <c r="R111" s="42">
        <v>0.04513888888888889</v>
      </c>
      <c r="S111" s="13">
        <v>0.0625</v>
      </c>
      <c r="T111" s="42">
        <v>0.0625</v>
      </c>
      <c r="U111" s="42">
        <v>0.13402777777777777</v>
      </c>
      <c r="V111" s="45">
        <v>-0.07152777777777777</v>
      </c>
      <c r="W111" s="15">
        <v>-0.07152777777777777</v>
      </c>
      <c r="X111" s="15">
        <v>-0.09375</v>
      </c>
      <c r="Y111" s="16" t="s">
        <v>2990</v>
      </c>
    </row>
    <row r="112">
      <c r="A112" s="6">
        <v>107.0</v>
      </c>
      <c r="B112" s="7" t="s">
        <v>2991</v>
      </c>
      <c r="C112" s="8" t="s">
        <v>2992</v>
      </c>
      <c r="D112" s="9" t="s">
        <v>52</v>
      </c>
      <c r="E112" s="7" t="s">
        <v>2993</v>
      </c>
      <c r="F112" s="9">
        <v>23.0</v>
      </c>
      <c r="G112" s="9">
        <v>2000.0</v>
      </c>
      <c r="H112" s="18">
        <v>0.0</v>
      </c>
      <c r="I112" s="19"/>
      <c r="J112" s="19"/>
      <c r="K112" s="19"/>
      <c r="L112" s="19"/>
      <c r="M112" s="18">
        <v>0.0</v>
      </c>
      <c r="N112" s="19"/>
      <c r="O112" s="12">
        <v>0.0</v>
      </c>
      <c r="P112" s="18">
        <v>0.0</v>
      </c>
      <c r="Q112" s="19"/>
      <c r="R112" s="11">
        <v>4.0</v>
      </c>
      <c r="S112" s="24"/>
      <c r="T112" s="19"/>
      <c r="U112" s="19"/>
      <c r="V112" s="19"/>
      <c r="W112" s="19"/>
      <c r="X112" s="19"/>
      <c r="Y112" s="16" t="s">
        <v>2994</v>
      </c>
    </row>
    <row r="113">
      <c r="A113" s="6">
        <v>108.0</v>
      </c>
      <c r="B113" s="7" t="s">
        <v>2995</v>
      </c>
      <c r="C113" s="8" t="s">
        <v>2996</v>
      </c>
      <c r="D113" s="9" t="s">
        <v>32</v>
      </c>
      <c r="E113" s="7" t="s">
        <v>2997</v>
      </c>
      <c r="F113" s="9">
        <v>24.0</v>
      </c>
      <c r="G113" s="9">
        <v>1999.0</v>
      </c>
      <c r="H113" s="10">
        <v>11.0</v>
      </c>
      <c r="I113" s="11">
        <v>596.0</v>
      </c>
      <c r="J113" s="11">
        <v>54.0</v>
      </c>
      <c r="K113" s="11" t="s">
        <v>602</v>
      </c>
      <c r="L113" s="11" t="s">
        <v>603</v>
      </c>
      <c r="M113" s="41">
        <v>0.06319444444444444</v>
      </c>
      <c r="N113" s="11">
        <v>76.0</v>
      </c>
      <c r="O113" s="42">
        <v>0.010416666666666666</v>
      </c>
      <c r="P113" s="41">
        <v>0.05277777777777778</v>
      </c>
      <c r="Q113" s="11">
        <v>29.0</v>
      </c>
      <c r="R113" s="42">
        <v>0.020833333333333332</v>
      </c>
      <c r="S113" s="13">
        <v>0.0798611111111111</v>
      </c>
      <c r="T113" s="42">
        <v>0.10902777777777778</v>
      </c>
      <c r="U113" s="42">
        <v>0.09861111111111111</v>
      </c>
      <c r="V113" s="44">
        <v>0.010416666666666666</v>
      </c>
      <c r="W113" s="14" t="str">
        <f>+0.15</f>
        <v>#ERROR!</v>
      </c>
      <c r="X113" s="14" t="str">
        <f>+0.07</f>
        <v>#ERROR!</v>
      </c>
      <c r="Y113" s="16" t="s">
        <v>2998</v>
      </c>
    </row>
    <row r="114">
      <c r="A114" s="6">
        <v>109.0</v>
      </c>
      <c r="B114" s="7" t="s">
        <v>2999</v>
      </c>
      <c r="C114" s="8" t="s">
        <v>3000</v>
      </c>
      <c r="D114" s="9" t="s">
        <v>59</v>
      </c>
      <c r="E114" s="7" t="s">
        <v>3001</v>
      </c>
      <c r="F114" s="9">
        <v>28.0</v>
      </c>
      <c r="G114" s="9">
        <v>1995.0</v>
      </c>
      <c r="H114" s="10">
        <v>25.0</v>
      </c>
      <c r="I114" s="11">
        <v>1.595</v>
      </c>
      <c r="J114" s="11">
        <v>64.0</v>
      </c>
      <c r="K114" s="11" t="s">
        <v>608</v>
      </c>
      <c r="L114" s="11" t="s">
        <v>609</v>
      </c>
      <c r="M114" s="41">
        <v>0.04652777777777778</v>
      </c>
      <c r="N114" s="11">
        <v>76.0</v>
      </c>
      <c r="O114" s="42">
        <v>0.019444444444444445</v>
      </c>
      <c r="P114" s="41">
        <v>0.02361111111111111</v>
      </c>
      <c r="Q114" s="11">
        <v>26.0</v>
      </c>
      <c r="R114" s="43">
        <v>0.0</v>
      </c>
      <c r="S114" s="13">
        <v>0.05555555555555555</v>
      </c>
      <c r="T114" s="42">
        <v>0.09791666666666667</v>
      </c>
      <c r="U114" s="42">
        <v>0.10555555555555556</v>
      </c>
      <c r="V114" s="45">
        <v>-0.007638888888888889</v>
      </c>
      <c r="W114" s="15">
        <v>-0.007638888888888889</v>
      </c>
      <c r="X114" s="14" t="str">
        <f>+0.29</f>
        <v>#ERROR!</v>
      </c>
      <c r="Y114" s="16" t="s">
        <v>3002</v>
      </c>
    </row>
    <row r="115">
      <c r="A115" s="6">
        <v>110.0</v>
      </c>
      <c r="B115" s="7" t="s">
        <v>3003</v>
      </c>
      <c r="C115" s="8" t="s">
        <v>3004</v>
      </c>
      <c r="D115" s="9" t="s">
        <v>59</v>
      </c>
      <c r="E115" s="7" t="s">
        <v>3005</v>
      </c>
      <c r="F115" s="9">
        <v>33.0</v>
      </c>
      <c r="G115" s="9">
        <v>1990.0</v>
      </c>
      <c r="H115" s="10">
        <v>19.0</v>
      </c>
      <c r="I115" s="11">
        <v>755.0</v>
      </c>
      <c r="J115" s="11">
        <v>40.0</v>
      </c>
      <c r="K115" s="11" t="s">
        <v>483</v>
      </c>
      <c r="L115" s="11" t="s">
        <v>484</v>
      </c>
      <c r="M115" s="41">
        <v>0.04652777777777778</v>
      </c>
      <c r="N115" s="11">
        <v>61.0</v>
      </c>
      <c r="O115" s="43">
        <v>0.0</v>
      </c>
      <c r="P115" s="41">
        <v>0.05486111111111111</v>
      </c>
      <c r="Q115" s="11">
        <v>20.0</v>
      </c>
      <c r="R115" s="43">
        <v>0.0</v>
      </c>
      <c r="S115" s="13">
        <v>0.10138888888888889</v>
      </c>
      <c r="T115" s="42">
        <v>0.08472222222222223</v>
      </c>
      <c r="U115" s="42">
        <v>0.04652777777777778</v>
      </c>
      <c r="V115" s="44">
        <v>0.06597222222222222</v>
      </c>
      <c r="W115" s="14" t="str">
        <f>+0.95</f>
        <v>#ERROR!</v>
      </c>
      <c r="X115" s="15">
        <v>-0.043055555555555555</v>
      </c>
      <c r="Y115" s="16" t="s">
        <v>3006</v>
      </c>
    </row>
    <row r="116">
      <c r="A116" s="6">
        <v>111.0</v>
      </c>
      <c r="B116" s="7" t="s">
        <v>3007</v>
      </c>
      <c r="C116" s="8" t="s">
        <v>3008</v>
      </c>
      <c r="D116" s="9" t="s">
        <v>52</v>
      </c>
      <c r="E116" s="7" t="s">
        <v>3009</v>
      </c>
      <c r="F116" s="9">
        <v>20.0</v>
      </c>
      <c r="G116" s="9">
        <v>2003.0</v>
      </c>
      <c r="H116" s="10">
        <v>3.0</v>
      </c>
      <c r="I116" s="11">
        <v>74.0</v>
      </c>
      <c r="J116" s="11">
        <v>25.0</v>
      </c>
      <c r="K116" s="11" t="s">
        <v>618</v>
      </c>
      <c r="L116" s="11" t="s">
        <v>245</v>
      </c>
      <c r="M116" s="41">
        <v>0.059027777777777776</v>
      </c>
      <c r="N116" s="11">
        <v>62.0</v>
      </c>
      <c r="O116" s="43">
        <v>0.0</v>
      </c>
      <c r="P116" s="41">
        <v>0.11805555555555555</v>
      </c>
      <c r="Q116" s="11">
        <v>6.0</v>
      </c>
      <c r="R116" s="42">
        <v>0.3854166666666667</v>
      </c>
      <c r="S116" s="13">
        <v>0.06458333333333334</v>
      </c>
      <c r="T116" s="43">
        <v>0.0</v>
      </c>
      <c r="U116" s="43">
        <v>0.0</v>
      </c>
      <c r="V116" s="43">
        <v>0.0</v>
      </c>
      <c r="W116" s="21">
        <v>0.0</v>
      </c>
      <c r="X116" s="15">
        <v>-0.05486111111111111</v>
      </c>
      <c r="Y116" s="16" t="s">
        <v>3010</v>
      </c>
    </row>
    <row r="117">
      <c r="A117" s="6">
        <v>112.0</v>
      </c>
      <c r="B117" s="7" t="s">
        <v>3011</v>
      </c>
      <c r="C117" s="8" t="s">
        <v>3012</v>
      </c>
      <c r="D117" s="9" t="s">
        <v>66</v>
      </c>
      <c r="E117" s="7" t="s">
        <v>3013</v>
      </c>
      <c r="F117" s="9">
        <v>21.0</v>
      </c>
      <c r="G117" s="9">
        <v>2002.0</v>
      </c>
      <c r="H117" s="10">
        <v>7.0</v>
      </c>
      <c r="I117" s="11">
        <v>121.0</v>
      </c>
      <c r="J117" s="11">
        <v>17.0</v>
      </c>
      <c r="K117" s="11" t="s">
        <v>623</v>
      </c>
      <c r="L117" s="11" t="s">
        <v>624</v>
      </c>
      <c r="M117" s="41">
        <v>0.05347222222222222</v>
      </c>
      <c r="N117" s="11">
        <v>57.0</v>
      </c>
      <c r="O117" s="43">
        <v>0.0</v>
      </c>
      <c r="P117" s="41">
        <v>0.20972222222222223</v>
      </c>
      <c r="Q117" s="11">
        <v>11.0</v>
      </c>
      <c r="R117" s="42">
        <v>0.1840277777777778</v>
      </c>
      <c r="S117" s="13">
        <v>0.08333333333333333</v>
      </c>
      <c r="T117" s="42">
        <v>0.13055555555555556</v>
      </c>
      <c r="U117" s="42">
        <v>0.07916666666666666</v>
      </c>
      <c r="V117" s="44">
        <v>0.07916666666666666</v>
      </c>
      <c r="W117" s="14" t="str">
        <f>+1.49</f>
        <v>#ERROR!</v>
      </c>
      <c r="X117" s="14" t="str">
        <f>+0.75</f>
        <v>#ERROR!</v>
      </c>
      <c r="Y117" s="16" t="s">
        <v>3014</v>
      </c>
    </row>
    <row r="118">
      <c r="A118" s="6">
        <v>113.0</v>
      </c>
      <c r="B118" s="7" t="s">
        <v>3015</v>
      </c>
      <c r="C118" s="8" t="s">
        <v>3016</v>
      </c>
      <c r="D118" s="9" t="s">
        <v>32</v>
      </c>
      <c r="E118" s="7" t="s">
        <v>3017</v>
      </c>
      <c r="F118" s="9">
        <v>22.0</v>
      </c>
      <c r="G118" s="9">
        <v>2001.0</v>
      </c>
      <c r="H118" s="10">
        <v>9.0</v>
      </c>
      <c r="I118" s="11">
        <v>304.0</v>
      </c>
      <c r="J118" s="11">
        <v>34.0</v>
      </c>
      <c r="K118" s="11" t="s">
        <v>111</v>
      </c>
      <c r="L118" s="11" t="s">
        <v>112</v>
      </c>
      <c r="M118" s="41">
        <v>0.06111111111111111</v>
      </c>
      <c r="N118" s="11">
        <v>63.0</v>
      </c>
      <c r="O118" s="43">
        <v>0.0</v>
      </c>
      <c r="P118" s="41">
        <v>0.09444444444444444</v>
      </c>
      <c r="Q118" s="11">
        <v>19.0</v>
      </c>
      <c r="R118" s="43">
        <v>0.0</v>
      </c>
      <c r="S118" s="13">
        <v>0.08333333333333333</v>
      </c>
      <c r="T118" s="42">
        <v>0.1076388888888889</v>
      </c>
      <c r="U118" s="42">
        <v>0.05416666666666667</v>
      </c>
      <c r="V118" s="44">
        <v>0.05416666666666667</v>
      </c>
      <c r="W118" s="14" t="str">
        <f>+1.18</f>
        <v>#ERROR!</v>
      </c>
      <c r="X118" s="14" t="str">
        <f>+1.26</f>
        <v>#ERROR!</v>
      </c>
      <c r="Y118" s="16" t="s">
        <v>3018</v>
      </c>
    </row>
    <row r="119">
      <c r="A119" s="6">
        <v>114.0</v>
      </c>
      <c r="B119" s="7" t="s">
        <v>3019</v>
      </c>
      <c r="C119" s="8" t="s">
        <v>3020</v>
      </c>
      <c r="D119" s="9" t="s">
        <v>66</v>
      </c>
      <c r="E119" s="7" t="s">
        <v>3021</v>
      </c>
      <c r="F119" s="9">
        <v>26.0</v>
      </c>
      <c r="G119" s="9">
        <v>1997.0</v>
      </c>
      <c r="H119" s="10">
        <v>12.0</v>
      </c>
      <c r="I119" s="11">
        <v>1.057</v>
      </c>
      <c r="J119" s="11">
        <v>88.0</v>
      </c>
      <c r="K119" s="11" t="s">
        <v>633</v>
      </c>
      <c r="L119" s="11" t="s">
        <v>634</v>
      </c>
      <c r="M119" s="41">
        <v>0.04375</v>
      </c>
      <c r="N119" s="11">
        <v>88.0</v>
      </c>
      <c r="O119" s="42">
        <v>0.059027777777777776</v>
      </c>
      <c r="P119" s="46">
        <v>0.0</v>
      </c>
      <c r="Q119" s="19"/>
      <c r="R119" s="42">
        <v>0.00625</v>
      </c>
      <c r="S119" s="13">
        <v>0.12986111111111112</v>
      </c>
      <c r="T119" s="42">
        <v>0.14027777777777778</v>
      </c>
      <c r="U119" s="42">
        <v>0.035416666666666666</v>
      </c>
      <c r="V119" s="44">
        <v>0.10486111111111111</v>
      </c>
      <c r="W119" s="14" t="str">
        <f>+2.30</f>
        <v>#ERROR!</v>
      </c>
      <c r="X119" s="14" t="str">
        <f>+1.48</f>
        <v>#ERROR!</v>
      </c>
      <c r="Y119" s="16" t="s">
        <v>3022</v>
      </c>
    </row>
    <row r="120">
      <c r="A120" s="6">
        <v>115.0</v>
      </c>
      <c r="B120" s="7" t="s">
        <v>3023</v>
      </c>
      <c r="C120" s="8" t="s">
        <v>3024</v>
      </c>
      <c r="D120" s="9" t="s">
        <v>52</v>
      </c>
      <c r="E120" s="7" t="s">
        <v>3025</v>
      </c>
      <c r="F120" s="9">
        <v>27.0</v>
      </c>
      <c r="G120" s="9">
        <v>1996.0</v>
      </c>
      <c r="H120" s="18">
        <v>0.0</v>
      </c>
      <c r="I120" s="19"/>
      <c r="J120" s="19"/>
      <c r="K120" s="19"/>
      <c r="L120" s="19"/>
      <c r="M120" s="18">
        <v>0.0</v>
      </c>
      <c r="N120" s="19"/>
      <c r="O120" s="12">
        <v>0.0</v>
      </c>
      <c r="P120" s="18">
        <v>0.0</v>
      </c>
      <c r="Q120" s="19"/>
      <c r="R120" s="11">
        <v>3.0</v>
      </c>
      <c r="S120" s="24"/>
      <c r="T120" s="19"/>
      <c r="U120" s="19"/>
      <c r="V120" s="19"/>
      <c r="W120" s="19"/>
      <c r="X120" s="19"/>
      <c r="Y120" s="16" t="s">
        <v>3026</v>
      </c>
    </row>
    <row r="121">
      <c r="A121" s="6">
        <v>116.0</v>
      </c>
      <c r="B121" s="7" t="s">
        <v>3027</v>
      </c>
      <c r="C121" s="8" t="s">
        <v>3028</v>
      </c>
      <c r="D121" s="9" t="s">
        <v>59</v>
      </c>
      <c r="E121" s="7" t="s">
        <v>3029</v>
      </c>
      <c r="F121" s="9">
        <v>18.0</v>
      </c>
      <c r="G121" s="9">
        <v>2005.0</v>
      </c>
      <c r="H121" s="10">
        <v>25.0</v>
      </c>
      <c r="I121" s="11">
        <v>647.0</v>
      </c>
      <c r="J121" s="11">
        <v>26.0</v>
      </c>
      <c r="K121" s="11" t="s">
        <v>643</v>
      </c>
      <c r="L121" s="11" t="s">
        <v>644</v>
      </c>
      <c r="M121" s="41">
        <v>0.04791666666666667</v>
      </c>
      <c r="N121" s="11">
        <v>73.0</v>
      </c>
      <c r="O121" s="42">
        <v>0.019444444444444445</v>
      </c>
      <c r="P121" s="41">
        <v>0.1375</v>
      </c>
      <c r="Q121" s="11">
        <v>14.0</v>
      </c>
      <c r="R121" s="42">
        <v>0.04791666666666667</v>
      </c>
      <c r="S121" s="13">
        <v>0.06944444444444445</v>
      </c>
      <c r="T121" s="42">
        <v>0.059027777777777776</v>
      </c>
      <c r="U121" s="42">
        <v>0.09861111111111111</v>
      </c>
      <c r="V121" s="45">
        <v>-0.06736111111111111</v>
      </c>
      <c r="W121" s="15">
        <v>-0.06736111111111111</v>
      </c>
      <c r="X121" s="15">
        <v>-0.07013888888888889</v>
      </c>
      <c r="Y121" s="16" t="s">
        <v>3030</v>
      </c>
    </row>
    <row r="122">
      <c r="A122" s="6">
        <v>117.0</v>
      </c>
      <c r="B122" s="7" t="s">
        <v>3031</v>
      </c>
      <c r="C122" s="8" t="s">
        <v>3032</v>
      </c>
      <c r="D122" s="9" t="s">
        <v>66</v>
      </c>
      <c r="E122" s="7" t="s">
        <v>3033</v>
      </c>
      <c r="F122" s="9">
        <v>20.0</v>
      </c>
      <c r="G122" s="9">
        <v>2003.0</v>
      </c>
      <c r="H122" s="10">
        <v>15.0</v>
      </c>
      <c r="I122" s="11">
        <v>1.35</v>
      </c>
      <c r="J122" s="11">
        <v>90.0</v>
      </c>
      <c r="K122" s="11" t="s">
        <v>174</v>
      </c>
      <c r="L122" s="11" t="s">
        <v>175</v>
      </c>
      <c r="M122" s="41">
        <v>0.041666666666666664</v>
      </c>
      <c r="N122" s="11">
        <v>90.0</v>
      </c>
      <c r="O122" s="42">
        <v>0.041666666666666664</v>
      </c>
      <c r="P122" s="46">
        <v>0.0</v>
      </c>
      <c r="Q122" s="19"/>
      <c r="R122" s="43">
        <v>0.0</v>
      </c>
      <c r="S122" s="13">
        <v>0.08819444444444445</v>
      </c>
      <c r="T122" s="42">
        <v>0.10625</v>
      </c>
      <c r="U122" s="42">
        <v>0.06458333333333334</v>
      </c>
      <c r="V122" s="44">
        <v>0.041666666666666664</v>
      </c>
      <c r="W122" s="14" t="str">
        <f>+1.00</f>
        <v>#ERROR!</v>
      </c>
      <c r="X122" s="14" t="str">
        <f>+1.33</f>
        <v>#ERROR!</v>
      </c>
      <c r="Y122" s="16" t="s">
        <v>3034</v>
      </c>
    </row>
    <row r="123">
      <c r="A123" s="6">
        <v>118.0</v>
      </c>
      <c r="B123" s="7" t="s">
        <v>3035</v>
      </c>
      <c r="C123" s="8" t="s">
        <v>3036</v>
      </c>
      <c r="D123" s="9" t="s">
        <v>73</v>
      </c>
      <c r="E123" s="7" t="s">
        <v>3037</v>
      </c>
      <c r="F123" s="9">
        <v>37.0</v>
      </c>
      <c r="G123" s="9">
        <v>1986.0</v>
      </c>
      <c r="H123" s="10">
        <v>20.0</v>
      </c>
      <c r="I123" s="11">
        <v>1.8</v>
      </c>
      <c r="J123" s="11">
        <v>90.0</v>
      </c>
      <c r="K123" s="11" t="s">
        <v>653</v>
      </c>
      <c r="L123" s="11" t="s">
        <v>654</v>
      </c>
      <c r="M123" s="41">
        <v>0.041666666666666664</v>
      </c>
      <c r="N123" s="11">
        <v>90.0</v>
      </c>
      <c r="O123" s="42">
        <v>0.041666666666666664</v>
      </c>
      <c r="P123" s="46">
        <v>0.0</v>
      </c>
      <c r="Q123" s="19"/>
      <c r="R123" s="42">
        <v>0.020833333333333332</v>
      </c>
      <c r="S123" s="13">
        <v>0.10416666666666667</v>
      </c>
      <c r="T123" s="42">
        <v>0.11805555555555555</v>
      </c>
      <c r="U123" s="42">
        <v>0.04861111111111111</v>
      </c>
      <c r="V123" s="44">
        <v>0.09722222222222222</v>
      </c>
      <c r="W123" s="14" t="str">
        <f>+1.80</f>
        <v>#ERROR!</v>
      </c>
      <c r="X123" s="14" t="str">
        <f>+1.20</f>
        <v>#ERROR!</v>
      </c>
      <c r="Y123" s="16" t="s">
        <v>3038</v>
      </c>
    </row>
    <row r="124">
      <c r="A124" s="6">
        <v>119.0</v>
      </c>
      <c r="B124" s="7" t="s">
        <v>3039</v>
      </c>
      <c r="C124" s="8" t="s">
        <v>3040</v>
      </c>
      <c r="D124" s="9" t="s">
        <v>52</v>
      </c>
      <c r="E124" s="7" t="s">
        <v>3041</v>
      </c>
      <c r="F124" s="9">
        <v>26.0</v>
      </c>
      <c r="G124" s="9">
        <v>1997.0</v>
      </c>
      <c r="H124" s="18">
        <v>0.0</v>
      </c>
      <c r="I124" s="19"/>
      <c r="J124" s="19"/>
      <c r="K124" s="19"/>
      <c r="L124" s="19"/>
      <c r="M124" s="18">
        <v>0.0</v>
      </c>
      <c r="N124" s="19"/>
      <c r="O124" s="12">
        <v>0.0</v>
      </c>
      <c r="P124" s="18">
        <v>0.0</v>
      </c>
      <c r="Q124" s="19"/>
      <c r="R124" s="11">
        <v>5.0</v>
      </c>
      <c r="S124" s="24"/>
      <c r="T124" s="19"/>
      <c r="U124" s="19"/>
      <c r="V124" s="19"/>
      <c r="W124" s="19"/>
      <c r="X124" s="19"/>
      <c r="Y124" s="16" t="s">
        <v>3042</v>
      </c>
    </row>
    <row r="125">
      <c r="A125" s="6">
        <v>120.0</v>
      </c>
      <c r="B125" s="7" t="s">
        <v>3043</v>
      </c>
      <c r="C125" s="8" t="s">
        <v>3044</v>
      </c>
      <c r="D125" s="9" t="s">
        <v>66</v>
      </c>
      <c r="E125" s="7" t="s">
        <v>3045</v>
      </c>
      <c r="F125" s="9">
        <v>34.0</v>
      </c>
      <c r="G125" s="9">
        <v>1989.0</v>
      </c>
      <c r="H125" s="10">
        <v>23.0</v>
      </c>
      <c r="I125" s="11">
        <v>1.909</v>
      </c>
      <c r="J125" s="11">
        <v>83.0</v>
      </c>
      <c r="K125" s="11" t="s">
        <v>663</v>
      </c>
      <c r="L125" s="11" t="s">
        <v>664</v>
      </c>
      <c r="M125" s="41">
        <v>0.044444444444444446</v>
      </c>
      <c r="N125" s="11">
        <v>86.0</v>
      </c>
      <c r="O125" s="42">
        <v>0.06875</v>
      </c>
      <c r="P125" s="41">
        <v>0.003472222222222222</v>
      </c>
      <c r="Q125" s="11">
        <v>7.0</v>
      </c>
      <c r="R125" s="42">
        <v>0.009722222222222222</v>
      </c>
      <c r="S125" s="13">
        <v>0.07777777777777778</v>
      </c>
      <c r="T125" s="42">
        <v>0.05763888888888889</v>
      </c>
      <c r="U125" s="42">
        <v>0.06388888888888888</v>
      </c>
      <c r="V125" s="45">
        <v>-0.00625</v>
      </c>
      <c r="W125" s="15">
        <v>-0.00625</v>
      </c>
      <c r="X125" s="15">
        <v>-0.07361111111111111</v>
      </c>
      <c r="Y125" s="16" t="s">
        <v>3046</v>
      </c>
    </row>
    <row r="126">
      <c r="A126" s="6">
        <v>121.0</v>
      </c>
      <c r="B126" s="7" t="s">
        <v>3047</v>
      </c>
      <c r="C126" s="8" t="s">
        <v>3048</v>
      </c>
      <c r="D126" s="9" t="s">
        <v>66</v>
      </c>
      <c r="E126" s="7" t="s">
        <v>3049</v>
      </c>
      <c r="F126" s="9">
        <v>17.0</v>
      </c>
      <c r="G126" s="9">
        <v>2006.0</v>
      </c>
      <c r="H126" s="18">
        <v>0.0</v>
      </c>
      <c r="I126" s="19"/>
      <c r="J126" s="19"/>
      <c r="K126" s="19"/>
      <c r="L126" s="19"/>
      <c r="M126" s="18">
        <v>0.0</v>
      </c>
      <c r="N126" s="19"/>
      <c r="O126" s="12">
        <v>0.0</v>
      </c>
      <c r="P126" s="18">
        <v>0.0</v>
      </c>
      <c r="Q126" s="19"/>
      <c r="R126" s="11">
        <v>9.0</v>
      </c>
      <c r="S126" s="24"/>
      <c r="T126" s="19"/>
      <c r="U126" s="19"/>
      <c r="V126" s="19"/>
      <c r="W126" s="19"/>
      <c r="X126" s="19"/>
      <c r="Y126" s="16" t="s">
        <v>3050</v>
      </c>
    </row>
    <row r="127">
      <c r="A127" s="6">
        <v>122.0</v>
      </c>
      <c r="B127" s="7" t="s">
        <v>3051</v>
      </c>
      <c r="C127" s="8" t="s">
        <v>3052</v>
      </c>
      <c r="D127" s="9" t="s">
        <v>32</v>
      </c>
      <c r="E127" s="7" t="s">
        <v>3053</v>
      </c>
      <c r="F127" s="9">
        <v>24.0</v>
      </c>
      <c r="G127" s="9">
        <v>1999.0</v>
      </c>
      <c r="H127" s="10">
        <v>20.0</v>
      </c>
      <c r="I127" s="11">
        <v>809.0</v>
      </c>
      <c r="J127" s="11">
        <v>40.0</v>
      </c>
      <c r="K127" s="11" t="s">
        <v>673</v>
      </c>
      <c r="L127" s="11" t="s">
        <v>674</v>
      </c>
      <c r="M127" s="41">
        <v>0.041666666666666664</v>
      </c>
      <c r="N127" s="11">
        <v>74.0</v>
      </c>
      <c r="O127" s="42">
        <v>0.015277777777777777</v>
      </c>
      <c r="P127" s="41">
        <v>0.05694444444444444</v>
      </c>
      <c r="Q127" s="11">
        <v>13.0</v>
      </c>
      <c r="R127" s="42">
        <v>0.06180555555555556</v>
      </c>
      <c r="S127" s="13">
        <v>0.03125</v>
      </c>
      <c r="T127" s="42">
        <v>0.06180555555555556</v>
      </c>
      <c r="U127" s="42">
        <v>0.08055555555555556</v>
      </c>
      <c r="V127" s="45">
        <v>-0.04652777777777778</v>
      </c>
      <c r="W127" s="15">
        <v>-0.04652777777777778</v>
      </c>
      <c r="X127" s="15">
        <v>-0.009722222222222222</v>
      </c>
      <c r="Y127" s="16" t="s">
        <v>3054</v>
      </c>
    </row>
    <row r="128">
      <c r="A128" s="6">
        <v>123.0</v>
      </c>
      <c r="B128" s="7" t="s">
        <v>3055</v>
      </c>
      <c r="C128" s="8" t="s">
        <v>3056</v>
      </c>
      <c r="D128" s="9" t="s">
        <v>73</v>
      </c>
      <c r="E128" s="7" t="s">
        <v>3057</v>
      </c>
      <c r="F128" s="9">
        <v>29.0</v>
      </c>
      <c r="G128" s="9">
        <v>1994.0</v>
      </c>
      <c r="H128" s="10">
        <v>3.0</v>
      </c>
      <c r="I128" s="11">
        <v>197.0</v>
      </c>
      <c r="J128" s="11">
        <v>66.0</v>
      </c>
      <c r="K128" s="11" t="s">
        <v>679</v>
      </c>
      <c r="L128" s="11" t="s">
        <v>680</v>
      </c>
      <c r="M128" s="41">
        <v>0.06319444444444444</v>
      </c>
      <c r="N128" s="11">
        <v>90.0</v>
      </c>
      <c r="O128" s="42">
        <v>0.06319444444444444</v>
      </c>
      <c r="P128" s="41">
        <v>0.03125</v>
      </c>
      <c r="Q128" s="11">
        <v>17.0</v>
      </c>
      <c r="R128" s="48" t="s">
        <v>225</v>
      </c>
      <c r="S128" s="13">
        <v>0.08333333333333333</v>
      </c>
      <c r="T128" s="42">
        <v>0.06319444444444444</v>
      </c>
      <c r="U128" s="42">
        <v>0.13402777777777777</v>
      </c>
      <c r="V128" s="45">
        <v>-0.09861111111111111</v>
      </c>
      <c r="W128" s="15">
        <v>-0.09930555555555555</v>
      </c>
      <c r="X128" s="15">
        <v>-0.09375</v>
      </c>
      <c r="Y128" s="16" t="s">
        <v>3058</v>
      </c>
    </row>
    <row r="129">
      <c r="A129" s="6">
        <v>124.0</v>
      </c>
      <c r="B129" s="7" t="s">
        <v>3059</v>
      </c>
      <c r="C129" s="8" t="s">
        <v>3060</v>
      </c>
      <c r="D129" s="9" t="s">
        <v>66</v>
      </c>
      <c r="E129" s="7" t="s">
        <v>3061</v>
      </c>
      <c r="F129" s="9">
        <v>22.0</v>
      </c>
      <c r="G129" s="9">
        <v>2001.0</v>
      </c>
      <c r="H129" s="10">
        <v>12.0</v>
      </c>
      <c r="I129" s="11">
        <v>1.019</v>
      </c>
      <c r="J129" s="11">
        <v>85.0</v>
      </c>
      <c r="K129" s="11" t="s">
        <v>685</v>
      </c>
      <c r="L129" s="11" t="s">
        <v>111</v>
      </c>
      <c r="M129" s="41">
        <v>0.04583333333333333</v>
      </c>
      <c r="N129" s="11">
        <v>85.0</v>
      </c>
      <c r="O129" s="42">
        <v>0.043055555555555555</v>
      </c>
      <c r="P129" s="46">
        <v>0.0</v>
      </c>
      <c r="Q129" s="19"/>
      <c r="R129" s="43">
        <v>0.0</v>
      </c>
      <c r="S129" s="13">
        <v>0.04652777777777778</v>
      </c>
      <c r="T129" s="42">
        <v>0.030555555555555555</v>
      </c>
      <c r="U129" s="42">
        <v>0.058333333333333334</v>
      </c>
      <c r="V129" s="45">
        <v>-0.05555555555555555</v>
      </c>
      <c r="W129" s="15">
        <v>-0.05486111111111111</v>
      </c>
      <c r="X129" s="15">
        <v>-0.025694444444444443</v>
      </c>
      <c r="Y129" s="16" t="s">
        <v>3062</v>
      </c>
    </row>
    <row r="130">
      <c r="A130" s="6">
        <v>125.0</v>
      </c>
      <c r="B130" s="7" t="s">
        <v>3063</v>
      </c>
      <c r="C130" s="8" t="s">
        <v>3064</v>
      </c>
      <c r="D130" s="9" t="s">
        <v>73</v>
      </c>
      <c r="E130" s="7" t="s">
        <v>3065</v>
      </c>
      <c r="F130" s="9">
        <v>21.0</v>
      </c>
      <c r="G130" s="9">
        <v>2002.0</v>
      </c>
      <c r="H130" s="10">
        <v>13.0</v>
      </c>
      <c r="I130" s="11">
        <v>1.17</v>
      </c>
      <c r="J130" s="11">
        <v>90.0</v>
      </c>
      <c r="K130" s="11" t="s">
        <v>690</v>
      </c>
      <c r="L130" s="11" t="s">
        <v>691</v>
      </c>
      <c r="M130" s="41">
        <v>0.041666666666666664</v>
      </c>
      <c r="N130" s="11">
        <v>90.0</v>
      </c>
      <c r="O130" s="42">
        <v>0.041666666666666664</v>
      </c>
      <c r="P130" s="46">
        <v>0.0</v>
      </c>
      <c r="Q130" s="19"/>
      <c r="R130" s="43">
        <v>0.0</v>
      </c>
      <c r="S130" s="13">
        <v>0.08958333333333333</v>
      </c>
      <c r="T130" s="42">
        <v>0.08472222222222223</v>
      </c>
      <c r="U130" s="42">
        <v>0.052083333333333336</v>
      </c>
      <c r="V130" s="44">
        <v>0.03194444444444444</v>
      </c>
      <c r="W130" s="14" t="str">
        <f>+0.46</f>
        <v>#ERROR!</v>
      </c>
      <c r="X130" s="15">
        <v>-0.0375</v>
      </c>
      <c r="Y130" s="16" t="s">
        <v>3066</v>
      </c>
    </row>
    <row r="131">
      <c r="A131" s="25" t="s">
        <v>0</v>
      </c>
      <c r="B131" s="26" t="s">
        <v>1</v>
      </c>
      <c r="C131" s="27" t="s">
        <v>2</v>
      </c>
      <c r="D131" s="27" t="s">
        <v>3</v>
      </c>
      <c r="E131" s="27" t="s">
        <v>4</v>
      </c>
      <c r="F131" s="27" t="s">
        <v>5</v>
      </c>
      <c r="G131" s="27" t="s">
        <v>6</v>
      </c>
      <c r="H131" s="28" t="s">
        <v>7</v>
      </c>
      <c r="I131" s="27" t="s">
        <v>8</v>
      </c>
      <c r="J131" s="27" t="s">
        <v>9</v>
      </c>
      <c r="K131" s="27" t="s">
        <v>10</v>
      </c>
      <c r="L131" s="27" t="s">
        <v>11</v>
      </c>
      <c r="M131" s="28" t="s">
        <v>12</v>
      </c>
      <c r="N131" s="27" t="s">
        <v>13</v>
      </c>
      <c r="O131" s="27" t="s">
        <v>14</v>
      </c>
      <c r="P131" s="28" t="s">
        <v>15</v>
      </c>
      <c r="Q131" s="27" t="s">
        <v>16</v>
      </c>
      <c r="R131" s="27" t="s">
        <v>17</v>
      </c>
      <c r="S131" s="28" t="s">
        <v>18</v>
      </c>
      <c r="T131" s="27" t="s">
        <v>19</v>
      </c>
      <c r="U131" s="27" t="s">
        <v>20</v>
      </c>
      <c r="V131" s="29" t="str">
        <f>+/-</f>
        <v>#ERROR!</v>
      </c>
      <c r="W131" s="29" t="str">
        <f>+/-90</f>
        <v>#ERROR!</v>
      </c>
      <c r="X131" s="27" t="s">
        <v>21</v>
      </c>
      <c r="Y131" s="28" t="s">
        <v>22</v>
      </c>
    </row>
    <row r="132">
      <c r="A132" s="6">
        <v>126.0</v>
      </c>
      <c r="B132" s="7" t="s">
        <v>3067</v>
      </c>
      <c r="C132" s="8" t="s">
        <v>3068</v>
      </c>
      <c r="D132" s="9" t="s">
        <v>32</v>
      </c>
      <c r="E132" s="7" t="s">
        <v>3069</v>
      </c>
      <c r="F132" s="9">
        <v>17.0</v>
      </c>
      <c r="G132" s="9">
        <v>2006.0</v>
      </c>
      <c r="H132" s="18">
        <v>0.0</v>
      </c>
      <c r="I132" s="19"/>
      <c r="J132" s="19"/>
      <c r="K132" s="19"/>
      <c r="L132" s="19"/>
      <c r="M132" s="18">
        <v>0.0</v>
      </c>
      <c r="N132" s="19"/>
      <c r="O132" s="12">
        <v>0.0</v>
      </c>
      <c r="P132" s="18">
        <v>0.0</v>
      </c>
      <c r="Q132" s="19"/>
      <c r="R132" s="11">
        <v>1.0</v>
      </c>
      <c r="S132" s="24"/>
      <c r="T132" s="19"/>
      <c r="U132" s="19"/>
      <c r="V132" s="19"/>
      <c r="W132" s="19"/>
      <c r="X132" s="19"/>
      <c r="Y132" s="16" t="s">
        <v>3070</v>
      </c>
    </row>
    <row r="133">
      <c r="A133" s="6">
        <v>127.0</v>
      </c>
      <c r="B133" s="7" t="s">
        <v>3071</v>
      </c>
      <c r="C133" s="8" t="s">
        <v>3072</v>
      </c>
      <c r="D133" s="9" t="s">
        <v>284</v>
      </c>
      <c r="E133" s="7" t="s">
        <v>3073</v>
      </c>
      <c r="F133" s="9">
        <v>26.0</v>
      </c>
      <c r="G133" s="9">
        <v>1997.0</v>
      </c>
      <c r="H133" s="10">
        <v>26.0</v>
      </c>
      <c r="I133" s="11">
        <v>2.239</v>
      </c>
      <c r="J133" s="11">
        <v>86.0</v>
      </c>
      <c r="K133" s="11" t="s">
        <v>700</v>
      </c>
      <c r="L133" s="11" t="s">
        <v>701</v>
      </c>
      <c r="M133" s="41">
        <v>0.044444444444444446</v>
      </c>
      <c r="N133" s="11">
        <v>86.0</v>
      </c>
      <c r="O133" s="42">
        <v>0.03611111111111111</v>
      </c>
      <c r="P133" s="46">
        <v>0.0</v>
      </c>
      <c r="Q133" s="19"/>
      <c r="R133" s="42">
        <v>0.005555555555555556</v>
      </c>
      <c r="S133" s="13">
        <v>0.10069444444444445</v>
      </c>
      <c r="T133" s="42">
        <v>0.07569444444444444</v>
      </c>
      <c r="U133" s="42">
        <v>0.07013888888888889</v>
      </c>
      <c r="V133" s="44">
        <v>0.005555555555555556</v>
      </c>
      <c r="W133" s="14" t="str">
        <f>+0.08</f>
        <v>#ERROR!</v>
      </c>
      <c r="X133" s="15">
        <v>-0.035416666666666666</v>
      </c>
      <c r="Y133" s="16" t="s">
        <v>3074</v>
      </c>
    </row>
    <row r="134">
      <c r="A134" s="6">
        <v>128.0</v>
      </c>
      <c r="B134" s="7" t="s">
        <v>3075</v>
      </c>
      <c r="C134" s="8" t="s">
        <v>3076</v>
      </c>
      <c r="D134" s="9" t="s">
        <v>284</v>
      </c>
      <c r="E134" s="7" t="s">
        <v>3077</v>
      </c>
      <c r="F134" s="9">
        <v>25.0</v>
      </c>
      <c r="G134" s="9">
        <v>1998.0</v>
      </c>
      <c r="H134" s="10">
        <v>12.0</v>
      </c>
      <c r="I134" s="11">
        <v>1.035</v>
      </c>
      <c r="J134" s="11">
        <v>86.0</v>
      </c>
      <c r="K134" s="11" t="s">
        <v>706</v>
      </c>
      <c r="L134" s="11" t="s">
        <v>707</v>
      </c>
      <c r="M134" s="41">
        <v>0.044444444444444446</v>
      </c>
      <c r="N134" s="11">
        <v>86.0</v>
      </c>
      <c r="O134" s="42">
        <v>0.06666666666666667</v>
      </c>
      <c r="P134" s="46">
        <v>0.0</v>
      </c>
      <c r="Q134" s="19"/>
      <c r="R134" s="43">
        <v>0.0</v>
      </c>
      <c r="S134" s="13">
        <v>0.06388888888888888</v>
      </c>
      <c r="T134" s="42">
        <v>0.0625</v>
      </c>
      <c r="U134" s="42">
        <v>0.12569444444444444</v>
      </c>
      <c r="V134" s="45">
        <v>-0.0625</v>
      </c>
      <c r="W134" s="15">
        <v>-0.0625</v>
      </c>
      <c r="X134" s="15">
        <v>-0.06805555555555555</v>
      </c>
      <c r="Y134" s="16" t="s">
        <v>3078</v>
      </c>
    </row>
    <row r="135">
      <c r="A135" s="6">
        <v>129.0</v>
      </c>
      <c r="B135" s="7" t="s">
        <v>3079</v>
      </c>
      <c r="C135" s="8" t="s">
        <v>3080</v>
      </c>
      <c r="D135" s="9" t="s">
        <v>52</v>
      </c>
      <c r="E135" s="7" t="s">
        <v>3081</v>
      </c>
      <c r="F135" s="9">
        <v>34.0</v>
      </c>
      <c r="G135" s="9">
        <v>1989.0</v>
      </c>
      <c r="H135" s="10">
        <v>17.0</v>
      </c>
      <c r="I135" s="11">
        <v>681.0</v>
      </c>
      <c r="J135" s="11">
        <v>40.0</v>
      </c>
      <c r="K135" s="11" t="s">
        <v>712</v>
      </c>
      <c r="L135" s="11" t="s">
        <v>713</v>
      </c>
      <c r="M135" s="41">
        <v>0.04583333333333333</v>
      </c>
      <c r="N135" s="11">
        <v>75.0</v>
      </c>
      <c r="O135" s="42">
        <v>0.009027777777777777</v>
      </c>
      <c r="P135" s="41">
        <v>0.08194444444444444</v>
      </c>
      <c r="Q135" s="11">
        <v>25.0</v>
      </c>
      <c r="R135" s="42">
        <v>0.027083333333333334</v>
      </c>
      <c r="S135" s="13">
        <v>0.08333333333333333</v>
      </c>
      <c r="T135" s="42">
        <v>0.08194444444444444</v>
      </c>
      <c r="U135" s="42">
        <v>0.04513888888888889</v>
      </c>
      <c r="V135" s="44">
        <v>0.03680555555555556</v>
      </c>
      <c r="W135" s="14" t="str">
        <f>+0.53</f>
        <v>#ERROR!</v>
      </c>
      <c r="X135" s="14" t="str">
        <f>+0.26</f>
        <v>#ERROR!</v>
      </c>
      <c r="Y135" s="16" t="s">
        <v>3082</v>
      </c>
    </row>
    <row r="136">
      <c r="A136" s="6">
        <v>130.0</v>
      </c>
      <c r="B136" s="7" t="s">
        <v>3083</v>
      </c>
      <c r="C136" s="8" t="s">
        <v>3084</v>
      </c>
      <c r="D136" s="9" t="s">
        <v>73</v>
      </c>
      <c r="E136" s="7" t="s">
        <v>3085</v>
      </c>
      <c r="F136" s="9">
        <v>19.0</v>
      </c>
      <c r="G136" s="9">
        <v>2004.0</v>
      </c>
      <c r="H136" s="10">
        <v>2.0</v>
      </c>
      <c r="I136" s="11">
        <v>180.0</v>
      </c>
      <c r="J136" s="11">
        <v>90.0</v>
      </c>
      <c r="K136" s="11" t="s">
        <v>412</v>
      </c>
      <c r="L136" s="11" t="s">
        <v>413</v>
      </c>
      <c r="M136" s="41">
        <v>0.041666666666666664</v>
      </c>
      <c r="N136" s="11">
        <v>90.0</v>
      </c>
      <c r="O136" s="42">
        <v>0.041666666666666664</v>
      </c>
      <c r="P136" s="46">
        <v>0.0</v>
      </c>
      <c r="Q136" s="19"/>
      <c r="R136" s="42">
        <v>0.3333333333333333</v>
      </c>
      <c r="S136" s="13">
        <v>0.034722222222222224</v>
      </c>
      <c r="T136" s="42">
        <v>0.08333333333333333</v>
      </c>
      <c r="U136" s="42">
        <v>0.11805555555555555</v>
      </c>
      <c r="V136" s="45">
        <v>-0.034722222222222224</v>
      </c>
      <c r="W136" s="15">
        <v>-0.034722222222222224</v>
      </c>
      <c r="X136" s="15">
        <v>-0.02013888888888889</v>
      </c>
      <c r="Y136" s="16" t="s">
        <v>3086</v>
      </c>
    </row>
    <row r="137">
      <c r="A137" s="6">
        <v>131.0</v>
      </c>
      <c r="B137" s="7" t="s">
        <v>3087</v>
      </c>
      <c r="C137" s="8" t="s">
        <v>3088</v>
      </c>
      <c r="D137" s="9" t="s">
        <v>66</v>
      </c>
      <c r="E137" s="7" t="s">
        <v>3089</v>
      </c>
      <c r="F137" s="9">
        <v>21.0</v>
      </c>
      <c r="G137" s="9">
        <v>2003.0</v>
      </c>
      <c r="H137" s="10">
        <v>6.0</v>
      </c>
      <c r="I137" s="11">
        <v>80.0</v>
      </c>
      <c r="J137" s="11">
        <v>13.0</v>
      </c>
      <c r="K137" s="11" t="s">
        <v>351</v>
      </c>
      <c r="L137" s="11" t="s">
        <v>194</v>
      </c>
      <c r="M137" s="41">
        <v>0.049305555555555554</v>
      </c>
      <c r="N137" s="11">
        <v>66.0</v>
      </c>
      <c r="O137" s="43">
        <v>0.0</v>
      </c>
      <c r="P137" s="41">
        <v>0.24722222222222223</v>
      </c>
      <c r="Q137" s="11">
        <v>3.0</v>
      </c>
      <c r="R137" s="48" t="s">
        <v>3090</v>
      </c>
      <c r="S137" s="13">
        <v>0.08333333333333333</v>
      </c>
      <c r="T137" s="42">
        <v>0.049305555555555554</v>
      </c>
      <c r="U137" s="42">
        <v>0.049305555555555554</v>
      </c>
      <c r="V137" s="43">
        <v>0.0</v>
      </c>
      <c r="W137" s="21">
        <v>0.0</v>
      </c>
      <c r="X137" s="15">
        <v>-0.0020833333333333333</v>
      </c>
      <c r="Y137" s="16" t="s">
        <v>3091</v>
      </c>
    </row>
    <row r="138">
      <c r="A138" s="6">
        <v>132.0</v>
      </c>
      <c r="B138" s="7" t="s">
        <v>3092</v>
      </c>
      <c r="C138" s="8" t="s">
        <v>3093</v>
      </c>
      <c r="D138" s="9" t="s">
        <v>66</v>
      </c>
      <c r="E138" s="7" t="s">
        <v>3094</v>
      </c>
      <c r="F138" s="9">
        <v>18.0</v>
      </c>
      <c r="G138" s="9">
        <v>2005.0</v>
      </c>
      <c r="H138" s="10">
        <v>1.0</v>
      </c>
      <c r="I138" s="11">
        <v>1.0</v>
      </c>
      <c r="J138" s="11">
        <v>1.0</v>
      </c>
      <c r="K138" s="12" t="s">
        <v>470</v>
      </c>
      <c r="L138" s="12" t="s">
        <v>470</v>
      </c>
      <c r="M138" s="18">
        <v>0.0</v>
      </c>
      <c r="N138" s="19"/>
      <c r="O138" s="12">
        <v>0.0</v>
      </c>
      <c r="P138" s="10">
        <v>1.0</v>
      </c>
      <c r="Q138" s="11">
        <v>1.0</v>
      </c>
      <c r="R138" s="11">
        <v>7.0</v>
      </c>
      <c r="S138" s="13">
        <v>0.125</v>
      </c>
      <c r="T138" s="12">
        <v>0.0</v>
      </c>
      <c r="U138" s="12">
        <v>0.0</v>
      </c>
      <c r="V138" s="12">
        <v>0.0</v>
      </c>
      <c r="W138" s="21">
        <v>0.0</v>
      </c>
      <c r="X138" s="15">
        <v>-0.05347222222222222</v>
      </c>
      <c r="Y138" s="16" t="s">
        <v>3095</v>
      </c>
    </row>
    <row r="139">
      <c r="A139" s="6">
        <v>133.0</v>
      </c>
      <c r="B139" s="7" t="s">
        <v>3096</v>
      </c>
      <c r="C139" s="22"/>
      <c r="D139" s="9" t="s">
        <v>52</v>
      </c>
      <c r="E139" s="7" t="s">
        <v>3097</v>
      </c>
      <c r="F139" s="23"/>
      <c r="G139" s="23"/>
      <c r="H139" s="18">
        <v>0.0</v>
      </c>
      <c r="I139" s="19"/>
      <c r="J139" s="19"/>
      <c r="K139" s="19"/>
      <c r="L139" s="19"/>
      <c r="M139" s="18">
        <v>0.0</v>
      </c>
      <c r="N139" s="19"/>
      <c r="O139" s="12">
        <v>0.0</v>
      </c>
      <c r="P139" s="18">
        <v>0.0</v>
      </c>
      <c r="Q139" s="19"/>
      <c r="R139" s="11">
        <v>1.0</v>
      </c>
      <c r="S139" s="24"/>
      <c r="T139" s="19"/>
      <c r="U139" s="19"/>
      <c r="V139" s="19"/>
      <c r="W139" s="19"/>
      <c r="X139" s="19"/>
      <c r="Y139" s="16" t="s">
        <v>3098</v>
      </c>
    </row>
    <row r="140">
      <c r="A140" s="6">
        <v>134.0</v>
      </c>
      <c r="B140" s="7" t="s">
        <v>3099</v>
      </c>
      <c r="C140" s="8" t="s">
        <v>3100</v>
      </c>
      <c r="D140" s="9" t="s">
        <v>45</v>
      </c>
      <c r="E140" s="7" t="s">
        <v>3101</v>
      </c>
      <c r="F140" s="9">
        <v>27.0</v>
      </c>
      <c r="G140" s="9">
        <v>1996.0</v>
      </c>
      <c r="H140" s="10">
        <v>26.0</v>
      </c>
      <c r="I140" s="11">
        <v>1.991</v>
      </c>
      <c r="J140" s="11">
        <v>77.0</v>
      </c>
      <c r="K140" s="11" t="s">
        <v>733</v>
      </c>
      <c r="L140" s="11" t="s">
        <v>602</v>
      </c>
      <c r="M140" s="41">
        <v>0.044444444444444446</v>
      </c>
      <c r="N140" s="11">
        <v>82.0</v>
      </c>
      <c r="O140" s="42">
        <v>0.034722222222222224</v>
      </c>
      <c r="P140" s="41">
        <v>0.009722222222222222</v>
      </c>
      <c r="Q140" s="11">
        <v>34.0</v>
      </c>
      <c r="R140" s="43">
        <v>0.0</v>
      </c>
      <c r="S140" s="13">
        <v>0.044444444444444446</v>
      </c>
      <c r="T140" s="42">
        <v>0.04791666666666667</v>
      </c>
      <c r="U140" s="42">
        <v>0.07569444444444444</v>
      </c>
      <c r="V140" s="45">
        <v>-0.02847222222222222</v>
      </c>
      <c r="W140" s="15">
        <v>-0.02847222222222222</v>
      </c>
      <c r="X140" s="15">
        <v>-0.019444444444444445</v>
      </c>
      <c r="Y140" s="16" t="s">
        <v>3102</v>
      </c>
    </row>
    <row r="141">
      <c r="A141" s="6">
        <v>135.0</v>
      </c>
      <c r="B141" s="7" t="s">
        <v>3103</v>
      </c>
      <c r="C141" s="8" t="s">
        <v>3104</v>
      </c>
      <c r="D141" s="9" t="s">
        <v>66</v>
      </c>
      <c r="E141" s="7" t="s">
        <v>3105</v>
      </c>
      <c r="F141" s="9">
        <v>18.0</v>
      </c>
      <c r="G141" s="9">
        <v>2005.0</v>
      </c>
      <c r="H141" s="18">
        <v>0.0</v>
      </c>
      <c r="I141" s="19"/>
      <c r="J141" s="19"/>
      <c r="K141" s="19"/>
      <c r="L141" s="19"/>
      <c r="M141" s="18">
        <v>0.0</v>
      </c>
      <c r="N141" s="19"/>
      <c r="O141" s="12">
        <v>0.0</v>
      </c>
      <c r="P141" s="18">
        <v>0.0</v>
      </c>
      <c r="Q141" s="19"/>
      <c r="R141" s="11">
        <v>1.0</v>
      </c>
      <c r="S141" s="24"/>
      <c r="T141" s="19"/>
      <c r="U141" s="19"/>
      <c r="V141" s="19"/>
      <c r="W141" s="19"/>
      <c r="X141" s="19"/>
      <c r="Y141" s="16" t="s">
        <v>3106</v>
      </c>
    </row>
    <row r="142">
      <c r="A142" s="6">
        <v>136.0</v>
      </c>
      <c r="B142" s="7" t="s">
        <v>3107</v>
      </c>
      <c r="C142" s="8" t="s">
        <v>3108</v>
      </c>
      <c r="D142" s="9" t="s">
        <v>32</v>
      </c>
      <c r="E142" s="7" t="s">
        <v>3109</v>
      </c>
      <c r="F142" s="9">
        <v>20.0</v>
      </c>
      <c r="G142" s="9">
        <v>2003.0</v>
      </c>
      <c r="H142" s="10">
        <v>23.0</v>
      </c>
      <c r="I142" s="11">
        <v>1.67</v>
      </c>
      <c r="J142" s="11">
        <v>73.0</v>
      </c>
      <c r="K142" s="11" t="s">
        <v>742</v>
      </c>
      <c r="L142" s="11" t="s">
        <v>743</v>
      </c>
      <c r="M142" s="41">
        <v>0.06736111111111111</v>
      </c>
      <c r="N142" s="11">
        <v>86.0</v>
      </c>
      <c r="O142" s="42">
        <v>0.0375</v>
      </c>
      <c r="P142" s="41">
        <v>0.01875</v>
      </c>
      <c r="Q142" s="11">
        <v>26.0</v>
      </c>
      <c r="R142" s="43">
        <v>0.0</v>
      </c>
      <c r="S142" s="13">
        <v>0.09027777777777778</v>
      </c>
      <c r="T142" s="42">
        <v>0.06527777777777778</v>
      </c>
      <c r="U142" s="42">
        <v>0.052083333333333336</v>
      </c>
      <c r="V142" s="44">
        <v>0.04097222222222222</v>
      </c>
      <c r="W142" s="14" t="str">
        <f>+0.59</f>
        <v>#ERROR!</v>
      </c>
      <c r="X142" s="15">
        <v>-0.03194444444444444</v>
      </c>
      <c r="Y142" s="16" t="s">
        <v>3110</v>
      </c>
    </row>
    <row r="143">
      <c r="A143" s="6">
        <v>137.0</v>
      </c>
      <c r="B143" s="7" t="s">
        <v>3111</v>
      </c>
      <c r="C143" s="8" t="s">
        <v>3112</v>
      </c>
      <c r="D143" s="9" t="s">
        <v>66</v>
      </c>
      <c r="E143" s="7" t="s">
        <v>3113</v>
      </c>
      <c r="F143" s="9">
        <v>23.0</v>
      </c>
      <c r="G143" s="9">
        <v>2000.0</v>
      </c>
      <c r="H143" s="10">
        <v>24.0</v>
      </c>
      <c r="I143" s="11">
        <v>1.641</v>
      </c>
      <c r="J143" s="11">
        <v>68.0</v>
      </c>
      <c r="K143" s="11" t="s">
        <v>748</v>
      </c>
      <c r="L143" s="11" t="s">
        <v>749</v>
      </c>
      <c r="M143" s="41">
        <v>0.06875</v>
      </c>
      <c r="N143" s="11">
        <v>85.0</v>
      </c>
      <c r="O143" s="42">
        <v>0.049305555555555554</v>
      </c>
      <c r="P143" s="41">
        <v>0.022916666666666665</v>
      </c>
      <c r="Q143" s="11">
        <v>19.0</v>
      </c>
      <c r="R143" s="42">
        <v>0.011111111111111112</v>
      </c>
      <c r="S143" s="13">
        <v>0.05625</v>
      </c>
      <c r="T143" s="42">
        <v>0.044444444444444446</v>
      </c>
      <c r="U143" s="42">
        <v>0.09305555555555556</v>
      </c>
      <c r="V143" s="45">
        <v>-0.04861111111111111</v>
      </c>
      <c r="W143" s="15">
        <v>-0.04861111111111111</v>
      </c>
      <c r="X143" s="15">
        <v>-0.04236111111111111</v>
      </c>
      <c r="Y143" s="16" t="s">
        <v>3114</v>
      </c>
    </row>
    <row r="144">
      <c r="A144" s="6">
        <v>138.0</v>
      </c>
      <c r="B144" s="7" t="s">
        <v>3115</v>
      </c>
      <c r="C144" s="8" t="s">
        <v>3116</v>
      </c>
      <c r="D144" s="9" t="s">
        <v>52</v>
      </c>
      <c r="E144" s="7" t="s">
        <v>3117</v>
      </c>
      <c r="F144" s="9">
        <v>33.0</v>
      </c>
      <c r="G144" s="9">
        <v>1990.0</v>
      </c>
      <c r="H144" s="10">
        <v>16.0</v>
      </c>
      <c r="I144" s="11">
        <v>362.0</v>
      </c>
      <c r="J144" s="11">
        <v>23.0</v>
      </c>
      <c r="K144" s="11" t="s">
        <v>754</v>
      </c>
      <c r="L144" s="11" t="s">
        <v>755</v>
      </c>
      <c r="M144" s="41">
        <v>0.034722222222222224</v>
      </c>
      <c r="N144" s="11">
        <v>65.0</v>
      </c>
      <c r="O144" s="43">
        <v>0.0</v>
      </c>
      <c r="P144" s="41">
        <v>0.1597222222222222</v>
      </c>
      <c r="Q144" s="11">
        <v>17.0</v>
      </c>
      <c r="R144" s="42">
        <v>0.1597222222222222</v>
      </c>
      <c r="S144" s="13">
        <v>0.09791666666666667</v>
      </c>
      <c r="T144" s="42">
        <v>0.10069444444444445</v>
      </c>
      <c r="U144" s="42">
        <v>0.034722222222222224</v>
      </c>
      <c r="V144" s="44">
        <v>0.09375</v>
      </c>
      <c r="W144" s="14" t="str">
        <f>+1.74</f>
        <v>#ERROR!</v>
      </c>
      <c r="X144" s="14" t="str">
        <f>+1.62</f>
        <v>#ERROR!</v>
      </c>
      <c r="Y144" s="16" t="s">
        <v>3118</v>
      </c>
    </row>
    <row r="145">
      <c r="A145" s="6">
        <v>139.0</v>
      </c>
      <c r="B145" s="7" t="s">
        <v>3119</v>
      </c>
      <c r="C145" s="8" t="s">
        <v>3120</v>
      </c>
      <c r="D145" s="9" t="s">
        <v>66</v>
      </c>
      <c r="E145" s="7" t="s">
        <v>3121</v>
      </c>
      <c r="F145" s="9">
        <v>23.0</v>
      </c>
      <c r="G145" s="9">
        <v>2000.0</v>
      </c>
      <c r="H145" s="10">
        <v>17.0</v>
      </c>
      <c r="I145" s="11">
        <v>1.53</v>
      </c>
      <c r="J145" s="11">
        <v>90.0</v>
      </c>
      <c r="K145" s="11" t="s">
        <v>760</v>
      </c>
      <c r="L145" s="11" t="s">
        <v>124</v>
      </c>
      <c r="M145" s="41">
        <v>0.041666666666666664</v>
      </c>
      <c r="N145" s="11">
        <v>90.0</v>
      </c>
      <c r="O145" s="42">
        <v>0.041666666666666664</v>
      </c>
      <c r="P145" s="46">
        <v>0.0</v>
      </c>
      <c r="Q145" s="19"/>
      <c r="R145" s="43">
        <v>0.0</v>
      </c>
      <c r="S145" s="13">
        <v>0.09444444444444444</v>
      </c>
      <c r="T145" s="42">
        <v>0.07430555555555556</v>
      </c>
      <c r="U145" s="42">
        <v>0.04097222222222222</v>
      </c>
      <c r="V145" s="44">
        <v>0.06111111111111111</v>
      </c>
      <c r="W145" s="14" t="str">
        <f>+0.88</f>
        <v>#ERROR!</v>
      </c>
      <c r="X145" s="14" t="str">
        <f>+0.27</f>
        <v>#ERROR!</v>
      </c>
      <c r="Y145" s="16" t="s">
        <v>3122</v>
      </c>
    </row>
    <row r="146">
      <c r="A146" s="6">
        <v>140.0</v>
      </c>
      <c r="B146" s="7" t="s">
        <v>3123</v>
      </c>
      <c r="C146" s="8" t="s">
        <v>3124</v>
      </c>
      <c r="D146" s="9" t="s">
        <v>73</v>
      </c>
      <c r="E146" s="7" t="s">
        <v>3125</v>
      </c>
      <c r="F146" s="9">
        <v>27.0</v>
      </c>
      <c r="G146" s="9">
        <v>1996.0</v>
      </c>
      <c r="H146" s="10">
        <v>15.0</v>
      </c>
      <c r="I146" s="11">
        <v>1.35</v>
      </c>
      <c r="J146" s="11">
        <v>90.0</v>
      </c>
      <c r="K146" s="11" t="s">
        <v>174</v>
      </c>
      <c r="L146" s="11" t="s">
        <v>175</v>
      </c>
      <c r="M146" s="41">
        <v>0.041666666666666664</v>
      </c>
      <c r="N146" s="11">
        <v>90.0</v>
      </c>
      <c r="O146" s="42">
        <v>0.041666666666666664</v>
      </c>
      <c r="P146" s="46">
        <v>0.0</v>
      </c>
      <c r="Q146" s="19"/>
      <c r="R146" s="42">
        <v>0.027777777777777776</v>
      </c>
      <c r="S146" s="13">
        <v>0.05555555555555555</v>
      </c>
      <c r="T146" s="42">
        <v>0.06458333333333334</v>
      </c>
      <c r="U146" s="42">
        <v>0.09722222222222222</v>
      </c>
      <c r="V146" s="45">
        <v>-0.06041666666666667</v>
      </c>
      <c r="W146" s="15">
        <v>-0.06041666666666667</v>
      </c>
      <c r="X146" s="15">
        <v>-0.03680555555555556</v>
      </c>
      <c r="Y146" s="16" t="s">
        <v>3126</v>
      </c>
    </row>
    <row r="147">
      <c r="A147" s="6">
        <v>141.0</v>
      </c>
      <c r="B147" s="7" t="s">
        <v>3127</v>
      </c>
      <c r="C147" s="8" t="s">
        <v>3128</v>
      </c>
      <c r="D147" s="9" t="s">
        <v>284</v>
      </c>
      <c r="E147" s="7" t="s">
        <v>3129</v>
      </c>
      <c r="F147" s="9">
        <v>25.0</v>
      </c>
      <c r="G147" s="9">
        <v>1998.0</v>
      </c>
      <c r="H147" s="10">
        <v>14.0</v>
      </c>
      <c r="I147" s="11">
        <v>978.0</v>
      </c>
      <c r="J147" s="11">
        <v>70.0</v>
      </c>
      <c r="K147" s="11" t="s">
        <v>769</v>
      </c>
      <c r="L147" s="11" t="s">
        <v>770</v>
      </c>
      <c r="M147" s="41">
        <v>0.04236111111111111</v>
      </c>
      <c r="N147" s="11">
        <v>86.0</v>
      </c>
      <c r="O147" s="42">
        <v>0.05763888888888889</v>
      </c>
      <c r="P147" s="41">
        <v>0.019444444444444445</v>
      </c>
      <c r="Q147" s="11">
        <v>12.0</v>
      </c>
      <c r="R147" s="42">
        <v>0.00625</v>
      </c>
      <c r="S147" s="13">
        <v>0.06458333333333334</v>
      </c>
      <c r="T147" s="42">
        <v>0.05486111111111111</v>
      </c>
      <c r="U147" s="42">
        <v>0.06111111111111111</v>
      </c>
      <c r="V147" s="45">
        <v>-0.00625</v>
      </c>
      <c r="W147" s="15">
        <v>-0.00625</v>
      </c>
      <c r="X147" s="14" t="str">
        <f>+0.38</f>
        <v>#ERROR!</v>
      </c>
      <c r="Y147" s="16" t="s">
        <v>3130</v>
      </c>
    </row>
    <row r="148">
      <c r="A148" s="6">
        <v>142.0</v>
      </c>
      <c r="B148" s="7" t="s">
        <v>3131</v>
      </c>
      <c r="C148" s="8" t="s">
        <v>3132</v>
      </c>
      <c r="D148" s="9" t="s">
        <v>59</v>
      </c>
      <c r="E148" s="7" t="s">
        <v>3133</v>
      </c>
      <c r="F148" s="9">
        <v>29.0</v>
      </c>
      <c r="G148" s="9">
        <v>1994.0</v>
      </c>
      <c r="H148" s="10">
        <v>27.0</v>
      </c>
      <c r="I148" s="11">
        <v>1.559</v>
      </c>
      <c r="J148" s="11">
        <v>58.0</v>
      </c>
      <c r="K148" s="11" t="s">
        <v>775</v>
      </c>
      <c r="L148" s="11" t="s">
        <v>776</v>
      </c>
      <c r="M148" s="41">
        <v>0.06805555555555555</v>
      </c>
      <c r="N148" s="11">
        <v>80.0</v>
      </c>
      <c r="O148" s="42">
        <v>0.027777777777777776</v>
      </c>
      <c r="P148" s="41">
        <v>0.04027777777777778</v>
      </c>
      <c r="Q148" s="11">
        <v>20.0</v>
      </c>
      <c r="R148" s="43">
        <v>0.0</v>
      </c>
      <c r="S148" s="13">
        <v>0.041666666666666664</v>
      </c>
      <c r="T148" s="42">
        <v>0.06388888888888888</v>
      </c>
      <c r="U148" s="42">
        <v>0.09652777777777778</v>
      </c>
      <c r="V148" s="45">
        <v>-0.06041666666666667</v>
      </c>
      <c r="W148" s="15">
        <v>-0.06041666666666667</v>
      </c>
      <c r="X148" s="15">
        <v>-0.04375</v>
      </c>
      <c r="Y148" s="16" t="s">
        <v>3134</v>
      </c>
    </row>
    <row r="149">
      <c r="A149" s="6">
        <v>143.0</v>
      </c>
      <c r="B149" s="7" t="s">
        <v>3135</v>
      </c>
      <c r="C149" s="8" t="s">
        <v>3136</v>
      </c>
      <c r="D149" s="9" t="s">
        <v>73</v>
      </c>
      <c r="E149" s="7" t="s">
        <v>3137</v>
      </c>
      <c r="F149" s="9">
        <v>32.0</v>
      </c>
      <c r="G149" s="9">
        <v>1991.0</v>
      </c>
      <c r="H149" s="10">
        <v>15.0</v>
      </c>
      <c r="I149" s="11">
        <v>1.35</v>
      </c>
      <c r="J149" s="11">
        <v>90.0</v>
      </c>
      <c r="K149" s="11" t="s">
        <v>174</v>
      </c>
      <c r="L149" s="11" t="s">
        <v>175</v>
      </c>
      <c r="M149" s="41">
        <v>0.041666666666666664</v>
      </c>
      <c r="N149" s="11">
        <v>90.0</v>
      </c>
      <c r="O149" s="42">
        <v>0.041666666666666664</v>
      </c>
      <c r="P149" s="46">
        <v>0.0</v>
      </c>
      <c r="Q149" s="19"/>
      <c r="R149" s="42">
        <v>0.04652777777777778</v>
      </c>
      <c r="S149" s="13">
        <v>0.04652777777777778</v>
      </c>
      <c r="T149" s="42">
        <v>0.05555555555555555</v>
      </c>
      <c r="U149" s="42">
        <v>0.06458333333333334</v>
      </c>
      <c r="V149" s="45">
        <v>-0.03680555555555556</v>
      </c>
      <c r="W149" s="15">
        <v>-0.03680555555555556</v>
      </c>
      <c r="X149" s="14" t="str">
        <f>+0.07</f>
        <v>#ERROR!</v>
      </c>
      <c r="Y149" s="16" t="s">
        <v>3138</v>
      </c>
    </row>
    <row r="150">
      <c r="A150" s="6">
        <v>144.0</v>
      </c>
      <c r="B150" s="7" t="s">
        <v>3139</v>
      </c>
      <c r="C150" s="8" t="s">
        <v>3140</v>
      </c>
      <c r="D150" s="9" t="s">
        <v>52</v>
      </c>
      <c r="E150" s="7" t="s">
        <v>3141</v>
      </c>
      <c r="F150" s="9">
        <v>22.0</v>
      </c>
      <c r="G150" s="9">
        <v>2001.0</v>
      </c>
      <c r="H150" s="10">
        <v>23.0</v>
      </c>
      <c r="I150" s="11">
        <v>1.163</v>
      </c>
      <c r="J150" s="11">
        <v>51.0</v>
      </c>
      <c r="K150" s="11" t="s">
        <v>503</v>
      </c>
      <c r="L150" s="11" t="s">
        <v>504</v>
      </c>
      <c r="M150" s="41">
        <v>0.04236111111111111</v>
      </c>
      <c r="N150" s="11">
        <v>73.0</v>
      </c>
      <c r="O150" s="42">
        <v>0.01597222222222222</v>
      </c>
      <c r="P150" s="41">
        <v>0.05416666666666667</v>
      </c>
      <c r="Q150" s="11">
        <v>22.0</v>
      </c>
      <c r="R150" s="42">
        <v>0.03263888888888889</v>
      </c>
      <c r="S150" s="13">
        <v>0.08611111111111111</v>
      </c>
      <c r="T150" s="42">
        <v>0.09097222222222222</v>
      </c>
      <c r="U150" s="42">
        <v>0.04791666666666667</v>
      </c>
      <c r="V150" s="44">
        <v>0.043055555555555555</v>
      </c>
      <c r="W150" s="14" t="str">
        <f>+0.62</f>
        <v>#ERROR!</v>
      </c>
      <c r="X150" s="14" t="str">
        <f>+0.50</f>
        <v>#ERROR!</v>
      </c>
      <c r="Y150" s="16" t="s">
        <v>3142</v>
      </c>
    </row>
    <row r="151">
      <c r="A151" s="6">
        <v>145.0</v>
      </c>
      <c r="B151" s="7" t="s">
        <v>3143</v>
      </c>
      <c r="C151" s="8" t="s">
        <v>3144</v>
      </c>
      <c r="D151" s="9" t="s">
        <v>52</v>
      </c>
      <c r="E151" s="7" t="s">
        <v>3145</v>
      </c>
      <c r="F151" s="9">
        <v>22.0</v>
      </c>
      <c r="G151" s="9">
        <v>2002.0</v>
      </c>
      <c r="H151" s="10">
        <v>24.0</v>
      </c>
      <c r="I151" s="11">
        <v>1.368</v>
      </c>
      <c r="J151" s="11">
        <v>57.0</v>
      </c>
      <c r="K151" s="11" t="s">
        <v>789</v>
      </c>
      <c r="L151" s="11" t="s">
        <v>790</v>
      </c>
      <c r="M151" s="41">
        <v>0.059722222222222225</v>
      </c>
      <c r="N151" s="11">
        <v>85.0</v>
      </c>
      <c r="O151" s="42">
        <v>0.04097222222222222</v>
      </c>
      <c r="P151" s="41">
        <v>0.05</v>
      </c>
      <c r="Q151" s="11">
        <v>24.0</v>
      </c>
      <c r="R151" s="42">
        <v>0.022916666666666665</v>
      </c>
      <c r="S151" s="13">
        <v>0.06458333333333334</v>
      </c>
      <c r="T151" s="42">
        <v>0.10486111111111111</v>
      </c>
      <c r="U151" s="42">
        <v>0.08611111111111111</v>
      </c>
      <c r="V151" s="44">
        <v>0.018055555555555554</v>
      </c>
      <c r="W151" s="14" t="str">
        <f>+0.26</f>
        <v>#ERROR!</v>
      </c>
      <c r="X151" s="15">
        <v>-6.944444444444445E-4</v>
      </c>
      <c r="Y151" s="16" t="s">
        <v>3146</v>
      </c>
    </row>
    <row r="152">
      <c r="A152" s="6">
        <v>146.0</v>
      </c>
      <c r="B152" s="7" t="s">
        <v>3147</v>
      </c>
      <c r="C152" s="8" t="s">
        <v>3148</v>
      </c>
      <c r="D152" s="9" t="s">
        <v>52</v>
      </c>
      <c r="E152" s="7" t="s">
        <v>3149</v>
      </c>
      <c r="F152" s="9">
        <v>20.0</v>
      </c>
      <c r="G152" s="9">
        <v>2004.0</v>
      </c>
      <c r="H152" s="10">
        <v>20.0</v>
      </c>
      <c r="I152" s="11">
        <v>1.551</v>
      </c>
      <c r="J152" s="11">
        <v>78.0</v>
      </c>
      <c r="K152" s="11" t="s">
        <v>795</v>
      </c>
      <c r="L152" s="11" t="s">
        <v>796</v>
      </c>
      <c r="M152" s="41">
        <v>0.06875</v>
      </c>
      <c r="N152" s="11">
        <v>88.0</v>
      </c>
      <c r="O152" s="42">
        <v>0.05277777777777778</v>
      </c>
      <c r="P152" s="41">
        <v>0.011805555555555555</v>
      </c>
      <c r="Q152" s="11">
        <v>21.0</v>
      </c>
      <c r="R152" s="42">
        <v>0.03611111111111111</v>
      </c>
      <c r="S152" s="13">
        <v>0.08333333333333333</v>
      </c>
      <c r="T152" s="42">
        <v>0.08541666666666667</v>
      </c>
      <c r="U152" s="42">
        <v>0.06041666666666667</v>
      </c>
      <c r="V152" s="44">
        <v>0.05277777777777778</v>
      </c>
      <c r="W152" s="14" t="str">
        <f>+0.75</f>
        <v>#ERROR!</v>
      </c>
      <c r="X152" s="14" t="str">
        <f>+1.38</f>
        <v>#ERROR!</v>
      </c>
      <c r="Y152" s="16" t="s">
        <v>3150</v>
      </c>
    </row>
    <row r="153">
      <c r="A153" s="6">
        <v>147.0</v>
      </c>
      <c r="B153" s="7" t="s">
        <v>3151</v>
      </c>
      <c r="C153" s="8" t="s">
        <v>3152</v>
      </c>
      <c r="D153" s="9" t="s">
        <v>66</v>
      </c>
      <c r="E153" s="7" t="s">
        <v>3153</v>
      </c>
      <c r="F153" s="9">
        <v>21.0</v>
      </c>
      <c r="G153" s="9">
        <v>2003.0</v>
      </c>
      <c r="H153" s="10">
        <v>7.0</v>
      </c>
      <c r="I153" s="11">
        <v>58.0</v>
      </c>
      <c r="J153" s="11">
        <v>8.0</v>
      </c>
      <c r="K153" s="11" t="s">
        <v>801</v>
      </c>
      <c r="L153" s="11" t="s">
        <v>47</v>
      </c>
      <c r="M153" s="46">
        <v>0.0</v>
      </c>
      <c r="N153" s="19"/>
      <c r="O153" s="43">
        <v>0.0</v>
      </c>
      <c r="P153" s="47" t="s">
        <v>634</v>
      </c>
      <c r="Q153" s="11">
        <v>8.0</v>
      </c>
      <c r="R153" s="48" t="s">
        <v>1982</v>
      </c>
      <c r="S153" s="13">
        <v>0.12291666666666666</v>
      </c>
      <c r="T153" s="43">
        <v>0.0</v>
      </c>
      <c r="U153" s="42">
        <v>0.14791666666666667</v>
      </c>
      <c r="V153" s="45">
        <v>-0.14791666666666667</v>
      </c>
      <c r="W153" s="15">
        <v>-0.13194444444444445</v>
      </c>
      <c r="X153" s="15">
        <v>-0.1486111111111111</v>
      </c>
      <c r="Y153" s="16" t="s">
        <v>3154</v>
      </c>
    </row>
    <row r="154">
      <c r="A154" s="6">
        <v>148.0</v>
      </c>
      <c r="B154" s="7" t="s">
        <v>3155</v>
      </c>
      <c r="C154" s="8" t="s">
        <v>3156</v>
      </c>
      <c r="D154" s="9" t="s">
        <v>32</v>
      </c>
      <c r="E154" s="7" t="s">
        <v>3157</v>
      </c>
      <c r="F154" s="9">
        <v>21.0</v>
      </c>
      <c r="G154" s="9">
        <v>2002.0</v>
      </c>
      <c r="H154" s="10">
        <v>13.0</v>
      </c>
      <c r="I154" s="11">
        <v>744.0</v>
      </c>
      <c r="J154" s="11">
        <v>57.0</v>
      </c>
      <c r="K154" s="11" t="s">
        <v>286</v>
      </c>
      <c r="L154" s="11" t="s">
        <v>287</v>
      </c>
      <c r="M154" s="41">
        <v>0.04722222222222222</v>
      </c>
      <c r="N154" s="11">
        <v>78.0</v>
      </c>
      <c r="O154" s="42">
        <v>0.008333333333333333</v>
      </c>
      <c r="P154" s="41">
        <v>0.03333333333333333</v>
      </c>
      <c r="Q154" s="11">
        <v>10.0</v>
      </c>
      <c r="R154" s="42">
        <v>0.03333333333333333</v>
      </c>
      <c r="S154" s="13">
        <v>0.09513888888888888</v>
      </c>
      <c r="T154" s="42">
        <v>0.07291666666666667</v>
      </c>
      <c r="U154" s="42">
        <v>0.06458333333333334</v>
      </c>
      <c r="V154" s="44">
        <v>0.008333333333333333</v>
      </c>
      <c r="W154" s="14" t="str">
        <f>+0.12</f>
        <v>#ERROR!</v>
      </c>
      <c r="X154" s="15">
        <v>-0.004166666666666667</v>
      </c>
      <c r="Y154" s="16" t="s">
        <v>3158</v>
      </c>
    </row>
    <row r="155">
      <c r="A155" s="6">
        <v>149.0</v>
      </c>
      <c r="B155" s="7" t="s">
        <v>3159</v>
      </c>
      <c r="C155" s="8" t="s">
        <v>3160</v>
      </c>
      <c r="D155" s="9" t="s">
        <v>66</v>
      </c>
      <c r="E155" s="7" t="s">
        <v>3161</v>
      </c>
      <c r="F155" s="9">
        <v>33.0</v>
      </c>
      <c r="G155" s="9">
        <v>1990.0</v>
      </c>
      <c r="H155" s="10">
        <v>13.0</v>
      </c>
      <c r="I155" s="11">
        <v>480.0</v>
      </c>
      <c r="J155" s="11">
        <v>37.0</v>
      </c>
      <c r="K155" s="11" t="s">
        <v>810</v>
      </c>
      <c r="L155" s="11" t="s">
        <v>811</v>
      </c>
      <c r="M155" s="41">
        <v>0.06527777777777778</v>
      </c>
      <c r="N155" s="11">
        <v>87.0</v>
      </c>
      <c r="O155" s="42">
        <v>0.052083333333333336</v>
      </c>
      <c r="P155" s="41">
        <v>0.07708333333333334</v>
      </c>
      <c r="Q155" s="11">
        <v>6.0</v>
      </c>
      <c r="R155" s="42">
        <v>0.07708333333333334</v>
      </c>
      <c r="S155" s="13">
        <v>0.08888888888888889</v>
      </c>
      <c r="T155" s="42">
        <v>0.06388888888888888</v>
      </c>
      <c r="U155" s="42">
        <v>0.10347222222222222</v>
      </c>
      <c r="V155" s="45">
        <v>-0.03958333333333333</v>
      </c>
      <c r="W155" s="15">
        <v>-0.03888888888888889</v>
      </c>
      <c r="X155" s="15">
        <v>-0.08472222222222223</v>
      </c>
      <c r="Y155" s="16" t="s">
        <v>3162</v>
      </c>
    </row>
    <row r="156">
      <c r="A156" s="6">
        <v>150.0</v>
      </c>
      <c r="B156" s="7" t="s">
        <v>3163</v>
      </c>
      <c r="C156" s="8" t="s">
        <v>3164</v>
      </c>
      <c r="D156" s="9" t="s">
        <v>66</v>
      </c>
      <c r="E156" s="7" t="s">
        <v>3165</v>
      </c>
      <c r="F156" s="9">
        <v>25.0</v>
      </c>
      <c r="G156" s="9">
        <v>1998.0</v>
      </c>
      <c r="H156" s="10">
        <v>15.0</v>
      </c>
      <c r="I156" s="11">
        <v>1.178</v>
      </c>
      <c r="J156" s="11">
        <v>79.0</v>
      </c>
      <c r="K156" s="11" t="s">
        <v>816</v>
      </c>
      <c r="L156" s="11" t="s">
        <v>817</v>
      </c>
      <c r="M156" s="41">
        <v>0.06875</v>
      </c>
      <c r="N156" s="11">
        <v>89.0</v>
      </c>
      <c r="O156" s="42">
        <v>0.06388888888888888</v>
      </c>
      <c r="P156" s="41">
        <v>0.010416666666666666</v>
      </c>
      <c r="Q156" s="11">
        <v>14.0</v>
      </c>
      <c r="R156" s="42">
        <v>0.005555555555555556</v>
      </c>
      <c r="S156" s="13">
        <v>0.09236111111111112</v>
      </c>
      <c r="T156" s="42">
        <v>0.0625</v>
      </c>
      <c r="U156" s="42">
        <v>0.052083333333333336</v>
      </c>
      <c r="V156" s="44">
        <v>0.010416666666666666</v>
      </c>
      <c r="W156" s="14" t="str">
        <f>+0.15</f>
        <v>#ERROR!</v>
      </c>
      <c r="X156" s="14" t="str">
        <f>+0.15</f>
        <v>#ERROR!</v>
      </c>
      <c r="Y156" s="16" t="s">
        <v>3166</v>
      </c>
    </row>
    <row r="157">
      <c r="A157" s="25" t="s">
        <v>0</v>
      </c>
      <c r="B157" s="26" t="s">
        <v>1</v>
      </c>
      <c r="C157" s="27" t="s">
        <v>2</v>
      </c>
      <c r="D157" s="27" t="s">
        <v>3</v>
      </c>
      <c r="E157" s="27" t="s">
        <v>4</v>
      </c>
      <c r="F157" s="27" t="s">
        <v>5</v>
      </c>
      <c r="G157" s="27" t="s">
        <v>6</v>
      </c>
      <c r="H157" s="28" t="s">
        <v>7</v>
      </c>
      <c r="I157" s="27" t="s">
        <v>8</v>
      </c>
      <c r="J157" s="27" t="s">
        <v>9</v>
      </c>
      <c r="K157" s="27" t="s">
        <v>10</v>
      </c>
      <c r="L157" s="27" t="s">
        <v>11</v>
      </c>
      <c r="M157" s="28" t="s">
        <v>12</v>
      </c>
      <c r="N157" s="27" t="s">
        <v>13</v>
      </c>
      <c r="O157" s="27" t="s">
        <v>14</v>
      </c>
      <c r="P157" s="28" t="s">
        <v>15</v>
      </c>
      <c r="Q157" s="27" t="s">
        <v>16</v>
      </c>
      <c r="R157" s="27" t="s">
        <v>17</v>
      </c>
      <c r="S157" s="28" t="s">
        <v>18</v>
      </c>
      <c r="T157" s="27" t="s">
        <v>19</v>
      </c>
      <c r="U157" s="27" t="s">
        <v>20</v>
      </c>
      <c r="V157" s="29" t="str">
        <f>+/-</f>
        <v>#ERROR!</v>
      </c>
      <c r="W157" s="29" t="str">
        <f>+/-90</f>
        <v>#ERROR!</v>
      </c>
      <c r="X157" s="27" t="s">
        <v>21</v>
      </c>
      <c r="Y157" s="28" t="s">
        <v>22</v>
      </c>
    </row>
    <row r="158">
      <c r="A158" s="6">
        <v>151.0</v>
      </c>
      <c r="B158" s="7" t="s">
        <v>3167</v>
      </c>
      <c r="C158" s="8" t="s">
        <v>3168</v>
      </c>
      <c r="D158" s="9" t="s">
        <v>284</v>
      </c>
      <c r="E158" s="7" t="s">
        <v>3169</v>
      </c>
      <c r="F158" s="9">
        <v>19.0</v>
      </c>
      <c r="G158" s="9">
        <v>2004.0</v>
      </c>
      <c r="H158" s="10">
        <v>13.0</v>
      </c>
      <c r="I158" s="11">
        <v>871.0</v>
      </c>
      <c r="J158" s="11">
        <v>67.0</v>
      </c>
      <c r="K158" s="11" t="s">
        <v>822</v>
      </c>
      <c r="L158" s="11" t="s">
        <v>455</v>
      </c>
      <c r="M158" s="41">
        <v>0.06458333333333334</v>
      </c>
      <c r="N158" s="11">
        <v>87.0</v>
      </c>
      <c r="O158" s="42">
        <v>0.05694444444444444</v>
      </c>
      <c r="P158" s="41">
        <v>0.02847222222222222</v>
      </c>
      <c r="Q158" s="11">
        <v>22.0</v>
      </c>
      <c r="R158" s="42">
        <v>0.021527777777777778</v>
      </c>
      <c r="S158" s="13">
        <v>0.052083333333333336</v>
      </c>
      <c r="T158" s="42">
        <v>0.06527777777777778</v>
      </c>
      <c r="U158" s="42">
        <v>0.06527777777777778</v>
      </c>
      <c r="V158" s="43">
        <v>0.0</v>
      </c>
      <c r="W158" s="21">
        <v>0.0</v>
      </c>
      <c r="X158" s="14" t="str">
        <f>+0.34</f>
        <v>#ERROR!</v>
      </c>
      <c r="Y158" s="16" t="s">
        <v>3170</v>
      </c>
    </row>
    <row r="159">
      <c r="A159" s="6">
        <v>152.0</v>
      </c>
      <c r="B159" s="7" t="s">
        <v>3171</v>
      </c>
      <c r="C159" s="8" t="s">
        <v>3172</v>
      </c>
      <c r="D159" s="9" t="s">
        <v>66</v>
      </c>
      <c r="E159" s="7" t="s">
        <v>3173</v>
      </c>
      <c r="F159" s="9">
        <v>21.0</v>
      </c>
      <c r="G159" s="9">
        <v>2002.0</v>
      </c>
      <c r="H159" s="10">
        <v>1.0</v>
      </c>
      <c r="I159" s="11">
        <v>5.0</v>
      </c>
      <c r="J159" s="11">
        <v>5.0</v>
      </c>
      <c r="K159" s="11" t="s">
        <v>48</v>
      </c>
      <c r="L159" s="11" t="s">
        <v>155</v>
      </c>
      <c r="M159" s="46">
        <v>0.0</v>
      </c>
      <c r="N159" s="19"/>
      <c r="O159" s="43">
        <v>0.0</v>
      </c>
      <c r="P159" s="47" t="s">
        <v>268</v>
      </c>
      <c r="Q159" s="11">
        <v>5.0</v>
      </c>
      <c r="R159" s="48" t="s">
        <v>1207</v>
      </c>
      <c r="S159" s="13">
        <v>0.125</v>
      </c>
      <c r="T159" s="48" t="s">
        <v>268</v>
      </c>
      <c r="U159" s="43">
        <v>0.0</v>
      </c>
      <c r="V159" s="49" t="s">
        <v>268</v>
      </c>
      <c r="W159" s="14" t="str">
        <f>+18.00</f>
        <v>#ERROR!</v>
      </c>
      <c r="X159" s="14" t="str">
        <f>+18.63</f>
        <v>#ERROR!</v>
      </c>
      <c r="Y159" s="16" t="s">
        <v>3174</v>
      </c>
    </row>
    <row r="160">
      <c r="A160" s="6">
        <v>153.0</v>
      </c>
      <c r="B160" s="7" t="s">
        <v>3175</v>
      </c>
      <c r="C160" s="8" t="s">
        <v>3176</v>
      </c>
      <c r="D160" s="9" t="s">
        <v>32</v>
      </c>
      <c r="E160" s="7" t="s">
        <v>3177</v>
      </c>
      <c r="F160" s="9">
        <v>31.0</v>
      </c>
      <c r="G160" s="9">
        <v>1992.0</v>
      </c>
      <c r="H160" s="10">
        <v>16.0</v>
      </c>
      <c r="I160" s="11">
        <v>555.0</v>
      </c>
      <c r="J160" s="11">
        <v>35.0</v>
      </c>
      <c r="K160" s="11" t="s">
        <v>831</v>
      </c>
      <c r="L160" s="11" t="s">
        <v>832</v>
      </c>
      <c r="M160" s="41">
        <v>0.050694444444444445</v>
      </c>
      <c r="N160" s="11">
        <v>53.0</v>
      </c>
      <c r="O160" s="43">
        <v>0.0</v>
      </c>
      <c r="P160" s="41">
        <v>0.07291666666666667</v>
      </c>
      <c r="Q160" s="11">
        <v>21.0</v>
      </c>
      <c r="R160" s="42">
        <v>0.03333333333333333</v>
      </c>
      <c r="S160" s="13">
        <v>0.0763888888888889</v>
      </c>
      <c r="T160" s="42">
        <v>0.12361111111111112</v>
      </c>
      <c r="U160" s="42">
        <v>0.07291666666666667</v>
      </c>
      <c r="V160" s="44">
        <v>0.050694444444444445</v>
      </c>
      <c r="W160" s="14" t="str">
        <f>+1.14</f>
        <v>#ERROR!</v>
      </c>
      <c r="X160" s="14" t="str">
        <f>+1.09</f>
        <v>#ERROR!</v>
      </c>
      <c r="Y160" s="16" t="s">
        <v>3178</v>
      </c>
    </row>
    <row r="161">
      <c r="A161" s="6">
        <v>154.0</v>
      </c>
      <c r="B161" s="7" t="s">
        <v>3179</v>
      </c>
      <c r="C161" s="8" t="s">
        <v>3180</v>
      </c>
      <c r="D161" s="9" t="s">
        <v>32</v>
      </c>
      <c r="E161" s="7" t="s">
        <v>3181</v>
      </c>
      <c r="F161" s="9">
        <v>23.0</v>
      </c>
      <c r="G161" s="9">
        <v>2000.0</v>
      </c>
      <c r="H161" s="10">
        <v>4.0</v>
      </c>
      <c r="I161" s="11">
        <v>114.0</v>
      </c>
      <c r="J161" s="11">
        <v>29.0</v>
      </c>
      <c r="K161" s="11" t="s">
        <v>837</v>
      </c>
      <c r="L161" s="11" t="s">
        <v>624</v>
      </c>
      <c r="M161" s="41">
        <v>0.05347222222222222</v>
      </c>
      <c r="N161" s="11">
        <v>58.0</v>
      </c>
      <c r="O161" s="43">
        <v>0.0</v>
      </c>
      <c r="P161" s="41">
        <v>0.10486111111111111</v>
      </c>
      <c r="Q161" s="11">
        <v>19.0</v>
      </c>
      <c r="R161" s="42">
        <v>0.33958333333333335</v>
      </c>
      <c r="S161" s="13">
        <v>0.034722222222222224</v>
      </c>
      <c r="T161" s="43">
        <v>0.0</v>
      </c>
      <c r="U161" s="43">
        <v>0.0</v>
      </c>
      <c r="V161" s="43">
        <v>0.0</v>
      </c>
      <c r="W161" s="21">
        <v>0.0</v>
      </c>
      <c r="X161" s="15">
        <v>-0.004861111111111111</v>
      </c>
      <c r="Y161" s="16" t="s">
        <v>3182</v>
      </c>
    </row>
    <row r="162">
      <c r="A162" s="6">
        <v>155.0</v>
      </c>
      <c r="B162" s="7" t="s">
        <v>3183</v>
      </c>
      <c r="C162" s="8" t="s">
        <v>3184</v>
      </c>
      <c r="D162" s="9" t="s">
        <v>52</v>
      </c>
      <c r="E162" s="7" t="s">
        <v>3185</v>
      </c>
      <c r="F162" s="9">
        <v>28.0</v>
      </c>
      <c r="G162" s="9">
        <v>1995.0</v>
      </c>
      <c r="H162" s="10">
        <v>29.0</v>
      </c>
      <c r="I162" s="11">
        <v>2.56</v>
      </c>
      <c r="J162" s="11">
        <v>88.0</v>
      </c>
      <c r="K162" s="11" t="s">
        <v>842</v>
      </c>
      <c r="L162" s="11" t="s">
        <v>843</v>
      </c>
      <c r="M162" s="41">
        <v>0.043055555555555555</v>
      </c>
      <c r="N162" s="11">
        <v>88.0</v>
      </c>
      <c r="O162" s="42">
        <v>0.06597222222222222</v>
      </c>
      <c r="P162" s="46">
        <v>0.0</v>
      </c>
      <c r="Q162" s="19"/>
      <c r="R162" s="43">
        <v>0.0</v>
      </c>
      <c r="S162" s="13">
        <v>0.05347222222222222</v>
      </c>
      <c r="T162" s="42">
        <v>0.0798611111111111</v>
      </c>
      <c r="U162" s="42">
        <v>0.09444444444444444</v>
      </c>
      <c r="V162" s="45">
        <v>-0.014583333333333334</v>
      </c>
      <c r="W162" s="15">
        <v>-0.014583333333333334</v>
      </c>
      <c r="X162" s="14" t="str">
        <f>+0.43</f>
        <v>#ERROR!</v>
      </c>
      <c r="Y162" s="16" t="s">
        <v>3186</v>
      </c>
    </row>
    <row r="163">
      <c r="A163" s="6">
        <v>156.0</v>
      </c>
      <c r="B163" s="7" t="s">
        <v>3187</v>
      </c>
      <c r="C163" s="8" t="s">
        <v>3188</v>
      </c>
      <c r="D163" s="9" t="s">
        <v>66</v>
      </c>
      <c r="E163" s="7" t="s">
        <v>3189</v>
      </c>
      <c r="F163" s="9">
        <v>17.0</v>
      </c>
      <c r="G163" s="9">
        <v>2006.0</v>
      </c>
      <c r="H163" s="18">
        <v>0.0</v>
      </c>
      <c r="I163" s="19"/>
      <c r="J163" s="19"/>
      <c r="K163" s="19"/>
      <c r="L163" s="19"/>
      <c r="M163" s="18">
        <v>0.0</v>
      </c>
      <c r="N163" s="19"/>
      <c r="O163" s="12">
        <v>0.0</v>
      </c>
      <c r="P163" s="18">
        <v>0.0</v>
      </c>
      <c r="Q163" s="19"/>
      <c r="R163" s="11">
        <v>1.0</v>
      </c>
      <c r="S163" s="24"/>
      <c r="T163" s="19"/>
      <c r="U163" s="19"/>
      <c r="V163" s="19"/>
      <c r="W163" s="19"/>
      <c r="X163" s="19"/>
      <c r="Y163" s="16" t="s">
        <v>3190</v>
      </c>
    </row>
    <row r="164">
      <c r="A164" s="6">
        <v>157.0</v>
      </c>
      <c r="B164" s="7" t="s">
        <v>3191</v>
      </c>
      <c r="C164" s="8" t="s">
        <v>3192</v>
      </c>
      <c r="D164" s="9" t="s">
        <v>52</v>
      </c>
      <c r="E164" s="7" t="s">
        <v>3193</v>
      </c>
      <c r="F164" s="9">
        <v>26.0</v>
      </c>
      <c r="G164" s="9">
        <v>1997.0</v>
      </c>
      <c r="H164" s="10">
        <v>10.0</v>
      </c>
      <c r="I164" s="11">
        <v>876.0</v>
      </c>
      <c r="J164" s="11">
        <v>88.0</v>
      </c>
      <c r="K164" s="11" t="s">
        <v>852</v>
      </c>
      <c r="L164" s="11" t="s">
        <v>455</v>
      </c>
      <c r="M164" s="41">
        <v>0.04375</v>
      </c>
      <c r="N164" s="11">
        <v>88.0</v>
      </c>
      <c r="O164" s="42">
        <v>0.06458333333333334</v>
      </c>
      <c r="P164" s="46">
        <v>0.0</v>
      </c>
      <c r="Q164" s="19"/>
      <c r="R164" s="43">
        <v>0.0</v>
      </c>
      <c r="S164" s="13">
        <v>0.027777777777777776</v>
      </c>
      <c r="T164" s="42">
        <v>0.021527777777777778</v>
      </c>
      <c r="U164" s="42">
        <v>0.06527777777777778</v>
      </c>
      <c r="V164" s="45">
        <v>-0.04375</v>
      </c>
      <c r="W164" s="15">
        <v>-0.04375</v>
      </c>
      <c r="X164" s="15">
        <v>-0.04722222222222222</v>
      </c>
      <c r="Y164" s="16" t="s">
        <v>3194</v>
      </c>
    </row>
    <row r="165">
      <c r="A165" s="6">
        <v>158.0</v>
      </c>
      <c r="B165" s="7" t="s">
        <v>3195</v>
      </c>
      <c r="C165" s="8" t="s">
        <v>3196</v>
      </c>
      <c r="D165" s="9" t="s">
        <v>284</v>
      </c>
      <c r="E165" s="7" t="s">
        <v>3197</v>
      </c>
      <c r="F165" s="9">
        <v>26.0</v>
      </c>
      <c r="G165" s="9">
        <v>1997.0</v>
      </c>
      <c r="H165" s="10">
        <v>19.0</v>
      </c>
      <c r="I165" s="11">
        <v>1.053</v>
      </c>
      <c r="J165" s="11">
        <v>55.0</v>
      </c>
      <c r="K165" s="11" t="s">
        <v>857</v>
      </c>
      <c r="L165" s="11" t="s">
        <v>634</v>
      </c>
      <c r="M165" s="41">
        <v>0.049305555555555554</v>
      </c>
      <c r="N165" s="11">
        <v>70.0</v>
      </c>
      <c r="O165" s="42">
        <v>0.018055555555555554</v>
      </c>
      <c r="P165" s="41">
        <v>0.035416666666666666</v>
      </c>
      <c r="Q165" s="11">
        <v>23.0</v>
      </c>
      <c r="R165" s="42">
        <v>0.041666666666666664</v>
      </c>
      <c r="S165" s="13">
        <v>0.04513888888888889</v>
      </c>
      <c r="T165" s="42">
        <v>0.041666666666666664</v>
      </c>
      <c r="U165" s="42">
        <v>0.09097222222222222</v>
      </c>
      <c r="V165" s="45">
        <v>-0.049305555555555554</v>
      </c>
      <c r="W165" s="15">
        <v>-0.049305555555555554</v>
      </c>
      <c r="X165" s="15">
        <v>-0.050694444444444445</v>
      </c>
      <c r="Y165" s="16" t="s">
        <v>3198</v>
      </c>
    </row>
    <row r="166">
      <c r="A166" s="6">
        <v>159.0</v>
      </c>
      <c r="B166" s="7" t="s">
        <v>3199</v>
      </c>
      <c r="C166" s="8" t="s">
        <v>3200</v>
      </c>
      <c r="D166" s="9" t="s">
        <v>52</v>
      </c>
      <c r="E166" s="7" t="s">
        <v>3201</v>
      </c>
      <c r="F166" s="9">
        <v>31.0</v>
      </c>
      <c r="G166" s="9">
        <v>1992.0</v>
      </c>
      <c r="H166" s="10">
        <v>24.0</v>
      </c>
      <c r="I166" s="11">
        <v>1.949</v>
      </c>
      <c r="J166" s="11">
        <v>81.0</v>
      </c>
      <c r="K166" s="11" t="s">
        <v>862</v>
      </c>
      <c r="L166" s="11" t="s">
        <v>863</v>
      </c>
      <c r="M166" s="41">
        <v>0.04583333333333333</v>
      </c>
      <c r="N166" s="11">
        <v>84.0</v>
      </c>
      <c r="O166" s="42">
        <v>0.05763888888888889</v>
      </c>
      <c r="P166" s="41">
        <v>0.003472222222222222</v>
      </c>
      <c r="Q166" s="11">
        <v>13.0</v>
      </c>
      <c r="R166" s="42">
        <v>0.003472222222222222</v>
      </c>
      <c r="S166" s="13">
        <v>0.04722222222222222</v>
      </c>
      <c r="T166" s="42">
        <v>0.049305555555555554</v>
      </c>
      <c r="U166" s="42">
        <v>0.10694444444444444</v>
      </c>
      <c r="V166" s="45">
        <v>-0.05763888888888889</v>
      </c>
      <c r="W166" s="15">
        <v>-0.05763888888888889</v>
      </c>
      <c r="X166" s="15">
        <v>-0.04097222222222222</v>
      </c>
      <c r="Y166" s="16" t="s">
        <v>3202</v>
      </c>
    </row>
    <row r="167">
      <c r="A167" s="6">
        <v>160.0</v>
      </c>
      <c r="B167" s="7" t="s">
        <v>3203</v>
      </c>
      <c r="C167" s="8" t="s">
        <v>3204</v>
      </c>
      <c r="D167" s="9" t="s">
        <v>32</v>
      </c>
      <c r="E167" s="7" t="s">
        <v>3205</v>
      </c>
      <c r="F167" s="9">
        <v>18.0</v>
      </c>
      <c r="G167" s="9">
        <v>2005.0</v>
      </c>
      <c r="H167" s="10">
        <v>1.0</v>
      </c>
      <c r="I167" s="11">
        <v>24.0</v>
      </c>
      <c r="J167" s="11">
        <v>24.0</v>
      </c>
      <c r="K167" s="11" t="s">
        <v>194</v>
      </c>
      <c r="L167" s="11" t="s">
        <v>195</v>
      </c>
      <c r="M167" s="46">
        <v>0.0</v>
      </c>
      <c r="N167" s="19"/>
      <c r="O167" s="43">
        <v>0.0</v>
      </c>
      <c r="P167" s="41">
        <v>0.14791666666666667</v>
      </c>
      <c r="Q167" s="11">
        <v>24.0</v>
      </c>
      <c r="R167" s="48" t="s">
        <v>280</v>
      </c>
      <c r="S167" s="20">
        <v>0.0</v>
      </c>
      <c r="T167" s="42">
        <v>0.14791666666666667</v>
      </c>
      <c r="U167" s="43">
        <v>0.0</v>
      </c>
      <c r="V167" s="44">
        <v>0.14791666666666667</v>
      </c>
      <c r="W167" s="14" t="str">
        <f>+3.75</f>
        <v>#ERROR!</v>
      </c>
      <c r="X167" s="14" t="str">
        <f>+3.62</f>
        <v>#ERROR!</v>
      </c>
      <c r="Y167" s="16" t="s">
        <v>3206</v>
      </c>
    </row>
    <row r="168">
      <c r="A168" s="6">
        <v>161.0</v>
      </c>
      <c r="B168" s="7" t="s">
        <v>3207</v>
      </c>
      <c r="C168" s="8" t="s">
        <v>3208</v>
      </c>
      <c r="D168" s="9" t="s">
        <v>66</v>
      </c>
      <c r="E168" s="7" t="s">
        <v>3209</v>
      </c>
      <c r="F168" s="9">
        <v>26.0</v>
      </c>
      <c r="G168" s="9">
        <v>1997.0</v>
      </c>
      <c r="H168" s="10">
        <v>16.0</v>
      </c>
      <c r="I168" s="11">
        <v>1.347</v>
      </c>
      <c r="J168" s="11">
        <v>84.0</v>
      </c>
      <c r="K168" s="11" t="s">
        <v>407</v>
      </c>
      <c r="L168" s="11" t="s">
        <v>175</v>
      </c>
      <c r="M168" s="41">
        <v>0.041666666666666664</v>
      </c>
      <c r="N168" s="11">
        <v>88.0</v>
      </c>
      <c r="O168" s="42">
        <v>0.06041666666666667</v>
      </c>
      <c r="P168" s="41">
        <v>0.004861111111111111</v>
      </c>
      <c r="Q168" s="11">
        <v>32.0</v>
      </c>
      <c r="R168" s="42">
        <v>0.004861111111111111</v>
      </c>
      <c r="S168" s="13">
        <v>0.052083333333333336</v>
      </c>
      <c r="T168" s="42">
        <v>0.06458333333333334</v>
      </c>
      <c r="U168" s="42">
        <v>0.08819444444444445</v>
      </c>
      <c r="V168" s="45">
        <v>-0.050694444444444445</v>
      </c>
      <c r="W168" s="15">
        <v>-0.050694444444444445</v>
      </c>
      <c r="X168" s="15">
        <v>-0.02361111111111111</v>
      </c>
      <c r="Y168" s="16" t="s">
        <v>3210</v>
      </c>
    </row>
    <row r="169">
      <c r="A169" s="6">
        <v>162.0</v>
      </c>
      <c r="B169" s="7" t="s">
        <v>3211</v>
      </c>
      <c r="C169" s="8" t="s">
        <v>3212</v>
      </c>
      <c r="D169" s="9" t="s">
        <v>32</v>
      </c>
      <c r="E169" s="7" t="s">
        <v>3213</v>
      </c>
      <c r="F169" s="9">
        <v>29.0</v>
      </c>
      <c r="G169" s="9">
        <v>1994.0</v>
      </c>
      <c r="H169" s="10">
        <v>10.0</v>
      </c>
      <c r="I169" s="11">
        <v>656.0</v>
      </c>
      <c r="J169" s="11">
        <v>66.0</v>
      </c>
      <c r="K169" s="11" t="s">
        <v>876</v>
      </c>
      <c r="L169" s="11" t="s">
        <v>679</v>
      </c>
      <c r="M169" s="41">
        <v>0.04861111111111111</v>
      </c>
      <c r="N169" s="11">
        <v>74.0</v>
      </c>
      <c r="O169" s="42">
        <v>0.009722222222222222</v>
      </c>
      <c r="P169" s="41">
        <v>0.01875</v>
      </c>
      <c r="Q169" s="11">
        <v>32.0</v>
      </c>
      <c r="R169" s="42">
        <v>0.009722222222222222</v>
      </c>
      <c r="S169" s="13">
        <v>0.05555555555555555</v>
      </c>
      <c r="T169" s="42">
        <v>0.07708333333333334</v>
      </c>
      <c r="U169" s="42">
        <v>0.09583333333333334</v>
      </c>
      <c r="V169" s="45">
        <v>-0.01875</v>
      </c>
      <c r="W169" s="15">
        <v>-0.01875</v>
      </c>
      <c r="X169" s="14" t="str">
        <f>+0.43</f>
        <v>#ERROR!</v>
      </c>
      <c r="Y169" s="16" t="s">
        <v>3214</v>
      </c>
    </row>
    <row r="170">
      <c r="A170" s="6">
        <v>163.0</v>
      </c>
      <c r="B170" s="7" t="s">
        <v>3215</v>
      </c>
      <c r="C170" s="8" t="s">
        <v>3216</v>
      </c>
      <c r="D170" s="9" t="s">
        <v>32</v>
      </c>
      <c r="E170" s="7" t="s">
        <v>3217</v>
      </c>
      <c r="F170" s="9">
        <v>29.0</v>
      </c>
      <c r="G170" s="9">
        <v>1994.0</v>
      </c>
      <c r="H170" s="10">
        <v>17.0</v>
      </c>
      <c r="I170" s="11">
        <v>1.133</v>
      </c>
      <c r="J170" s="11">
        <v>67.0</v>
      </c>
      <c r="K170" s="11" t="s">
        <v>881</v>
      </c>
      <c r="L170" s="11" t="s">
        <v>882</v>
      </c>
      <c r="M170" s="41">
        <v>0.06041666666666667</v>
      </c>
      <c r="N170" s="11">
        <v>90.0</v>
      </c>
      <c r="O170" s="42">
        <v>0.049305555555555554</v>
      </c>
      <c r="P170" s="41">
        <v>0.03333333333333333</v>
      </c>
      <c r="Q170" s="11">
        <v>25.0</v>
      </c>
      <c r="R170" s="42">
        <v>0.005555555555555556</v>
      </c>
      <c r="S170" s="13">
        <v>0.06111111111111111</v>
      </c>
      <c r="T170" s="42">
        <v>0.06041666666666667</v>
      </c>
      <c r="U170" s="42">
        <v>0.06597222222222222</v>
      </c>
      <c r="V170" s="45">
        <v>-0.005555555555555556</v>
      </c>
      <c r="W170" s="15">
        <v>-0.005555555555555556</v>
      </c>
      <c r="X170" s="14" t="str">
        <f>+0.84</f>
        <v>#ERROR!</v>
      </c>
      <c r="Y170" s="16" t="s">
        <v>3218</v>
      </c>
    </row>
    <row r="171">
      <c r="A171" s="6">
        <v>164.0</v>
      </c>
      <c r="B171" s="7" t="s">
        <v>3219</v>
      </c>
      <c r="C171" s="8" t="s">
        <v>3220</v>
      </c>
      <c r="D171" s="9" t="s">
        <v>59</v>
      </c>
      <c r="E171" s="7" t="s">
        <v>3221</v>
      </c>
      <c r="F171" s="9">
        <v>25.0</v>
      </c>
      <c r="G171" s="9">
        <v>1998.0</v>
      </c>
      <c r="H171" s="10">
        <v>29.0</v>
      </c>
      <c r="I171" s="11">
        <v>1.935</v>
      </c>
      <c r="J171" s="11">
        <v>67.0</v>
      </c>
      <c r="K171" s="11" t="s">
        <v>887</v>
      </c>
      <c r="L171" s="11" t="s">
        <v>888</v>
      </c>
      <c r="M171" s="41">
        <v>0.06805555555555555</v>
      </c>
      <c r="N171" s="11">
        <v>83.0</v>
      </c>
      <c r="O171" s="42">
        <v>0.03888888888888889</v>
      </c>
      <c r="P171" s="41">
        <v>0.025694444444444443</v>
      </c>
      <c r="Q171" s="11">
        <v>25.0</v>
      </c>
      <c r="R171" s="42">
        <v>0.003472222222222222</v>
      </c>
      <c r="S171" s="13">
        <v>0.05138888888888889</v>
      </c>
      <c r="T171" s="42">
        <v>0.06805555555555555</v>
      </c>
      <c r="U171" s="42">
        <v>0.06944444444444445</v>
      </c>
      <c r="V171" s="45">
        <v>-0.029166666666666667</v>
      </c>
      <c r="W171" s="15">
        <v>-0.029166666666666667</v>
      </c>
      <c r="X171" s="14" t="str">
        <f>+0.64</f>
        <v>#ERROR!</v>
      </c>
      <c r="Y171" s="16" t="s">
        <v>3222</v>
      </c>
    </row>
    <row r="172">
      <c r="A172" s="6">
        <v>165.0</v>
      </c>
      <c r="B172" s="7" t="s">
        <v>3223</v>
      </c>
      <c r="C172" s="8" t="s">
        <v>3224</v>
      </c>
      <c r="D172" s="9" t="s">
        <v>66</v>
      </c>
      <c r="E172" s="7" t="s">
        <v>3225</v>
      </c>
      <c r="F172" s="9">
        <v>24.0</v>
      </c>
      <c r="G172" s="9">
        <v>1999.0</v>
      </c>
      <c r="H172" s="10">
        <v>20.0</v>
      </c>
      <c r="I172" s="11">
        <v>1.549</v>
      </c>
      <c r="J172" s="11">
        <v>77.0</v>
      </c>
      <c r="K172" s="11" t="s">
        <v>795</v>
      </c>
      <c r="L172" s="11" t="s">
        <v>796</v>
      </c>
      <c r="M172" s="41">
        <v>0.06875</v>
      </c>
      <c r="N172" s="11">
        <v>87.0</v>
      </c>
      <c r="O172" s="42">
        <v>0.06458333333333334</v>
      </c>
      <c r="P172" s="41">
        <v>0.011805555555555555</v>
      </c>
      <c r="Q172" s="11">
        <v>21.0</v>
      </c>
      <c r="R172" s="42">
        <v>0.004166666666666667</v>
      </c>
      <c r="S172" s="13">
        <v>0.041666666666666664</v>
      </c>
      <c r="T172" s="42">
        <v>0.06458333333333334</v>
      </c>
      <c r="U172" s="42">
        <v>0.04861111111111111</v>
      </c>
      <c r="V172" s="45">
        <v>-0.011805555555555555</v>
      </c>
      <c r="W172" s="15">
        <v>-0.011805555555555555</v>
      </c>
      <c r="X172" s="14" t="str">
        <f>+0.37</f>
        <v>#ERROR!</v>
      </c>
      <c r="Y172" s="16" t="s">
        <v>3226</v>
      </c>
    </row>
    <row r="173">
      <c r="A173" s="6">
        <v>166.0</v>
      </c>
      <c r="B173" s="7" t="s">
        <v>3227</v>
      </c>
      <c r="C173" s="8" t="s">
        <v>3228</v>
      </c>
      <c r="D173" s="9" t="s">
        <v>32</v>
      </c>
      <c r="E173" s="7" t="s">
        <v>3229</v>
      </c>
      <c r="F173" s="9">
        <v>17.0</v>
      </c>
      <c r="G173" s="9">
        <v>2006.0</v>
      </c>
      <c r="H173" s="10">
        <v>1.0</v>
      </c>
      <c r="I173" s="11">
        <v>2.0</v>
      </c>
      <c r="J173" s="11">
        <v>2.0</v>
      </c>
      <c r="K173" s="11" t="s">
        <v>155</v>
      </c>
      <c r="L173" s="12" t="s">
        <v>470</v>
      </c>
      <c r="M173" s="18">
        <v>0.0</v>
      </c>
      <c r="N173" s="19"/>
      <c r="O173" s="12">
        <v>0.0</v>
      </c>
      <c r="P173" s="10">
        <v>1.0</v>
      </c>
      <c r="Q173" s="11">
        <v>2.0</v>
      </c>
      <c r="R173" s="12">
        <v>0.0</v>
      </c>
      <c r="S173" s="13">
        <v>0.041666666666666664</v>
      </c>
      <c r="T173" s="12">
        <v>0.0</v>
      </c>
      <c r="U173" s="12">
        <v>0.0</v>
      </c>
      <c r="V173" s="12">
        <v>0.0</v>
      </c>
      <c r="W173" s="21">
        <v>0.0</v>
      </c>
      <c r="X173" s="15">
        <v>-0.06944444444444445</v>
      </c>
      <c r="Y173" s="16" t="s">
        <v>3230</v>
      </c>
    </row>
    <row r="174">
      <c r="A174" s="6">
        <v>167.0</v>
      </c>
      <c r="B174" s="7" t="s">
        <v>3231</v>
      </c>
      <c r="C174" s="8" t="s">
        <v>3232</v>
      </c>
      <c r="D174" s="9" t="s">
        <v>32</v>
      </c>
      <c r="E174" s="7" t="s">
        <v>3233</v>
      </c>
      <c r="F174" s="9">
        <v>31.0</v>
      </c>
      <c r="G174" s="9">
        <v>1992.0</v>
      </c>
      <c r="H174" s="10">
        <v>17.0</v>
      </c>
      <c r="I174" s="11">
        <v>286.0</v>
      </c>
      <c r="J174" s="11">
        <v>17.0</v>
      </c>
      <c r="K174" s="11" t="s">
        <v>901</v>
      </c>
      <c r="L174" s="11" t="s">
        <v>902</v>
      </c>
      <c r="M174" s="41">
        <v>0.04375</v>
      </c>
      <c r="N174" s="11">
        <v>73.0</v>
      </c>
      <c r="O174" s="43">
        <v>0.0</v>
      </c>
      <c r="P174" s="41">
        <v>0.21458333333333332</v>
      </c>
      <c r="Q174" s="11">
        <v>9.0</v>
      </c>
      <c r="R174" s="42">
        <v>0.08055555555555556</v>
      </c>
      <c r="S174" s="13">
        <v>0.08333333333333333</v>
      </c>
      <c r="T174" s="42">
        <v>0.059027777777777776</v>
      </c>
      <c r="U174" s="42">
        <v>0.04375</v>
      </c>
      <c r="V174" s="44">
        <v>0.04375</v>
      </c>
      <c r="W174" s="14" t="str">
        <f>+0.63</f>
        <v>#ERROR!</v>
      </c>
      <c r="X174" s="14" t="str">
        <f>+0.52</f>
        <v>#ERROR!</v>
      </c>
      <c r="Y174" s="16" t="s">
        <v>3234</v>
      </c>
    </row>
    <row r="175">
      <c r="A175" s="6">
        <v>168.0</v>
      </c>
      <c r="B175" s="7" t="s">
        <v>3235</v>
      </c>
      <c r="C175" s="8" t="s">
        <v>3236</v>
      </c>
      <c r="D175" s="9" t="s">
        <v>45</v>
      </c>
      <c r="E175" s="7" t="s">
        <v>3237</v>
      </c>
      <c r="F175" s="9">
        <v>19.0</v>
      </c>
      <c r="G175" s="9">
        <v>2004.0</v>
      </c>
      <c r="H175" s="10">
        <v>18.0</v>
      </c>
      <c r="I175" s="11">
        <v>943.0</v>
      </c>
      <c r="J175" s="11">
        <v>52.0</v>
      </c>
      <c r="K175" s="11" t="s">
        <v>907</v>
      </c>
      <c r="L175" s="11" t="s">
        <v>908</v>
      </c>
      <c r="M175" s="41">
        <v>0.05138888888888889</v>
      </c>
      <c r="N175" s="11">
        <v>71.0</v>
      </c>
      <c r="O175" s="42">
        <v>0.006944444444444444</v>
      </c>
      <c r="P175" s="41">
        <v>0.03958333333333333</v>
      </c>
      <c r="Q175" s="11">
        <v>16.0</v>
      </c>
      <c r="R175" s="42">
        <v>0.006944444444444444</v>
      </c>
      <c r="S175" s="13">
        <v>0.10694444444444444</v>
      </c>
      <c r="T175" s="42">
        <v>0.09791666666666667</v>
      </c>
      <c r="U175" s="42">
        <v>0.058333333333333334</v>
      </c>
      <c r="V175" s="44">
        <v>0.03958333333333333</v>
      </c>
      <c r="W175" s="14" t="str">
        <f>+0.57</f>
        <v>#ERROR!</v>
      </c>
      <c r="X175" s="15">
        <v>-0.020833333333333332</v>
      </c>
      <c r="Y175" s="16" t="s">
        <v>3238</v>
      </c>
    </row>
    <row r="176">
      <c r="A176" s="6">
        <v>169.0</v>
      </c>
      <c r="B176" s="7" t="s">
        <v>3239</v>
      </c>
      <c r="C176" s="8" t="s">
        <v>3240</v>
      </c>
      <c r="D176" s="9" t="s">
        <v>52</v>
      </c>
      <c r="E176" s="7" t="s">
        <v>3241</v>
      </c>
      <c r="F176" s="9">
        <v>20.0</v>
      </c>
      <c r="G176" s="9">
        <v>2003.0</v>
      </c>
      <c r="H176" s="10">
        <v>26.0</v>
      </c>
      <c r="I176" s="11">
        <v>1.96</v>
      </c>
      <c r="J176" s="11">
        <v>75.0</v>
      </c>
      <c r="K176" s="11" t="s">
        <v>493</v>
      </c>
      <c r="L176" s="11" t="s">
        <v>494</v>
      </c>
      <c r="M176" s="41">
        <v>0.04236111111111111</v>
      </c>
      <c r="N176" s="11">
        <v>82.0</v>
      </c>
      <c r="O176" s="42">
        <v>0.041666666666666664</v>
      </c>
      <c r="P176" s="41">
        <v>0.0125</v>
      </c>
      <c r="Q176" s="11">
        <v>39.0</v>
      </c>
      <c r="R176" s="42">
        <v>0.00625</v>
      </c>
      <c r="S176" s="13">
        <v>0.08958333333333333</v>
      </c>
      <c r="T176" s="42">
        <v>0.08402777777777778</v>
      </c>
      <c r="U176" s="42">
        <v>0.06666666666666667</v>
      </c>
      <c r="V176" s="44">
        <v>0.044444444444444446</v>
      </c>
      <c r="W176" s="14" t="str">
        <f>+0.64</f>
        <v>#ERROR!</v>
      </c>
      <c r="X176" s="14" t="str">
        <f>+1.13</f>
        <v>#ERROR!</v>
      </c>
      <c r="Y176" s="16" t="s">
        <v>3242</v>
      </c>
    </row>
    <row r="177">
      <c r="A177" s="6">
        <v>170.0</v>
      </c>
      <c r="B177" s="7" t="s">
        <v>3243</v>
      </c>
      <c r="C177" s="8" t="s">
        <v>3244</v>
      </c>
      <c r="D177" s="9" t="s">
        <v>52</v>
      </c>
      <c r="E177" s="7" t="s">
        <v>3245</v>
      </c>
      <c r="F177" s="9">
        <v>18.0</v>
      </c>
      <c r="G177" s="9">
        <v>2005.0</v>
      </c>
      <c r="H177" s="10">
        <v>7.0</v>
      </c>
      <c r="I177" s="11">
        <v>305.0</v>
      </c>
      <c r="J177" s="11">
        <v>44.0</v>
      </c>
      <c r="K177" s="11" t="s">
        <v>111</v>
      </c>
      <c r="L177" s="11" t="s">
        <v>112</v>
      </c>
      <c r="M177" s="41">
        <v>0.06111111111111111</v>
      </c>
      <c r="N177" s="11">
        <v>65.0</v>
      </c>
      <c r="O177" s="42">
        <v>0.02013888888888889</v>
      </c>
      <c r="P177" s="41">
        <v>0.05416666666666667</v>
      </c>
      <c r="Q177" s="11">
        <v>28.0</v>
      </c>
      <c r="R177" s="42">
        <v>0.1076388888888889</v>
      </c>
      <c r="S177" s="13">
        <v>0.02013888888888889</v>
      </c>
      <c r="T177" s="42">
        <v>0.04097222222222222</v>
      </c>
      <c r="U177" s="42">
        <v>0.07430555555555556</v>
      </c>
      <c r="V177" s="45">
        <v>-0.06111111111111111</v>
      </c>
      <c r="W177" s="15">
        <v>-0.06180555555555556</v>
      </c>
      <c r="X177" s="15">
        <v>-0.025</v>
      </c>
      <c r="Y177" s="16" t="s">
        <v>3246</v>
      </c>
    </row>
    <row r="178">
      <c r="A178" s="6">
        <v>171.0</v>
      </c>
      <c r="B178" s="7" t="s">
        <v>3247</v>
      </c>
      <c r="C178" s="8" t="s">
        <v>3248</v>
      </c>
      <c r="D178" s="9" t="s">
        <v>52</v>
      </c>
      <c r="E178" s="7" t="s">
        <v>3249</v>
      </c>
      <c r="F178" s="9">
        <v>29.0</v>
      </c>
      <c r="G178" s="9">
        <v>1995.0</v>
      </c>
      <c r="H178" s="10">
        <v>28.0</v>
      </c>
      <c r="I178" s="11">
        <v>2.52</v>
      </c>
      <c r="J178" s="11">
        <v>90.0</v>
      </c>
      <c r="K178" s="11" t="s">
        <v>559</v>
      </c>
      <c r="L178" s="11" t="s">
        <v>483</v>
      </c>
      <c r="M178" s="41">
        <v>0.041666666666666664</v>
      </c>
      <c r="N178" s="11">
        <v>90.0</v>
      </c>
      <c r="O178" s="42">
        <v>0.041666666666666664</v>
      </c>
      <c r="P178" s="46">
        <v>0.0</v>
      </c>
      <c r="Q178" s="19"/>
      <c r="R178" s="43">
        <v>0.0</v>
      </c>
      <c r="S178" s="13">
        <v>0.06666666666666667</v>
      </c>
      <c r="T178" s="42">
        <v>0.09375</v>
      </c>
      <c r="U178" s="42">
        <v>0.09097222222222222</v>
      </c>
      <c r="V178" s="44">
        <v>0.002777777777777778</v>
      </c>
      <c r="W178" s="14" t="str">
        <f>+0.04</f>
        <v>#ERROR!</v>
      </c>
      <c r="X178" s="15">
        <v>-0.06666666666666667</v>
      </c>
      <c r="Y178" s="16" t="s">
        <v>3250</v>
      </c>
    </row>
    <row r="179">
      <c r="A179" s="6">
        <v>172.0</v>
      </c>
      <c r="B179" s="7" t="s">
        <v>3251</v>
      </c>
      <c r="C179" s="8" t="s">
        <v>3252</v>
      </c>
      <c r="D179" s="9" t="s">
        <v>52</v>
      </c>
      <c r="E179" s="7" t="s">
        <v>3253</v>
      </c>
      <c r="F179" s="9">
        <v>21.0</v>
      </c>
      <c r="G179" s="9">
        <v>2002.0</v>
      </c>
      <c r="H179" s="10">
        <v>14.0</v>
      </c>
      <c r="I179" s="11">
        <v>323.0</v>
      </c>
      <c r="J179" s="11">
        <v>23.0</v>
      </c>
      <c r="K179" s="11" t="s">
        <v>76</v>
      </c>
      <c r="L179" s="11" t="s">
        <v>367</v>
      </c>
      <c r="M179" s="41">
        <v>0.03888888888888889</v>
      </c>
      <c r="N179" s="11">
        <v>77.0</v>
      </c>
      <c r="O179" s="42">
        <v>0.019444444444444445</v>
      </c>
      <c r="P179" s="41">
        <v>0.14791666666666667</v>
      </c>
      <c r="Q179" s="11">
        <v>14.0</v>
      </c>
      <c r="R179" s="42">
        <v>0.14791666666666667</v>
      </c>
      <c r="S179" s="13">
        <v>0.08333333333333333</v>
      </c>
      <c r="T179" s="42">
        <v>0.08819444444444445</v>
      </c>
      <c r="U179" s="42">
        <v>0.10694444444444444</v>
      </c>
      <c r="V179" s="45">
        <v>-0.019444444444444445</v>
      </c>
      <c r="W179" s="15">
        <v>-0.019444444444444445</v>
      </c>
      <c r="X179" s="15">
        <v>-0.027083333333333334</v>
      </c>
      <c r="Y179" s="16" t="s">
        <v>3254</v>
      </c>
    </row>
    <row r="180">
      <c r="A180" s="6">
        <v>173.0</v>
      </c>
      <c r="B180" s="7" t="s">
        <v>3255</v>
      </c>
      <c r="C180" s="8" t="s">
        <v>3256</v>
      </c>
      <c r="D180" s="9" t="s">
        <v>45</v>
      </c>
      <c r="E180" s="7" t="s">
        <v>3257</v>
      </c>
      <c r="F180" s="9">
        <v>28.0</v>
      </c>
      <c r="G180" s="9">
        <v>1995.0</v>
      </c>
      <c r="H180" s="10">
        <v>27.0</v>
      </c>
      <c r="I180" s="11">
        <v>1.925</v>
      </c>
      <c r="J180" s="11">
        <v>71.0</v>
      </c>
      <c r="K180" s="11" t="s">
        <v>929</v>
      </c>
      <c r="L180" s="11" t="s">
        <v>930</v>
      </c>
      <c r="M180" s="41">
        <v>0.05</v>
      </c>
      <c r="N180" s="11">
        <v>77.0</v>
      </c>
      <c r="O180" s="42">
        <v>0.009722222222222222</v>
      </c>
      <c r="P180" s="41">
        <v>0.009722222222222222</v>
      </c>
      <c r="Q180" s="11">
        <v>28.0</v>
      </c>
      <c r="R180" s="43">
        <v>0.0</v>
      </c>
      <c r="S180" s="13">
        <v>0.07777777777777778</v>
      </c>
      <c r="T180" s="42">
        <v>0.08611111111111111</v>
      </c>
      <c r="U180" s="42">
        <v>0.05347222222222222</v>
      </c>
      <c r="V180" s="44">
        <v>0.03263888888888889</v>
      </c>
      <c r="W180" s="14" t="str">
        <f>+0.47</f>
        <v>#ERROR!</v>
      </c>
      <c r="X180" s="14" t="str">
        <f>+0.58</f>
        <v>#ERROR!</v>
      </c>
      <c r="Y180" s="16" t="s">
        <v>3258</v>
      </c>
    </row>
    <row r="181">
      <c r="A181" s="6">
        <v>174.0</v>
      </c>
      <c r="B181" s="7" t="s">
        <v>3259</v>
      </c>
      <c r="C181" s="8" t="s">
        <v>3260</v>
      </c>
      <c r="D181" s="9" t="s">
        <v>52</v>
      </c>
      <c r="E181" s="7" t="s">
        <v>3261</v>
      </c>
      <c r="F181" s="9">
        <v>29.0</v>
      </c>
      <c r="G181" s="9">
        <v>1994.0</v>
      </c>
      <c r="H181" s="10">
        <v>29.0</v>
      </c>
      <c r="I181" s="11">
        <v>2.591</v>
      </c>
      <c r="J181" s="11">
        <v>89.0</v>
      </c>
      <c r="K181" s="11" t="s">
        <v>935</v>
      </c>
      <c r="L181" s="11" t="s">
        <v>936</v>
      </c>
      <c r="M181" s="41">
        <v>0.04236111111111111</v>
      </c>
      <c r="N181" s="11">
        <v>89.0</v>
      </c>
      <c r="O181" s="42">
        <v>0.06527777777777778</v>
      </c>
      <c r="P181" s="46">
        <v>0.0</v>
      </c>
      <c r="Q181" s="19"/>
      <c r="R181" s="43">
        <v>0.0</v>
      </c>
      <c r="S181" s="13">
        <v>0.08472222222222223</v>
      </c>
      <c r="T181" s="42">
        <v>0.07361111111111111</v>
      </c>
      <c r="U181" s="42">
        <v>0.05416666666666667</v>
      </c>
      <c r="V181" s="44">
        <v>0.019444444444444445</v>
      </c>
      <c r="W181" s="14" t="str">
        <f>+0.28</f>
        <v>#ERROR!</v>
      </c>
      <c r="X181" s="15">
        <v>-0.03819444444444445</v>
      </c>
      <c r="Y181" s="16" t="s">
        <v>3262</v>
      </c>
    </row>
    <row r="182">
      <c r="A182" s="6">
        <v>175.0</v>
      </c>
      <c r="B182" s="7" t="s">
        <v>3263</v>
      </c>
      <c r="C182" s="8" t="s">
        <v>3264</v>
      </c>
      <c r="D182" s="9" t="s">
        <v>66</v>
      </c>
      <c r="E182" s="7" t="s">
        <v>3265</v>
      </c>
      <c r="F182" s="9">
        <v>21.0</v>
      </c>
      <c r="G182" s="9">
        <v>2002.0</v>
      </c>
      <c r="H182" s="10">
        <v>4.0</v>
      </c>
      <c r="I182" s="11">
        <v>37.0</v>
      </c>
      <c r="J182" s="11">
        <v>9.0</v>
      </c>
      <c r="K182" s="11" t="s">
        <v>941</v>
      </c>
      <c r="L182" s="11" t="s">
        <v>318</v>
      </c>
      <c r="M182" s="46">
        <v>0.0</v>
      </c>
      <c r="N182" s="19"/>
      <c r="O182" s="43">
        <v>0.0</v>
      </c>
      <c r="P182" s="47" t="s">
        <v>268</v>
      </c>
      <c r="Q182" s="11">
        <v>9.0</v>
      </c>
      <c r="R182" s="48" t="s">
        <v>1090</v>
      </c>
      <c r="S182" s="13">
        <v>0.0763888888888889</v>
      </c>
      <c r="T182" s="43">
        <v>0.0</v>
      </c>
      <c r="U182" s="43">
        <v>0.0</v>
      </c>
      <c r="V182" s="43">
        <v>0.0</v>
      </c>
      <c r="W182" s="21">
        <v>0.0</v>
      </c>
      <c r="X182" s="15">
        <v>-0.05416666666666667</v>
      </c>
      <c r="Y182" s="16" t="s">
        <v>3266</v>
      </c>
    </row>
    <row r="183">
      <c r="A183" s="25" t="s">
        <v>0</v>
      </c>
      <c r="B183" s="26" t="s">
        <v>1</v>
      </c>
      <c r="C183" s="27" t="s">
        <v>2</v>
      </c>
      <c r="D183" s="27" t="s">
        <v>3</v>
      </c>
      <c r="E183" s="27" t="s">
        <v>4</v>
      </c>
      <c r="F183" s="27" t="s">
        <v>5</v>
      </c>
      <c r="G183" s="27" t="s">
        <v>6</v>
      </c>
      <c r="H183" s="28" t="s">
        <v>7</v>
      </c>
      <c r="I183" s="27" t="s">
        <v>8</v>
      </c>
      <c r="J183" s="27" t="s">
        <v>9</v>
      </c>
      <c r="K183" s="27" t="s">
        <v>10</v>
      </c>
      <c r="L183" s="27" t="s">
        <v>11</v>
      </c>
      <c r="M183" s="28" t="s">
        <v>12</v>
      </c>
      <c r="N183" s="27" t="s">
        <v>13</v>
      </c>
      <c r="O183" s="27" t="s">
        <v>14</v>
      </c>
      <c r="P183" s="28" t="s">
        <v>15</v>
      </c>
      <c r="Q183" s="27" t="s">
        <v>16</v>
      </c>
      <c r="R183" s="27" t="s">
        <v>17</v>
      </c>
      <c r="S183" s="28" t="s">
        <v>18</v>
      </c>
      <c r="T183" s="27" t="s">
        <v>19</v>
      </c>
      <c r="U183" s="27" t="s">
        <v>20</v>
      </c>
      <c r="V183" s="29" t="str">
        <f>+/-</f>
        <v>#ERROR!</v>
      </c>
      <c r="W183" s="29" t="str">
        <f>+/-90</f>
        <v>#ERROR!</v>
      </c>
      <c r="X183" s="27" t="s">
        <v>21</v>
      </c>
      <c r="Y183" s="28" t="s">
        <v>22</v>
      </c>
    </row>
    <row r="184">
      <c r="A184" s="6">
        <v>176.0</v>
      </c>
      <c r="B184" s="7" t="s">
        <v>3267</v>
      </c>
      <c r="C184" s="8" t="s">
        <v>3268</v>
      </c>
      <c r="D184" s="9" t="s">
        <v>59</v>
      </c>
      <c r="E184" s="7" t="s">
        <v>3269</v>
      </c>
      <c r="F184" s="9">
        <v>24.0</v>
      </c>
      <c r="G184" s="9">
        <v>1999.0</v>
      </c>
      <c r="H184" s="10">
        <v>11.0</v>
      </c>
      <c r="I184" s="11">
        <v>745.0</v>
      </c>
      <c r="J184" s="11">
        <v>68.0</v>
      </c>
      <c r="K184" s="11" t="s">
        <v>286</v>
      </c>
      <c r="L184" s="11" t="s">
        <v>287</v>
      </c>
      <c r="M184" s="41">
        <v>0.06666666666666667</v>
      </c>
      <c r="N184" s="11">
        <v>82.0</v>
      </c>
      <c r="O184" s="42">
        <v>0.03333333333333333</v>
      </c>
      <c r="P184" s="41">
        <v>0.025</v>
      </c>
      <c r="Q184" s="11">
        <v>29.0</v>
      </c>
      <c r="R184" s="42">
        <v>0.008333333333333333</v>
      </c>
      <c r="S184" s="13">
        <v>0.06666666666666667</v>
      </c>
      <c r="T184" s="42">
        <v>0.06666666666666667</v>
      </c>
      <c r="U184" s="42">
        <v>0.06458333333333334</v>
      </c>
      <c r="V184" s="45">
        <v>-0.025</v>
      </c>
      <c r="W184" s="15">
        <v>-0.025</v>
      </c>
      <c r="X184" s="15">
        <v>-0.06666666666666667</v>
      </c>
      <c r="Y184" s="16" t="s">
        <v>3270</v>
      </c>
    </row>
    <row r="185">
      <c r="A185" s="6">
        <v>177.0</v>
      </c>
      <c r="B185" s="7" t="s">
        <v>3271</v>
      </c>
      <c r="C185" s="8" t="s">
        <v>3272</v>
      </c>
      <c r="D185" s="9" t="s">
        <v>73</v>
      </c>
      <c r="E185" s="7" t="s">
        <v>3273</v>
      </c>
      <c r="F185" s="9">
        <v>29.0</v>
      </c>
      <c r="G185" s="9">
        <v>1994.0</v>
      </c>
      <c r="H185" s="10">
        <v>8.0</v>
      </c>
      <c r="I185" s="11">
        <v>720.0</v>
      </c>
      <c r="J185" s="11">
        <v>90.0</v>
      </c>
      <c r="K185" s="11" t="s">
        <v>950</v>
      </c>
      <c r="L185" s="11" t="s">
        <v>951</v>
      </c>
      <c r="M185" s="41">
        <v>0.041666666666666664</v>
      </c>
      <c r="N185" s="11">
        <v>90.0</v>
      </c>
      <c r="O185" s="42">
        <v>0.041666666666666664</v>
      </c>
      <c r="P185" s="46">
        <v>0.0</v>
      </c>
      <c r="Q185" s="19"/>
      <c r="R185" s="42">
        <v>0.017361111111111112</v>
      </c>
      <c r="S185" s="13">
        <v>0.041666666666666664</v>
      </c>
      <c r="T185" s="42">
        <v>0.050694444444444445</v>
      </c>
      <c r="U185" s="42">
        <v>0.059027777777777776</v>
      </c>
      <c r="V185" s="45">
        <v>-0.009027777777777777</v>
      </c>
      <c r="W185" s="15">
        <v>-0.008333333333333333</v>
      </c>
      <c r="X185" s="14" t="str">
        <f>+0.15</f>
        <v>#ERROR!</v>
      </c>
      <c r="Y185" s="16" t="s">
        <v>3274</v>
      </c>
    </row>
    <row r="186">
      <c r="A186" s="6">
        <v>178.0</v>
      </c>
      <c r="B186" s="7" t="s">
        <v>3275</v>
      </c>
      <c r="C186" s="8" t="s">
        <v>3276</v>
      </c>
      <c r="D186" s="9" t="s">
        <v>73</v>
      </c>
      <c r="E186" s="7" t="s">
        <v>3277</v>
      </c>
      <c r="F186" s="9">
        <v>31.0</v>
      </c>
      <c r="G186" s="9">
        <v>1992.0</v>
      </c>
      <c r="H186" s="10">
        <v>15.0</v>
      </c>
      <c r="I186" s="11">
        <v>1.35</v>
      </c>
      <c r="J186" s="11">
        <v>90.0</v>
      </c>
      <c r="K186" s="11" t="s">
        <v>174</v>
      </c>
      <c r="L186" s="11" t="s">
        <v>175</v>
      </c>
      <c r="M186" s="41">
        <v>0.041666666666666664</v>
      </c>
      <c r="N186" s="11">
        <v>90.0</v>
      </c>
      <c r="O186" s="42">
        <v>0.041666666666666664</v>
      </c>
      <c r="P186" s="46">
        <v>0.0</v>
      </c>
      <c r="Q186" s="19"/>
      <c r="R186" s="43">
        <v>0.0</v>
      </c>
      <c r="S186" s="13">
        <v>0.09236111111111112</v>
      </c>
      <c r="T186" s="42">
        <v>0.09722222222222222</v>
      </c>
      <c r="U186" s="42">
        <v>0.03680555555555556</v>
      </c>
      <c r="V186" s="44">
        <v>0.06041666666666667</v>
      </c>
      <c r="W186" s="14" t="str">
        <f>+1.27</f>
        <v>#ERROR!</v>
      </c>
      <c r="X186" s="14" t="str">
        <f>+1.00</f>
        <v>#ERROR!</v>
      </c>
      <c r="Y186" s="16" t="s">
        <v>3278</v>
      </c>
    </row>
    <row r="187">
      <c r="A187" s="6">
        <v>179.0</v>
      </c>
      <c r="B187" s="7" t="s">
        <v>3279</v>
      </c>
      <c r="C187" s="8" t="s">
        <v>3280</v>
      </c>
      <c r="D187" s="9" t="s">
        <v>45</v>
      </c>
      <c r="E187" s="7" t="s">
        <v>3281</v>
      </c>
      <c r="F187" s="9">
        <v>24.0</v>
      </c>
      <c r="G187" s="9">
        <v>1999.0</v>
      </c>
      <c r="H187" s="10">
        <v>3.0</v>
      </c>
      <c r="I187" s="11">
        <v>29.0</v>
      </c>
      <c r="J187" s="11">
        <v>10.0</v>
      </c>
      <c r="K187" s="11" t="s">
        <v>443</v>
      </c>
      <c r="L187" s="11" t="s">
        <v>195</v>
      </c>
      <c r="M187" s="46">
        <v>0.0</v>
      </c>
      <c r="N187" s="19"/>
      <c r="O187" s="43">
        <v>0.0</v>
      </c>
      <c r="P187" s="47" t="s">
        <v>268</v>
      </c>
      <c r="Q187" s="11">
        <v>10.0</v>
      </c>
      <c r="R187" s="43">
        <v>0.0</v>
      </c>
      <c r="S187" s="13">
        <v>0.10625</v>
      </c>
      <c r="T187" s="43">
        <v>0.0</v>
      </c>
      <c r="U187" s="43">
        <v>0.0</v>
      </c>
      <c r="V187" s="43">
        <v>0.0</v>
      </c>
      <c r="W187" s="21">
        <v>0.0</v>
      </c>
      <c r="X187" s="15">
        <v>-0.07083333333333333</v>
      </c>
      <c r="Y187" s="16" t="s">
        <v>3282</v>
      </c>
    </row>
    <row r="188">
      <c r="A188" s="6">
        <v>180.0</v>
      </c>
      <c r="B188" s="7" t="s">
        <v>3283</v>
      </c>
      <c r="C188" s="8" t="s">
        <v>3284</v>
      </c>
      <c r="D188" s="9" t="s">
        <v>32</v>
      </c>
      <c r="E188" s="7" t="s">
        <v>3285</v>
      </c>
      <c r="F188" s="9">
        <v>18.0</v>
      </c>
      <c r="G188" s="9">
        <v>2005.0</v>
      </c>
      <c r="H188" s="10">
        <v>3.0</v>
      </c>
      <c r="I188" s="11">
        <v>47.0</v>
      </c>
      <c r="J188" s="11">
        <v>16.0</v>
      </c>
      <c r="K188" s="11" t="s">
        <v>200</v>
      </c>
      <c r="L188" s="11" t="s">
        <v>201</v>
      </c>
      <c r="M188" s="46">
        <v>0.0</v>
      </c>
      <c r="N188" s="19"/>
      <c r="O188" s="43">
        <v>0.0</v>
      </c>
      <c r="P188" s="41">
        <v>0.25</v>
      </c>
      <c r="Q188" s="11">
        <v>16.0</v>
      </c>
      <c r="R188" s="48" t="s">
        <v>268</v>
      </c>
      <c r="S188" s="13">
        <v>0.08333333333333333</v>
      </c>
      <c r="T188" s="43">
        <v>0.0</v>
      </c>
      <c r="U188" s="42">
        <v>0.08333333333333333</v>
      </c>
      <c r="V188" s="45">
        <v>-0.08333333333333333</v>
      </c>
      <c r="W188" s="15">
        <v>-0.10486111111111111</v>
      </c>
      <c r="X188" s="15">
        <v>-0.06527777777777778</v>
      </c>
      <c r="Y188" s="16" t="s">
        <v>3286</v>
      </c>
    </row>
    <row r="189">
      <c r="A189" s="6">
        <v>181.0</v>
      </c>
      <c r="B189" s="7" t="s">
        <v>3287</v>
      </c>
      <c r="C189" s="8" t="s">
        <v>3288</v>
      </c>
      <c r="D189" s="9" t="s">
        <v>25</v>
      </c>
      <c r="E189" s="7" t="s">
        <v>3289</v>
      </c>
      <c r="F189" s="9">
        <v>28.0</v>
      </c>
      <c r="G189" s="9">
        <v>1995.0</v>
      </c>
      <c r="H189" s="10">
        <v>27.0</v>
      </c>
      <c r="I189" s="11">
        <v>2.03</v>
      </c>
      <c r="J189" s="11">
        <v>75.0</v>
      </c>
      <c r="K189" s="11" t="s">
        <v>968</v>
      </c>
      <c r="L189" s="11" t="s">
        <v>969</v>
      </c>
      <c r="M189" s="41">
        <v>0.04583333333333333</v>
      </c>
      <c r="N189" s="11">
        <v>80.0</v>
      </c>
      <c r="O189" s="42">
        <v>0.04027777777777778</v>
      </c>
      <c r="P189" s="41">
        <v>0.009027777777777777</v>
      </c>
      <c r="Q189" s="11">
        <v>35.0</v>
      </c>
      <c r="R189" s="42">
        <v>0.00625</v>
      </c>
      <c r="S189" s="13">
        <v>0.049305555555555554</v>
      </c>
      <c r="T189" s="42">
        <v>0.058333333333333334</v>
      </c>
      <c r="U189" s="42">
        <v>0.10138888888888889</v>
      </c>
      <c r="V189" s="45">
        <v>-0.043055555555555555</v>
      </c>
      <c r="W189" s="15">
        <v>-0.043055555555555555</v>
      </c>
      <c r="X189" s="14" t="str">
        <f>+0.19</f>
        <v>#ERROR!</v>
      </c>
      <c r="Y189" s="16" t="s">
        <v>3290</v>
      </c>
    </row>
    <row r="190">
      <c r="A190" s="6">
        <v>182.0</v>
      </c>
      <c r="B190" s="7" t="s">
        <v>3291</v>
      </c>
      <c r="C190" s="8" t="s">
        <v>3292</v>
      </c>
      <c r="D190" s="9" t="s">
        <v>66</v>
      </c>
      <c r="E190" s="7" t="s">
        <v>3293</v>
      </c>
      <c r="F190" s="9">
        <v>29.0</v>
      </c>
      <c r="G190" s="9">
        <v>1994.0</v>
      </c>
      <c r="H190" s="10">
        <v>18.0</v>
      </c>
      <c r="I190" s="11">
        <v>855.0</v>
      </c>
      <c r="J190" s="11">
        <v>48.0</v>
      </c>
      <c r="K190" s="11" t="s">
        <v>974</v>
      </c>
      <c r="L190" s="11" t="s">
        <v>975</v>
      </c>
      <c r="M190" s="41">
        <v>0.04513888888888889</v>
      </c>
      <c r="N190" s="11">
        <v>80.0</v>
      </c>
      <c r="O190" s="42">
        <v>0.029166666666666667</v>
      </c>
      <c r="P190" s="41">
        <v>0.058333333333333334</v>
      </c>
      <c r="Q190" s="11">
        <v>7.0</v>
      </c>
      <c r="R190" s="42">
        <v>0.022222222222222223</v>
      </c>
      <c r="S190" s="13">
        <v>0.05694444444444444</v>
      </c>
      <c r="T190" s="42">
        <v>0.04513888888888889</v>
      </c>
      <c r="U190" s="42">
        <v>0.09791666666666667</v>
      </c>
      <c r="V190" s="45">
        <v>-0.05277777777777778</v>
      </c>
      <c r="W190" s="15">
        <v>-0.05277777777777778</v>
      </c>
      <c r="X190" s="15">
        <v>-0.1</v>
      </c>
      <c r="Y190" s="16" t="s">
        <v>3294</v>
      </c>
    </row>
    <row r="191">
      <c r="A191" s="6">
        <v>183.0</v>
      </c>
      <c r="B191" s="7" t="s">
        <v>3295</v>
      </c>
      <c r="C191" s="8" t="s">
        <v>3296</v>
      </c>
      <c r="D191" s="9" t="s">
        <v>52</v>
      </c>
      <c r="E191" s="7" t="s">
        <v>3297</v>
      </c>
      <c r="F191" s="9">
        <v>22.0</v>
      </c>
      <c r="G191" s="9">
        <v>2001.0</v>
      </c>
      <c r="H191" s="10">
        <v>25.0</v>
      </c>
      <c r="I191" s="11">
        <v>1.458</v>
      </c>
      <c r="J191" s="11">
        <v>58.0</v>
      </c>
      <c r="K191" s="11" t="s">
        <v>980</v>
      </c>
      <c r="L191" s="11" t="s">
        <v>981</v>
      </c>
      <c r="M191" s="41">
        <v>0.06458333333333334</v>
      </c>
      <c r="N191" s="11">
        <v>85.0</v>
      </c>
      <c r="O191" s="42">
        <v>0.043055555555555555</v>
      </c>
      <c r="P191" s="41">
        <v>0.043055555555555555</v>
      </c>
      <c r="Q191" s="11">
        <v>19.0</v>
      </c>
      <c r="R191" s="42">
        <v>0.017361111111111112</v>
      </c>
      <c r="S191" s="13">
        <v>0.09444444444444444</v>
      </c>
      <c r="T191" s="42">
        <v>0.0625</v>
      </c>
      <c r="U191" s="42">
        <v>0.05555555555555555</v>
      </c>
      <c r="V191" s="44">
        <v>0.034027777777777775</v>
      </c>
      <c r="W191" s="14" t="str">
        <f>+0.49</f>
        <v>#ERROR!</v>
      </c>
      <c r="X191" s="15">
        <v>-0.04097222222222222</v>
      </c>
      <c r="Y191" s="16" t="s">
        <v>3298</v>
      </c>
    </row>
    <row r="192">
      <c r="A192" s="6">
        <v>184.0</v>
      </c>
      <c r="B192" s="7" t="s">
        <v>3299</v>
      </c>
      <c r="C192" s="8" t="s">
        <v>3300</v>
      </c>
      <c r="D192" s="9" t="s">
        <v>52</v>
      </c>
      <c r="E192" s="7" t="s">
        <v>3301</v>
      </c>
      <c r="F192" s="9">
        <v>31.0</v>
      </c>
      <c r="G192" s="9">
        <v>1992.0</v>
      </c>
      <c r="H192" s="10">
        <v>21.0</v>
      </c>
      <c r="I192" s="11">
        <v>974.0</v>
      </c>
      <c r="J192" s="11">
        <v>46.0</v>
      </c>
      <c r="K192" s="11" t="s">
        <v>986</v>
      </c>
      <c r="L192" s="11" t="s">
        <v>987</v>
      </c>
      <c r="M192" s="41">
        <v>0.05763888888888889</v>
      </c>
      <c r="N192" s="11">
        <v>76.0</v>
      </c>
      <c r="O192" s="43">
        <v>0.0</v>
      </c>
      <c r="P192" s="41">
        <v>0.049305555555555554</v>
      </c>
      <c r="Q192" s="11">
        <v>24.0</v>
      </c>
      <c r="R192" s="42">
        <v>0.019444444444444445</v>
      </c>
      <c r="S192" s="13">
        <v>0.06597222222222222</v>
      </c>
      <c r="T192" s="42">
        <v>0.049305555555555554</v>
      </c>
      <c r="U192" s="42">
        <v>0.09236111111111112</v>
      </c>
      <c r="V192" s="45">
        <v>-0.043055555555555555</v>
      </c>
      <c r="W192" s="15">
        <v>-0.043055555555555555</v>
      </c>
      <c r="X192" s="15">
        <v>-0.034027777777777775</v>
      </c>
      <c r="Y192" s="16" t="s">
        <v>3302</v>
      </c>
    </row>
    <row r="193">
      <c r="A193" s="6">
        <v>185.0</v>
      </c>
      <c r="B193" s="7" t="s">
        <v>3303</v>
      </c>
      <c r="C193" s="8" t="s">
        <v>3304</v>
      </c>
      <c r="D193" s="9" t="s">
        <v>66</v>
      </c>
      <c r="E193" s="7" t="s">
        <v>3305</v>
      </c>
      <c r="F193" s="9">
        <v>29.0</v>
      </c>
      <c r="G193" s="9">
        <v>1994.0</v>
      </c>
      <c r="H193" s="10">
        <v>30.0</v>
      </c>
      <c r="I193" s="11">
        <v>2.655</v>
      </c>
      <c r="J193" s="11">
        <v>89.0</v>
      </c>
      <c r="K193" s="11" t="s">
        <v>992</v>
      </c>
      <c r="L193" s="11" t="s">
        <v>993</v>
      </c>
      <c r="M193" s="41">
        <v>0.043055555555555555</v>
      </c>
      <c r="N193" s="11">
        <v>89.0</v>
      </c>
      <c r="O193" s="42">
        <v>0.06805555555555555</v>
      </c>
      <c r="P193" s="46">
        <v>0.0</v>
      </c>
      <c r="Q193" s="19"/>
      <c r="R193" s="43">
        <v>0.0</v>
      </c>
      <c r="S193" s="13">
        <v>0.09722222222222222</v>
      </c>
      <c r="T193" s="42">
        <v>0.08055555555555556</v>
      </c>
      <c r="U193" s="42">
        <v>0.06875</v>
      </c>
      <c r="V193" s="44">
        <v>0.011805555555555555</v>
      </c>
      <c r="W193" s="14" t="str">
        <f>+0.17</f>
        <v>#ERROR!</v>
      </c>
      <c r="X193" s="14" t="str">
        <f>+0.17</f>
        <v>#ERROR!</v>
      </c>
      <c r="Y193" s="16" t="s">
        <v>3306</v>
      </c>
    </row>
    <row r="194">
      <c r="A194" s="6">
        <v>186.0</v>
      </c>
      <c r="B194" s="7" t="s">
        <v>3307</v>
      </c>
      <c r="C194" s="8" t="s">
        <v>3308</v>
      </c>
      <c r="D194" s="9" t="s">
        <v>66</v>
      </c>
      <c r="E194" s="7" t="s">
        <v>3309</v>
      </c>
      <c r="F194" s="9">
        <v>22.0</v>
      </c>
      <c r="G194" s="9">
        <v>2001.0</v>
      </c>
      <c r="H194" s="10">
        <v>1.0</v>
      </c>
      <c r="I194" s="11">
        <v>34.0</v>
      </c>
      <c r="J194" s="11">
        <v>34.0</v>
      </c>
      <c r="K194" s="11" t="s">
        <v>624</v>
      </c>
      <c r="L194" s="11" t="s">
        <v>318</v>
      </c>
      <c r="M194" s="46">
        <v>0.0</v>
      </c>
      <c r="N194" s="19"/>
      <c r="O194" s="43">
        <v>0.0</v>
      </c>
      <c r="P194" s="41">
        <v>0.11805555555555555</v>
      </c>
      <c r="Q194" s="11">
        <v>34.0</v>
      </c>
      <c r="R194" s="48" t="s">
        <v>268</v>
      </c>
      <c r="S194" s="13">
        <v>0.125</v>
      </c>
      <c r="T194" s="42">
        <v>0.11805555555555555</v>
      </c>
      <c r="U194" s="43">
        <v>0.0</v>
      </c>
      <c r="V194" s="44">
        <v>0.11805555555555555</v>
      </c>
      <c r="W194" s="14" t="str">
        <f>+2.65</f>
        <v>#ERROR!</v>
      </c>
      <c r="X194" s="14" t="str">
        <f>+3.25</f>
        <v>#ERROR!</v>
      </c>
      <c r="Y194" s="16" t="s">
        <v>3310</v>
      </c>
    </row>
    <row r="195">
      <c r="A195" s="6">
        <v>187.0</v>
      </c>
      <c r="B195" s="7" t="s">
        <v>3311</v>
      </c>
      <c r="C195" s="8" t="s">
        <v>3312</v>
      </c>
      <c r="D195" s="9" t="s">
        <v>66</v>
      </c>
      <c r="E195" s="7" t="s">
        <v>3313</v>
      </c>
      <c r="F195" s="9">
        <v>20.0</v>
      </c>
      <c r="G195" s="9">
        <v>2003.0</v>
      </c>
      <c r="H195" s="10">
        <v>11.0</v>
      </c>
      <c r="I195" s="11">
        <v>749.0</v>
      </c>
      <c r="J195" s="11">
        <v>68.0</v>
      </c>
      <c r="K195" s="11" t="s">
        <v>402</v>
      </c>
      <c r="L195" s="11" t="s">
        <v>287</v>
      </c>
      <c r="M195" s="41">
        <v>0.058333333333333334</v>
      </c>
      <c r="N195" s="11">
        <v>90.0</v>
      </c>
      <c r="O195" s="42">
        <v>0.058333333333333334</v>
      </c>
      <c r="P195" s="41">
        <v>0.03333333333333333</v>
      </c>
      <c r="Q195" s="11">
        <v>30.0</v>
      </c>
      <c r="R195" s="42">
        <v>0.041666666666666664</v>
      </c>
      <c r="S195" s="13">
        <v>0.041666666666666664</v>
      </c>
      <c r="T195" s="42">
        <v>0.06458333333333334</v>
      </c>
      <c r="U195" s="42">
        <v>0.06458333333333334</v>
      </c>
      <c r="V195" s="43">
        <v>0.0</v>
      </c>
      <c r="W195" s="21">
        <v>0.0</v>
      </c>
      <c r="X195" s="14" t="str">
        <f>+0.46</f>
        <v>#ERROR!</v>
      </c>
      <c r="Y195" s="16" t="s">
        <v>3314</v>
      </c>
    </row>
    <row r="196">
      <c r="A196" s="6">
        <v>188.0</v>
      </c>
      <c r="B196" s="7" t="s">
        <v>3315</v>
      </c>
      <c r="C196" s="8" t="s">
        <v>3316</v>
      </c>
      <c r="D196" s="9" t="s">
        <v>66</v>
      </c>
      <c r="E196" s="7" t="s">
        <v>3317</v>
      </c>
      <c r="F196" s="9">
        <v>23.0</v>
      </c>
      <c r="G196" s="9">
        <v>2000.0</v>
      </c>
      <c r="H196" s="10">
        <v>13.0</v>
      </c>
      <c r="I196" s="11">
        <v>937.0</v>
      </c>
      <c r="J196" s="11">
        <v>72.0</v>
      </c>
      <c r="K196" s="11" t="s">
        <v>1006</v>
      </c>
      <c r="L196" s="11" t="s">
        <v>461</v>
      </c>
      <c r="M196" s="41">
        <v>0.04583333333333333</v>
      </c>
      <c r="N196" s="11">
        <v>83.0</v>
      </c>
      <c r="O196" s="42">
        <v>0.05347222222222222</v>
      </c>
      <c r="P196" s="41">
        <v>0.013194444444444444</v>
      </c>
      <c r="Q196" s="11">
        <v>12.0</v>
      </c>
      <c r="R196" s="42">
        <v>0.006944444444444444</v>
      </c>
      <c r="S196" s="13">
        <v>0.05763888888888889</v>
      </c>
      <c r="T196" s="42">
        <v>0.05347222222222222</v>
      </c>
      <c r="U196" s="42">
        <v>0.07222222222222222</v>
      </c>
      <c r="V196" s="45">
        <v>-0.04652777777777778</v>
      </c>
      <c r="W196" s="15">
        <v>-0.04652777777777778</v>
      </c>
      <c r="X196" s="15">
        <v>-0.03611111111111111</v>
      </c>
      <c r="Y196" s="16" t="s">
        <v>3318</v>
      </c>
    </row>
    <row r="197">
      <c r="A197" s="6">
        <v>189.0</v>
      </c>
      <c r="B197" s="7" t="s">
        <v>3319</v>
      </c>
      <c r="C197" s="8" t="s">
        <v>3320</v>
      </c>
      <c r="D197" s="9" t="s">
        <v>32</v>
      </c>
      <c r="E197" s="7" t="s">
        <v>3321</v>
      </c>
      <c r="F197" s="9">
        <v>25.0</v>
      </c>
      <c r="G197" s="9">
        <v>1998.0</v>
      </c>
      <c r="H197" s="10">
        <v>11.0</v>
      </c>
      <c r="I197" s="11">
        <v>419.0</v>
      </c>
      <c r="J197" s="11">
        <v>38.0</v>
      </c>
      <c r="K197" s="11" t="s">
        <v>1011</v>
      </c>
      <c r="L197" s="11" t="s">
        <v>1012</v>
      </c>
      <c r="M197" s="41">
        <v>0.04583333333333333</v>
      </c>
      <c r="N197" s="11">
        <v>61.0</v>
      </c>
      <c r="O197" s="43">
        <v>0.0</v>
      </c>
      <c r="P197" s="41">
        <v>0.06111111111111111</v>
      </c>
      <c r="Q197" s="11">
        <v>19.0</v>
      </c>
      <c r="R197" s="42">
        <v>0.014583333333333334</v>
      </c>
      <c r="S197" s="13">
        <v>0.041666666666666664</v>
      </c>
      <c r="T197" s="42">
        <v>0.029861111111111113</v>
      </c>
      <c r="U197" s="42">
        <v>0.044444444444444446</v>
      </c>
      <c r="V197" s="45">
        <v>-0.014583333333333334</v>
      </c>
      <c r="W197" s="15">
        <v>-0.014583333333333334</v>
      </c>
      <c r="X197" s="15">
        <v>-0.022916666666666665</v>
      </c>
      <c r="Y197" s="16" t="s">
        <v>3322</v>
      </c>
    </row>
    <row r="198">
      <c r="A198" s="6">
        <v>190.0</v>
      </c>
      <c r="B198" s="7" t="s">
        <v>3323</v>
      </c>
      <c r="C198" s="8" t="s">
        <v>3324</v>
      </c>
      <c r="D198" s="9" t="s">
        <v>59</v>
      </c>
      <c r="E198" s="7" t="s">
        <v>3325</v>
      </c>
      <c r="F198" s="9">
        <v>30.0</v>
      </c>
      <c r="G198" s="9">
        <v>1993.0</v>
      </c>
      <c r="H198" s="10">
        <v>29.0</v>
      </c>
      <c r="I198" s="11">
        <v>2.005</v>
      </c>
      <c r="J198" s="11">
        <v>69.0</v>
      </c>
      <c r="K198" s="11" t="s">
        <v>1017</v>
      </c>
      <c r="L198" s="11" t="s">
        <v>1018</v>
      </c>
      <c r="M198" s="41">
        <v>0.04375</v>
      </c>
      <c r="N198" s="11">
        <v>80.0</v>
      </c>
      <c r="O198" s="42">
        <v>0.0375</v>
      </c>
      <c r="P198" s="41">
        <v>0.01875</v>
      </c>
      <c r="Q198" s="11">
        <v>26.0</v>
      </c>
      <c r="R198" s="43">
        <v>0.0</v>
      </c>
      <c r="S198" s="13">
        <v>0.07291666666666667</v>
      </c>
      <c r="T198" s="42">
        <v>0.08125</v>
      </c>
      <c r="U198" s="42">
        <v>0.05625</v>
      </c>
      <c r="V198" s="44">
        <v>0.025</v>
      </c>
      <c r="W198" s="14" t="str">
        <f>+0.36</f>
        <v>#ERROR!</v>
      </c>
      <c r="X198" s="14" t="str">
        <f>+0.36</f>
        <v>#ERROR!</v>
      </c>
      <c r="Y198" s="16" t="s">
        <v>3326</v>
      </c>
    </row>
    <row r="199">
      <c r="A199" s="6">
        <v>191.0</v>
      </c>
      <c r="B199" s="7" t="s">
        <v>3327</v>
      </c>
      <c r="C199" s="8" t="s">
        <v>3328</v>
      </c>
      <c r="D199" s="9" t="s">
        <v>66</v>
      </c>
      <c r="E199" s="7" t="s">
        <v>3329</v>
      </c>
      <c r="F199" s="9">
        <v>25.0</v>
      </c>
      <c r="G199" s="9">
        <v>1999.0</v>
      </c>
      <c r="H199" s="10">
        <v>12.0</v>
      </c>
      <c r="I199" s="11">
        <v>1.08</v>
      </c>
      <c r="J199" s="11">
        <v>90.0</v>
      </c>
      <c r="K199" s="11" t="s">
        <v>75</v>
      </c>
      <c r="L199" s="11" t="s">
        <v>76</v>
      </c>
      <c r="M199" s="41">
        <v>0.041666666666666664</v>
      </c>
      <c r="N199" s="11">
        <v>90.0</v>
      </c>
      <c r="O199" s="42">
        <v>0.041666666666666664</v>
      </c>
      <c r="P199" s="46">
        <v>0.0</v>
      </c>
      <c r="Q199" s="19"/>
      <c r="R199" s="43">
        <v>0.0</v>
      </c>
      <c r="S199" s="13">
        <v>0.059027777777777776</v>
      </c>
      <c r="T199" s="42">
        <v>0.08194444444444444</v>
      </c>
      <c r="U199" s="42">
        <v>0.09375</v>
      </c>
      <c r="V199" s="45">
        <v>-0.011805555555555555</v>
      </c>
      <c r="W199" s="15">
        <v>-0.011805555555555555</v>
      </c>
      <c r="X199" s="14" t="str">
        <f>+0.11</f>
        <v>#ERROR!</v>
      </c>
      <c r="Y199" s="16" t="s">
        <v>3330</v>
      </c>
    </row>
    <row r="200">
      <c r="A200" s="6">
        <v>192.0</v>
      </c>
      <c r="B200" s="7" t="s">
        <v>3331</v>
      </c>
      <c r="C200" s="8" t="s">
        <v>3332</v>
      </c>
      <c r="D200" s="9" t="s">
        <v>52</v>
      </c>
      <c r="E200" s="7" t="s">
        <v>3333</v>
      </c>
      <c r="F200" s="9">
        <v>22.0</v>
      </c>
      <c r="G200" s="9">
        <v>2001.0</v>
      </c>
      <c r="H200" s="10">
        <v>30.0</v>
      </c>
      <c r="I200" s="11">
        <v>2.178</v>
      </c>
      <c r="J200" s="11">
        <v>73.0</v>
      </c>
      <c r="K200" s="11" t="s">
        <v>1027</v>
      </c>
      <c r="L200" s="11" t="s">
        <v>1028</v>
      </c>
      <c r="M200" s="41">
        <v>0.04375</v>
      </c>
      <c r="N200" s="11">
        <v>82.0</v>
      </c>
      <c r="O200" s="42">
        <v>0.03125</v>
      </c>
      <c r="P200" s="41">
        <v>0.014583333333333334</v>
      </c>
      <c r="Q200" s="11">
        <v>24.0</v>
      </c>
      <c r="R200" s="43">
        <v>0.0</v>
      </c>
      <c r="S200" s="13">
        <v>0.06736111111111111</v>
      </c>
      <c r="T200" s="42">
        <v>0.07291666666666667</v>
      </c>
      <c r="U200" s="42">
        <v>0.07291666666666667</v>
      </c>
      <c r="V200" s="43">
        <v>0.0</v>
      </c>
      <c r="W200" s="21">
        <v>0.0</v>
      </c>
      <c r="X200" s="15">
        <v>-0.011805555555555555</v>
      </c>
      <c r="Y200" s="16" t="s">
        <v>3334</v>
      </c>
    </row>
    <row r="201">
      <c r="A201" s="6">
        <v>193.0</v>
      </c>
      <c r="B201" s="7" t="s">
        <v>3335</v>
      </c>
      <c r="C201" s="8" t="s">
        <v>3336</v>
      </c>
      <c r="D201" s="9" t="s">
        <v>52</v>
      </c>
      <c r="E201" s="7" t="s">
        <v>3337</v>
      </c>
      <c r="F201" s="9">
        <v>21.0</v>
      </c>
      <c r="G201" s="9">
        <v>2002.0</v>
      </c>
      <c r="H201" s="10">
        <v>26.0</v>
      </c>
      <c r="I201" s="11">
        <v>1.566</v>
      </c>
      <c r="J201" s="11">
        <v>60.0</v>
      </c>
      <c r="K201" s="11" t="s">
        <v>1033</v>
      </c>
      <c r="L201" s="11" t="s">
        <v>1034</v>
      </c>
      <c r="M201" s="41">
        <v>0.04791666666666667</v>
      </c>
      <c r="N201" s="11">
        <v>73.0</v>
      </c>
      <c r="O201" s="42">
        <v>0.01597222222222222</v>
      </c>
      <c r="P201" s="41">
        <v>0.027777777777777776</v>
      </c>
      <c r="Q201" s="11">
        <v>26.0</v>
      </c>
      <c r="R201" s="42">
        <v>0.004166666666666667</v>
      </c>
      <c r="S201" s="13">
        <v>0.07361111111111111</v>
      </c>
      <c r="T201" s="42">
        <v>0.05625</v>
      </c>
      <c r="U201" s="42">
        <v>0.059722222222222225</v>
      </c>
      <c r="V201" s="45">
        <v>-0.004166666666666667</v>
      </c>
      <c r="W201" s="15">
        <v>-0.004166666666666667</v>
      </c>
      <c r="X201" s="15">
        <v>-0.020833333333333332</v>
      </c>
      <c r="Y201" s="16" t="s">
        <v>3338</v>
      </c>
    </row>
    <row r="202">
      <c r="A202" s="6">
        <v>194.0</v>
      </c>
      <c r="B202" s="7" t="s">
        <v>3339</v>
      </c>
      <c r="C202" s="8" t="s">
        <v>3340</v>
      </c>
      <c r="D202" s="9" t="s">
        <v>66</v>
      </c>
      <c r="E202" s="7" t="s">
        <v>3341</v>
      </c>
      <c r="F202" s="9">
        <v>25.0</v>
      </c>
      <c r="G202" s="9">
        <v>1998.0</v>
      </c>
      <c r="H202" s="10">
        <v>21.0</v>
      </c>
      <c r="I202" s="11">
        <v>1.725</v>
      </c>
      <c r="J202" s="11">
        <v>82.0</v>
      </c>
      <c r="K202" s="11" t="s">
        <v>1039</v>
      </c>
      <c r="L202" s="11" t="s">
        <v>1040</v>
      </c>
      <c r="M202" s="41">
        <v>0.06527777777777778</v>
      </c>
      <c r="N202" s="11">
        <v>87.0</v>
      </c>
      <c r="O202" s="42">
        <v>0.050694444444444445</v>
      </c>
      <c r="P202" s="41">
        <v>0.011111111111111112</v>
      </c>
      <c r="Q202" s="11">
        <v>53.0</v>
      </c>
      <c r="R202" s="42">
        <v>0.006944444444444444</v>
      </c>
      <c r="S202" s="13">
        <v>0.075</v>
      </c>
      <c r="T202" s="42">
        <v>0.08402777777777778</v>
      </c>
      <c r="U202" s="42">
        <v>0.07013888888888889</v>
      </c>
      <c r="V202" s="44">
        <v>0.014583333333333334</v>
      </c>
      <c r="W202" s="14" t="str">
        <f>+0.21</f>
        <v>#ERROR!</v>
      </c>
      <c r="X202" s="15">
        <v>-0.011111111111111112</v>
      </c>
      <c r="Y202" s="16" t="s">
        <v>3342</v>
      </c>
    </row>
    <row r="203">
      <c r="A203" s="6">
        <v>195.0</v>
      </c>
      <c r="B203" s="7" t="s">
        <v>3343</v>
      </c>
      <c r="C203" s="8" t="s">
        <v>3344</v>
      </c>
      <c r="D203" s="9" t="s">
        <v>52</v>
      </c>
      <c r="E203" s="7" t="s">
        <v>3345</v>
      </c>
      <c r="F203" s="9">
        <v>18.0</v>
      </c>
      <c r="G203" s="9">
        <v>2005.0</v>
      </c>
      <c r="H203" s="18">
        <v>0.0</v>
      </c>
      <c r="I203" s="19"/>
      <c r="J203" s="19"/>
      <c r="K203" s="19"/>
      <c r="L203" s="19"/>
      <c r="M203" s="18">
        <v>0.0</v>
      </c>
      <c r="N203" s="19"/>
      <c r="O203" s="12">
        <v>0.0</v>
      </c>
      <c r="P203" s="18">
        <v>0.0</v>
      </c>
      <c r="Q203" s="19"/>
      <c r="R203" s="11">
        <v>1.0</v>
      </c>
      <c r="S203" s="24"/>
      <c r="T203" s="19"/>
      <c r="U203" s="19"/>
      <c r="V203" s="19"/>
      <c r="W203" s="19"/>
      <c r="X203" s="19"/>
      <c r="Y203" s="16" t="s">
        <v>3346</v>
      </c>
    </row>
    <row r="204">
      <c r="A204" s="6">
        <v>196.0</v>
      </c>
      <c r="B204" s="7" t="s">
        <v>3347</v>
      </c>
      <c r="C204" s="8" t="s">
        <v>3348</v>
      </c>
      <c r="D204" s="9" t="s">
        <v>52</v>
      </c>
      <c r="E204" s="7" t="s">
        <v>3349</v>
      </c>
      <c r="F204" s="9">
        <v>26.0</v>
      </c>
      <c r="G204" s="9">
        <v>1997.0</v>
      </c>
      <c r="H204" s="10">
        <v>10.0</v>
      </c>
      <c r="I204" s="11">
        <v>629.0</v>
      </c>
      <c r="J204" s="11">
        <v>63.0</v>
      </c>
      <c r="K204" s="11" t="s">
        <v>280</v>
      </c>
      <c r="L204" s="11" t="s">
        <v>1049</v>
      </c>
      <c r="M204" s="41">
        <v>0.041666666666666664</v>
      </c>
      <c r="N204" s="11">
        <v>81.0</v>
      </c>
      <c r="O204" s="42">
        <v>0.02013888888888889</v>
      </c>
      <c r="P204" s="41">
        <v>0.029861111111111113</v>
      </c>
      <c r="Q204" s="11">
        <v>21.0</v>
      </c>
      <c r="R204" s="42">
        <v>0.02013888888888889</v>
      </c>
      <c r="S204" s="13">
        <v>0.05555555555555555</v>
      </c>
      <c r="T204" s="42">
        <v>0.06180555555555556</v>
      </c>
      <c r="U204" s="42">
        <v>0.08125</v>
      </c>
      <c r="V204" s="45">
        <v>-0.02013888888888889</v>
      </c>
      <c r="W204" s="15">
        <v>-0.02013888888888889</v>
      </c>
      <c r="X204" s="15">
        <v>-0.034722222222222224</v>
      </c>
      <c r="Y204" s="16" t="s">
        <v>3350</v>
      </c>
    </row>
    <row r="205">
      <c r="A205" s="6">
        <v>197.0</v>
      </c>
      <c r="B205" s="7" t="s">
        <v>3351</v>
      </c>
      <c r="C205" s="8" t="s">
        <v>3352</v>
      </c>
      <c r="D205" s="9" t="s">
        <v>52</v>
      </c>
      <c r="E205" s="7" t="s">
        <v>3353</v>
      </c>
      <c r="F205" s="9">
        <v>26.0</v>
      </c>
      <c r="G205" s="9">
        <v>1997.0</v>
      </c>
      <c r="H205" s="10">
        <v>16.0</v>
      </c>
      <c r="I205" s="11">
        <v>936.0</v>
      </c>
      <c r="J205" s="11">
        <v>59.0</v>
      </c>
      <c r="K205" s="11" t="s">
        <v>1006</v>
      </c>
      <c r="L205" s="11" t="s">
        <v>461</v>
      </c>
      <c r="M205" s="41">
        <v>0.052083333333333336</v>
      </c>
      <c r="N205" s="11">
        <v>71.0</v>
      </c>
      <c r="O205" s="42">
        <v>0.02013888888888889</v>
      </c>
      <c r="P205" s="41">
        <v>0.02638888888888889</v>
      </c>
      <c r="Q205" s="11">
        <v>22.0</v>
      </c>
      <c r="R205" s="42">
        <v>0.006944444444444444</v>
      </c>
      <c r="S205" s="13">
        <v>0.08333333333333333</v>
      </c>
      <c r="T205" s="42">
        <v>0.07916666666666666</v>
      </c>
      <c r="U205" s="42">
        <v>0.04027777777777778</v>
      </c>
      <c r="V205" s="44">
        <v>0.06666666666666667</v>
      </c>
      <c r="W205" s="14" t="str">
        <f>+0.96</f>
        <v>#ERROR!</v>
      </c>
      <c r="X205" s="14" t="str">
        <f>+0.96</f>
        <v>#ERROR!</v>
      </c>
      <c r="Y205" s="16" t="s">
        <v>3354</v>
      </c>
    </row>
    <row r="206">
      <c r="A206" s="6">
        <v>198.0</v>
      </c>
      <c r="B206" s="7" t="s">
        <v>3355</v>
      </c>
      <c r="C206" s="8" t="s">
        <v>3356</v>
      </c>
      <c r="D206" s="9" t="s">
        <v>66</v>
      </c>
      <c r="E206" s="7" t="s">
        <v>3357</v>
      </c>
      <c r="F206" s="9">
        <v>31.0</v>
      </c>
      <c r="G206" s="9">
        <v>1992.0</v>
      </c>
      <c r="H206" s="10">
        <v>24.0</v>
      </c>
      <c r="I206" s="11">
        <v>1.958</v>
      </c>
      <c r="J206" s="11">
        <v>82.0</v>
      </c>
      <c r="K206" s="11" t="s">
        <v>1058</v>
      </c>
      <c r="L206" s="11" t="s">
        <v>494</v>
      </c>
      <c r="M206" s="41">
        <v>0.04861111111111111</v>
      </c>
      <c r="N206" s="11">
        <v>82.0</v>
      </c>
      <c r="O206" s="42">
        <v>0.06388888888888888</v>
      </c>
      <c r="P206" s="46">
        <v>0.0</v>
      </c>
      <c r="Q206" s="19"/>
      <c r="R206" s="43">
        <v>0.0</v>
      </c>
      <c r="S206" s="13">
        <v>0.07916666666666666</v>
      </c>
      <c r="T206" s="42">
        <v>0.08680555555555555</v>
      </c>
      <c r="U206" s="42">
        <v>0.06805555555555555</v>
      </c>
      <c r="V206" s="44">
        <v>0.019444444444444445</v>
      </c>
      <c r="W206" s="14" t="str">
        <f>+0.28</f>
        <v>#ERROR!</v>
      </c>
      <c r="X206" s="14" t="str">
        <f>+0.03</f>
        <v>#ERROR!</v>
      </c>
      <c r="Y206" s="16" t="s">
        <v>3358</v>
      </c>
    </row>
    <row r="207">
      <c r="A207" s="6">
        <v>199.0</v>
      </c>
      <c r="B207" s="7" t="s">
        <v>3359</v>
      </c>
      <c r="C207" s="8" t="s">
        <v>3360</v>
      </c>
      <c r="D207" s="9" t="s">
        <v>45</v>
      </c>
      <c r="E207" s="7" t="s">
        <v>3361</v>
      </c>
      <c r="F207" s="9">
        <v>27.0</v>
      </c>
      <c r="G207" s="9">
        <v>1996.0</v>
      </c>
      <c r="H207" s="10">
        <v>8.0</v>
      </c>
      <c r="I207" s="11">
        <v>454.0</v>
      </c>
      <c r="J207" s="11">
        <v>57.0</v>
      </c>
      <c r="K207" s="11" t="s">
        <v>433</v>
      </c>
      <c r="L207" s="11" t="s">
        <v>1063</v>
      </c>
      <c r="M207" s="41">
        <v>0.05555555555555555</v>
      </c>
      <c r="N207" s="11">
        <v>68.0</v>
      </c>
      <c r="O207" s="42">
        <v>0.013888888888888888</v>
      </c>
      <c r="P207" s="41">
        <v>0.027777777777777776</v>
      </c>
      <c r="Q207" s="11">
        <v>24.0</v>
      </c>
      <c r="R207" s="42">
        <v>0.027777777777777776</v>
      </c>
      <c r="S207" s="13">
        <v>0.0763888888888889</v>
      </c>
      <c r="T207" s="42">
        <v>0.06944444444444445</v>
      </c>
      <c r="U207" s="42">
        <v>0.05555555555555555</v>
      </c>
      <c r="V207" s="44">
        <v>0.013888888888888888</v>
      </c>
      <c r="W207" s="14" t="str">
        <f>+0.20</f>
        <v>#ERROR!</v>
      </c>
      <c r="X207" s="15">
        <v>-0.005555555555555556</v>
      </c>
      <c r="Y207" s="16" t="s">
        <v>3362</v>
      </c>
    </row>
    <row r="208">
      <c r="A208" s="6">
        <v>200.0</v>
      </c>
      <c r="B208" s="7" t="s">
        <v>3363</v>
      </c>
      <c r="C208" s="8" t="s">
        <v>3364</v>
      </c>
      <c r="D208" s="9" t="s">
        <v>25</v>
      </c>
      <c r="E208" s="7" t="s">
        <v>3365</v>
      </c>
      <c r="F208" s="9">
        <v>23.0</v>
      </c>
      <c r="G208" s="9">
        <v>2000.0</v>
      </c>
      <c r="H208" s="10">
        <v>14.0</v>
      </c>
      <c r="I208" s="11">
        <v>653.0</v>
      </c>
      <c r="J208" s="11">
        <v>47.0</v>
      </c>
      <c r="K208" s="11" t="s">
        <v>1028</v>
      </c>
      <c r="L208" s="11" t="s">
        <v>679</v>
      </c>
      <c r="M208" s="41">
        <v>0.05694444444444444</v>
      </c>
      <c r="N208" s="11">
        <v>88.0</v>
      </c>
      <c r="O208" s="42">
        <v>0.03819444444444445</v>
      </c>
      <c r="P208" s="41">
        <v>0.04861111111111111</v>
      </c>
      <c r="Q208" s="11">
        <v>16.0</v>
      </c>
      <c r="R208" s="42">
        <v>0.01875</v>
      </c>
      <c r="S208" s="13">
        <v>0.05138888888888889</v>
      </c>
      <c r="T208" s="42">
        <v>0.05763888888888889</v>
      </c>
      <c r="U208" s="42">
        <v>0.14444444444444443</v>
      </c>
      <c r="V208" s="45">
        <v>-0.08611111111111111</v>
      </c>
      <c r="W208" s="15">
        <v>-0.08680555555555555</v>
      </c>
      <c r="X208" s="15">
        <v>-0.059722222222222225</v>
      </c>
      <c r="Y208" s="16" t="s">
        <v>3366</v>
      </c>
    </row>
    <row r="209">
      <c r="A209" s="25" t="s">
        <v>0</v>
      </c>
      <c r="B209" s="26" t="s">
        <v>1</v>
      </c>
      <c r="C209" s="27" t="s">
        <v>2</v>
      </c>
      <c r="D209" s="27" t="s">
        <v>3</v>
      </c>
      <c r="E209" s="27" t="s">
        <v>4</v>
      </c>
      <c r="F209" s="27" t="s">
        <v>5</v>
      </c>
      <c r="G209" s="27" t="s">
        <v>6</v>
      </c>
      <c r="H209" s="28" t="s">
        <v>7</v>
      </c>
      <c r="I209" s="27" t="s">
        <v>8</v>
      </c>
      <c r="J209" s="27" t="s">
        <v>9</v>
      </c>
      <c r="K209" s="27" t="s">
        <v>10</v>
      </c>
      <c r="L209" s="27" t="s">
        <v>11</v>
      </c>
      <c r="M209" s="28" t="s">
        <v>12</v>
      </c>
      <c r="N209" s="27" t="s">
        <v>13</v>
      </c>
      <c r="O209" s="27" t="s">
        <v>14</v>
      </c>
      <c r="P209" s="28" t="s">
        <v>15</v>
      </c>
      <c r="Q209" s="27" t="s">
        <v>16</v>
      </c>
      <c r="R209" s="27" t="s">
        <v>17</v>
      </c>
      <c r="S209" s="28" t="s">
        <v>18</v>
      </c>
      <c r="T209" s="27" t="s">
        <v>19</v>
      </c>
      <c r="U209" s="27" t="s">
        <v>20</v>
      </c>
      <c r="V209" s="29" t="str">
        <f>+/-</f>
        <v>#ERROR!</v>
      </c>
      <c r="W209" s="29" t="str">
        <f>+/-90</f>
        <v>#ERROR!</v>
      </c>
      <c r="X209" s="27" t="s">
        <v>21</v>
      </c>
      <c r="Y209" s="28" t="s">
        <v>22</v>
      </c>
    </row>
    <row r="210">
      <c r="A210" s="6">
        <v>201.0</v>
      </c>
      <c r="B210" s="7" t="s">
        <v>3367</v>
      </c>
      <c r="C210" s="8" t="s">
        <v>3368</v>
      </c>
      <c r="D210" s="9" t="s">
        <v>66</v>
      </c>
      <c r="E210" s="7" t="s">
        <v>3369</v>
      </c>
      <c r="F210" s="9">
        <v>34.0</v>
      </c>
      <c r="G210" s="9">
        <v>1989.0</v>
      </c>
      <c r="H210" s="10">
        <v>26.0</v>
      </c>
      <c r="I210" s="11">
        <v>1.87</v>
      </c>
      <c r="J210" s="11">
        <v>72.0</v>
      </c>
      <c r="K210" s="11" t="s">
        <v>1072</v>
      </c>
      <c r="L210" s="11" t="s">
        <v>1073</v>
      </c>
      <c r="M210" s="41">
        <v>0.04236111111111111</v>
      </c>
      <c r="N210" s="11">
        <v>85.0</v>
      </c>
      <c r="O210" s="42">
        <v>0.06319444444444444</v>
      </c>
      <c r="P210" s="41">
        <v>0.016666666666666666</v>
      </c>
      <c r="Q210" s="11">
        <v>17.0</v>
      </c>
      <c r="R210" s="42">
        <v>0.003472222222222222</v>
      </c>
      <c r="S210" s="13">
        <v>0.0763888888888889</v>
      </c>
      <c r="T210" s="42">
        <v>0.08819444444444445</v>
      </c>
      <c r="U210" s="42">
        <v>0.09583333333333334</v>
      </c>
      <c r="V210" s="44">
        <v>0.02013888888888889</v>
      </c>
      <c r="W210" s="14" t="str">
        <f>+0.29</f>
        <v>#ERROR!</v>
      </c>
      <c r="X210" s="14" t="str">
        <f>+0.61</f>
        <v>#ERROR!</v>
      </c>
      <c r="Y210" s="16" t="s">
        <v>3370</v>
      </c>
    </row>
    <row r="211">
      <c r="A211" s="6">
        <v>202.0</v>
      </c>
      <c r="B211" s="7" t="s">
        <v>3371</v>
      </c>
      <c r="C211" s="8" t="s">
        <v>3372</v>
      </c>
      <c r="D211" s="9" t="s">
        <v>32</v>
      </c>
      <c r="E211" s="7" t="s">
        <v>3373</v>
      </c>
      <c r="F211" s="9">
        <v>20.0</v>
      </c>
      <c r="G211" s="9">
        <v>2003.0</v>
      </c>
      <c r="H211" s="10">
        <v>25.0</v>
      </c>
      <c r="I211" s="11">
        <v>878.0</v>
      </c>
      <c r="J211" s="11">
        <v>35.0</v>
      </c>
      <c r="K211" s="11" t="s">
        <v>454</v>
      </c>
      <c r="L211" s="11" t="s">
        <v>1078</v>
      </c>
      <c r="M211" s="41">
        <v>0.05694444444444444</v>
      </c>
      <c r="N211" s="11">
        <v>75.0</v>
      </c>
      <c r="O211" s="42">
        <v>0.021527777777777778</v>
      </c>
      <c r="P211" s="41">
        <v>0.09236111111111112</v>
      </c>
      <c r="Q211" s="11">
        <v>16.0</v>
      </c>
      <c r="R211" s="42">
        <v>0.02847222222222222</v>
      </c>
      <c r="S211" s="13">
        <v>0.06111111111111111</v>
      </c>
      <c r="T211" s="42">
        <v>0.08541666666666667</v>
      </c>
      <c r="U211" s="42">
        <v>0.10694444444444444</v>
      </c>
      <c r="V211" s="45">
        <v>-0.021527777777777778</v>
      </c>
      <c r="W211" s="15">
        <v>-0.021527777777777778</v>
      </c>
      <c r="X211" s="15">
        <v>-0.041666666666666664</v>
      </c>
      <c r="Y211" s="16" t="s">
        <v>3374</v>
      </c>
    </row>
    <row r="212">
      <c r="A212" s="6">
        <v>203.0</v>
      </c>
      <c r="B212" s="7" t="s">
        <v>3375</v>
      </c>
      <c r="C212" s="8" t="s">
        <v>3376</v>
      </c>
      <c r="D212" s="9" t="s">
        <v>25</v>
      </c>
      <c r="E212" s="7" t="s">
        <v>3377</v>
      </c>
      <c r="F212" s="9">
        <v>33.0</v>
      </c>
      <c r="G212" s="9">
        <v>1990.0</v>
      </c>
      <c r="H212" s="10">
        <v>25.0</v>
      </c>
      <c r="I212" s="11">
        <v>1.972</v>
      </c>
      <c r="J212" s="11">
        <v>79.0</v>
      </c>
      <c r="K212" s="11" t="s">
        <v>1083</v>
      </c>
      <c r="L212" s="11" t="s">
        <v>1084</v>
      </c>
      <c r="M212" s="41">
        <v>0.041666666666666664</v>
      </c>
      <c r="N212" s="11">
        <v>87.0</v>
      </c>
      <c r="O212" s="42">
        <v>0.06041666666666667</v>
      </c>
      <c r="P212" s="41">
        <v>0.009722222222222222</v>
      </c>
      <c r="Q212" s="11">
        <v>17.0</v>
      </c>
      <c r="R212" s="42">
        <v>0.003472222222222222</v>
      </c>
      <c r="S212" s="13">
        <v>0.07777777777777778</v>
      </c>
      <c r="T212" s="42">
        <v>0.09583333333333334</v>
      </c>
      <c r="U212" s="42">
        <v>0.08333333333333333</v>
      </c>
      <c r="V212" s="44">
        <v>0.0125</v>
      </c>
      <c r="W212" s="14" t="str">
        <f>+0.18</f>
        <v>#ERROR!</v>
      </c>
      <c r="X212" s="15">
        <v>-0.021527777777777778</v>
      </c>
      <c r="Y212" s="16" t="s">
        <v>3378</v>
      </c>
    </row>
    <row r="213">
      <c r="A213" s="6">
        <v>204.0</v>
      </c>
      <c r="B213" s="7" t="s">
        <v>3379</v>
      </c>
      <c r="C213" s="8" t="s">
        <v>3380</v>
      </c>
      <c r="D213" s="9" t="s">
        <v>32</v>
      </c>
      <c r="E213" s="7" t="s">
        <v>3381</v>
      </c>
      <c r="F213" s="9">
        <v>27.0</v>
      </c>
      <c r="G213" s="9">
        <v>1996.0</v>
      </c>
      <c r="H213" s="10">
        <v>30.0</v>
      </c>
      <c r="I213" s="11">
        <v>2.252</v>
      </c>
      <c r="J213" s="11">
        <v>75.0</v>
      </c>
      <c r="K213" s="11" t="s">
        <v>1089</v>
      </c>
      <c r="L213" s="11" t="s">
        <v>1090</v>
      </c>
      <c r="M213" s="41">
        <v>0.041666666666666664</v>
      </c>
      <c r="N213" s="11">
        <v>84.0</v>
      </c>
      <c r="O213" s="42">
        <v>0.041666666666666664</v>
      </c>
      <c r="P213" s="41">
        <v>0.013888888888888888</v>
      </c>
      <c r="Q213" s="11">
        <v>33.0</v>
      </c>
      <c r="R213" s="43">
        <v>0.0</v>
      </c>
      <c r="S213" s="13">
        <v>0.09513888888888888</v>
      </c>
      <c r="T213" s="42">
        <v>0.06944444444444445</v>
      </c>
      <c r="U213" s="42">
        <v>0.044444444444444446</v>
      </c>
      <c r="V213" s="44">
        <v>0.025</v>
      </c>
      <c r="W213" s="14" t="str">
        <f>+0.36</f>
        <v>#ERROR!</v>
      </c>
      <c r="X213" s="14" t="str">
        <f>+0.16</f>
        <v>#ERROR!</v>
      </c>
      <c r="Y213" s="16" t="s">
        <v>3382</v>
      </c>
    </row>
    <row r="214">
      <c r="A214" s="6">
        <v>205.0</v>
      </c>
      <c r="B214" s="7" t="s">
        <v>3383</v>
      </c>
      <c r="C214" s="8" t="s">
        <v>3384</v>
      </c>
      <c r="D214" s="9" t="s">
        <v>284</v>
      </c>
      <c r="E214" s="7" t="s">
        <v>3385</v>
      </c>
      <c r="F214" s="9">
        <v>20.0</v>
      </c>
      <c r="G214" s="9">
        <v>2003.0</v>
      </c>
      <c r="H214" s="10">
        <v>27.0</v>
      </c>
      <c r="I214" s="11">
        <v>1.893</v>
      </c>
      <c r="J214" s="11">
        <v>70.0</v>
      </c>
      <c r="K214" s="11" t="s">
        <v>1095</v>
      </c>
      <c r="L214" s="11" t="s">
        <v>1096</v>
      </c>
      <c r="M214" s="41">
        <v>0.06597222222222222</v>
      </c>
      <c r="N214" s="11">
        <v>86.0</v>
      </c>
      <c r="O214" s="42">
        <v>0.043055555555555555</v>
      </c>
      <c r="P214" s="41">
        <v>0.022916666666666665</v>
      </c>
      <c r="Q214" s="11">
        <v>26.0</v>
      </c>
      <c r="R214" s="42">
        <v>0.003472222222222222</v>
      </c>
      <c r="S214" s="13">
        <v>0.08263888888888889</v>
      </c>
      <c r="T214" s="42">
        <v>0.05138888888888889</v>
      </c>
      <c r="U214" s="42">
        <v>0.05486111111111111</v>
      </c>
      <c r="V214" s="45">
        <v>-0.003472222222222222</v>
      </c>
      <c r="W214" s="15">
        <v>-0.003472222222222222</v>
      </c>
      <c r="X214" s="15">
        <v>-0.02638888888888889</v>
      </c>
      <c r="Y214" s="16" t="s">
        <v>3386</v>
      </c>
    </row>
    <row r="215">
      <c r="A215" s="6">
        <v>206.0</v>
      </c>
      <c r="B215" s="7" t="s">
        <v>3387</v>
      </c>
      <c r="C215" s="8" t="s">
        <v>3388</v>
      </c>
      <c r="D215" s="9" t="s">
        <v>45</v>
      </c>
      <c r="E215" s="7" t="s">
        <v>3389</v>
      </c>
      <c r="F215" s="9">
        <v>27.0</v>
      </c>
      <c r="G215" s="9">
        <v>1996.0</v>
      </c>
      <c r="H215" s="10">
        <v>26.0</v>
      </c>
      <c r="I215" s="11">
        <v>1.35</v>
      </c>
      <c r="J215" s="11">
        <v>52.0</v>
      </c>
      <c r="K215" s="11" t="s">
        <v>174</v>
      </c>
      <c r="L215" s="11" t="s">
        <v>175</v>
      </c>
      <c r="M215" s="41">
        <v>0.04652777777777778</v>
      </c>
      <c r="N215" s="11">
        <v>71.0</v>
      </c>
      <c r="O215" s="42">
        <v>0.009027777777777777</v>
      </c>
      <c r="P215" s="41">
        <v>0.04652777777777778</v>
      </c>
      <c r="Q215" s="11">
        <v>22.0</v>
      </c>
      <c r="R215" s="42">
        <v>0.01875</v>
      </c>
      <c r="S215" s="13">
        <v>0.06388888888888888</v>
      </c>
      <c r="T215" s="42">
        <v>0.06041666666666667</v>
      </c>
      <c r="U215" s="42">
        <v>0.08333333333333333</v>
      </c>
      <c r="V215" s="45">
        <v>-0.050694444444444445</v>
      </c>
      <c r="W215" s="15">
        <v>-0.050694444444444445</v>
      </c>
      <c r="X215" s="15">
        <v>-0.01875</v>
      </c>
      <c r="Y215" s="16" t="s">
        <v>3390</v>
      </c>
    </row>
    <row r="216">
      <c r="A216" s="6">
        <v>207.0</v>
      </c>
      <c r="B216" s="7" t="s">
        <v>3391</v>
      </c>
      <c r="C216" s="8" t="s">
        <v>3392</v>
      </c>
      <c r="D216" s="9" t="s">
        <v>52</v>
      </c>
      <c r="E216" s="7" t="s">
        <v>3393</v>
      </c>
      <c r="F216" s="9">
        <v>30.0</v>
      </c>
      <c r="G216" s="9">
        <v>1993.0</v>
      </c>
      <c r="H216" s="10">
        <v>26.0</v>
      </c>
      <c r="I216" s="11">
        <v>2.211</v>
      </c>
      <c r="J216" s="11">
        <v>85.0</v>
      </c>
      <c r="K216" s="11" t="s">
        <v>1105</v>
      </c>
      <c r="L216" s="11" t="s">
        <v>1106</v>
      </c>
      <c r="M216" s="41">
        <v>0.04583333333333333</v>
      </c>
      <c r="N216" s="11">
        <v>85.0</v>
      </c>
      <c r="O216" s="42">
        <v>0.05347222222222222</v>
      </c>
      <c r="P216" s="46">
        <v>0.0</v>
      </c>
      <c r="Q216" s="19"/>
      <c r="R216" s="43">
        <v>0.0</v>
      </c>
      <c r="S216" s="13">
        <v>0.05763888888888889</v>
      </c>
      <c r="T216" s="42">
        <v>0.05138888888888889</v>
      </c>
      <c r="U216" s="42">
        <v>0.09097222222222222</v>
      </c>
      <c r="V216" s="45">
        <v>-0.03958333333333333</v>
      </c>
      <c r="W216" s="15">
        <v>-0.03958333333333333</v>
      </c>
      <c r="X216" s="14" t="str">
        <f>+0.72</f>
        <v>#ERROR!</v>
      </c>
      <c r="Y216" s="16" t="s">
        <v>3394</v>
      </c>
    </row>
    <row r="217">
      <c r="A217" s="6">
        <v>208.0</v>
      </c>
      <c r="B217" s="7" t="s">
        <v>3395</v>
      </c>
      <c r="C217" s="8" t="s">
        <v>3396</v>
      </c>
      <c r="D217" s="9" t="s">
        <v>45</v>
      </c>
      <c r="E217" s="7" t="s">
        <v>3397</v>
      </c>
      <c r="F217" s="9">
        <v>21.0</v>
      </c>
      <c r="G217" s="9">
        <v>2002.0</v>
      </c>
      <c r="H217" s="10">
        <v>22.0</v>
      </c>
      <c r="I217" s="11">
        <v>1.651</v>
      </c>
      <c r="J217" s="11">
        <v>75.0</v>
      </c>
      <c r="K217" s="11" t="s">
        <v>1111</v>
      </c>
      <c r="L217" s="11" t="s">
        <v>570</v>
      </c>
      <c r="M217" s="41">
        <v>0.06805555555555555</v>
      </c>
      <c r="N217" s="11">
        <v>84.0</v>
      </c>
      <c r="O217" s="42">
        <v>0.03819444444444445</v>
      </c>
      <c r="P217" s="41">
        <v>0.015277777777777777</v>
      </c>
      <c r="Q217" s="11">
        <v>34.0</v>
      </c>
      <c r="R217" s="43">
        <v>0.0</v>
      </c>
      <c r="S217" s="13">
        <v>0.07291666666666667</v>
      </c>
      <c r="T217" s="42">
        <v>0.09236111111111112</v>
      </c>
      <c r="U217" s="42">
        <v>0.09375</v>
      </c>
      <c r="V217" s="44">
        <v>0.02638888888888889</v>
      </c>
      <c r="W217" s="14" t="str">
        <f>+0.38</f>
        <v>#ERROR!</v>
      </c>
      <c r="X217" s="14" t="str">
        <f>+0.72</f>
        <v>#ERROR!</v>
      </c>
      <c r="Y217" s="16" t="s">
        <v>3398</v>
      </c>
    </row>
    <row r="218">
      <c r="A218" s="6">
        <v>209.0</v>
      </c>
      <c r="B218" s="7" t="s">
        <v>3399</v>
      </c>
      <c r="C218" s="8" t="s">
        <v>3400</v>
      </c>
      <c r="D218" s="9" t="s">
        <v>66</v>
      </c>
      <c r="E218" s="7" t="s">
        <v>3401</v>
      </c>
      <c r="F218" s="9">
        <v>27.0</v>
      </c>
      <c r="G218" s="9">
        <v>1996.0</v>
      </c>
      <c r="H218" s="10">
        <v>4.0</v>
      </c>
      <c r="I218" s="11">
        <v>97.0</v>
      </c>
      <c r="J218" s="11">
        <v>24.0</v>
      </c>
      <c r="K218" s="11" t="s">
        <v>367</v>
      </c>
      <c r="L218" s="11" t="s">
        <v>443</v>
      </c>
      <c r="M218" s="46">
        <v>0.0</v>
      </c>
      <c r="N218" s="19"/>
      <c r="O218" s="43">
        <v>0.0</v>
      </c>
      <c r="P218" s="41">
        <v>0.16944444444444445</v>
      </c>
      <c r="Q218" s="11">
        <v>24.0</v>
      </c>
      <c r="R218" s="42">
        <v>0.3104166666666667</v>
      </c>
      <c r="S218" s="13">
        <v>0.052083333333333336</v>
      </c>
      <c r="T218" s="42">
        <v>0.06319444444444444</v>
      </c>
      <c r="U218" s="42">
        <v>0.06319444444444444</v>
      </c>
      <c r="V218" s="43">
        <v>0.0</v>
      </c>
      <c r="W218" s="21">
        <v>0.0</v>
      </c>
      <c r="X218" s="14" t="str">
        <f>+0.69</f>
        <v>#ERROR!</v>
      </c>
      <c r="Y218" s="16" t="s">
        <v>3402</v>
      </c>
    </row>
    <row r="219">
      <c r="A219" s="6">
        <v>210.0</v>
      </c>
      <c r="B219" s="7" t="s">
        <v>3403</v>
      </c>
      <c r="C219" s="8" t="s">
        <v>3404</v>
      </c>
      <c r="D219" s="9" t="s">
        <v>66</v>
      </c>
      <c r="E219" s="7" t="s">
        <v>3405</v>
      </c>
      <c r="F219" s="9">
        <v>21.0</v>
      </c>
      <c r="G219" s="9">
        <v>2002.0</v>
      </c>
      <c r="H219" s="10">
        <v>3.0</v>
      </c>
      <c r="I219" s="11">
        <v>60.0</v>
      </c>
      <c r="J219" s="11">
        <v>20.0</v>
      </c>
      <c r="K219" s="11" t="s">
        <v>680</v>
      </c>
      <c r="L219" s="11" t="s">
        <v>180</v>
      </c>
      <c r="M219" s="46">
        <v>0.0</v>
      </c>
      <c r="N219" s="19"/>
      <c r="O219" s="43">
        <v>0.0</v>
      </c>
      <c r="P219" s="41">
        <v>0.18680555555555556</v>
      </c>
      <c r="Q219" s="11">
        <v>20.0</v>
      </c>
      <c r="R219" s="42">
        <v>0.07152777777777777</v>
      </c>
      <c r="S219" s="13">
        <v>0.08333333333333333</v>
      </c>
      <c r="T219" s="43">
        <v>0.0</v>
      </c>
      <c r="U219" s="42">
        <v>0.07152777777777777</v>
      </c>
      <c r="V219" s="45">
        <v>-0.07152777777777777</v>
      </c>
      <c r="W219" s="15">
        <v>-0.0763888888888889</v>
      </c>
      <c r="X219" s="15">
        <v>-0.1</v>
      </c>
      <c r="Y219" s="16" t="s">
        <v>3406</v>
      </c>
    </row>
    <row r="220">
      <c r="A220" s="6">
        <v>211.0</v>
      </c>
      <c r="B220" s="7" t="s">
        <v>3407</v>
      </c>
      <c r="C220" s="8" t="s">
        <v>3408</v>
      </c>
      <c r="D220" s="9" t="s">
        <v>59</v>
      </c>
      <c r="E220" s="7" t="s">
        <v>3409</v>
      </c>
      <c r="F220" s="9">
        <v>25.0</v>
      </c>
      <c r="G220" s="9">
        <v>1998.0</v>
      </c>
      <c r="H220" s="10">
        <v>19.0</v>
      </c>
      <c r="I220" s="11">
        <v>749.0</v>
      </c>
      <c r="J220" s="11">
        <v>39.0</v>
      </c>
      <c r="K220" s="11" t="s">
        <v>402</v>
      </c>
      <c r="L220" s="11" t="s">
        <v>287</v>
      </c>
      <c r="M220" s="41">
        <v>0.058333333333333334</v>
      </c>
      <c r="N220" s="11">
        <v>62.0</v>
      </c>
      <c r="O220" s="43">
        <v>0.0</v>
      </c>
      <c r="P220" s="41">
        <v>0.07291666666666667</v>
      </c>
      <c r="Q220" s="11">
        <v>26.0</v>
      </c>
      <c r="R220" s="43">
        <v>0.0</v>
      </c>
      <c r="S220" s="13">
        <v>0.059722222222222225</v>
      </c>
      <c r="T220" s="42">
        <v>0.10347222222222222</v>
      </c>
      <c r="U220" s="42">
        <v>0.08958333333333333</v>
      </c>
      <c r="V220" s="44">
        <v>0.041666666666666664</v>
      </c>
      <c r="W220" s="14" t="str">
        <f>+0.60</f>
        <v>#ERROR!</v>
      </c>
      <c r="X220" s="14" t="str">
        <f>+1.15</f>
        <v>#ERROR!</v>
      </c>
      <c r="Y220" s="16" t="s">
        <v>3410</v>
      </c>
    </row>
    <row r="221">
      <c r="A221" s="6">
        <v>212.0</v>
      </c>
      <c r="B221" s="7" t="s">
        <v>3411</v>
      </c>
      <c r="C221" s="8" t="s">
        <v>3412</v>
      </c>
      <c r="D221" s="9" t="s">
        <v>52</v>
      </c>
      <c r="E221" s="7" t="s">
        <v>3413</v>
      </c>
      <c r="F221" s="9">
        <v>18.0</v>
      </c>
      <c r="G221" s="9">
        <v>2005.0</v>
      </c>
      <c r="H221" s="10">
        <v>3.0</v>
      </c>
      <c r="I221" s="11">
        <v>16.0</v>
      </c>
      <c r="J221" s="11">
        <v>5.0</v>
      </c>
      <c r="K221" s="11" t="s">
        <v>47</v>
      </c>
      <c r="L221" s="11" t="s">
        <v>48</v>
      </c>
      <c r="M221" s="46">
        <v>0.0</v>
      </c>
      <c r="N221" s="19"/>
      <c r="O221" s="43">
        <v>0.0</v>
      </c>
      <c r="P221" s="47" t="s">
        <v>175</v>
      </c>
      <c r="Q221" s="11">
        <v>5.0</v>
      </c>
      <c r="R221" s="48" t="s">
        <v>1377</v>
      </c>
      <c r="S221" s="13">
        <v>0.041666666666666664</v>
      </c>
      <c r="T221" s="42">
        <v>0.20833333333333334</v>
      </c>
      <c r="U221" s="43">
        <v>0.0</v>
      </c>
      <c r="V221" s="44">
        <v>0.20833333333333334</v>
      </c>
      <c r="W221" s="14" t="str">
        <f>+5.63</f>
        <v>#ERROR!</v>
      </c>
      <c r="X221" s="14" t="str">
        <f>+6.33</f>
        <v>#ERROR!</v>
      </c>
      <c r="Y221" s="16" t="s">
        <v>3414</v>
      </c>
    </row>
    <row r="222">
      <c r="A222" s="6">
        <v>213.0</v>
      </c>
      <c r="B222" s="7" t="s">
        <v>3415</v>
      </c>
      <c r="C222" s="8" t="s">
        <v>3416</v>
      </c>
      <c r="D222" s="9" t="s">
        <v>52</v>
      </c>
      <c r="E222" s="7" t="s">
        <v>3417</v>
      </c>
      <c r="F222" s="9">
        <v>21.0</v>
      </c>
      <c r="G222" s="9">
        <v>2002.0</v>
      </c>
      <c r="H222" s="10">
        <v>2.0</v>
      </c>
      <c r="I222" s="11">
        <v>33.0</v>
      </c>
      <c r="J222" s="11">
        <v>17.0</v>
      </c>
      <c r="K222" s="11" t="s">
        <v>118</v>
      </c>
      <c r="L222" s="11" t="s">
        <v>318</v>
      </c>
      <c r="M222" s="46">
        <v>0.0</v>
      </c>
      <c r="N222" s="19"/>
      <c r="O222" s="43">
        <v>0.0</v>
      </c>
      <c r="P222" s="41">
        <v>0.20833333333333334</v>
      </c>
      <c r="Q222" s="11">
        <v>17.0</v>
      </c>
      <c r="R222" s="48" t="s">
        <v>268</v>
      </c>
      <c r="S222" s="13">
        <v>0.125</v>
      </c>
      <c r="T222" s="43">
        <v>0.0</v>
      </c>
      <c r="U222" s="43">
        <v>0.0</v>
      </c>
      <c r="V222" s="43">
        <v>0.0</v>
      </c>
      <c r="W222" s="21">
        <v>0.0</v>
      </c>
      <c r="X222" s="15">
        <v>-0.006944444444444444</v>
      </c>
      <c r="Y222" s="16" t="s">
        <v>3418</v>
      </c>
    </row>
    <row r="223">
      <c r="A223" s="6">
        <v>214.0</v>
      </c>
      <c r="B223" s="7" t="s">
        <v>3419</v>
      </c>
      <c r="C223" s="8" t="s">
        <v>3420</v>
      </c>
      <c r="D223" s="9" t="s">
        <v>66</v>
      </c>
      <c r="E223" s="7" t="s">
        <v>3421</v>
      </c>
      <c r="F223" s="9">
        <v>26.0</v>
      </c>
      <c r="G223" s="9">
        <v>1998.0</v>
      </c>
      <c r="H223" s="10">
        <v>4.0</v>
      </c>
      <c r="I223" s="11">
        <v>191.0</v>
      </c>
      <c r="J223" s="11">
        <v>48.0</v>
      </c>
      <c r="K223" s="11" t="s">
        <v>35</v>
      </c>
      <c r="L223" s="11" t="s">
        <v>801</v>
      </c>
      <c r="M223" s="41">
        <v>0.06597222222222222</v>
      </c>
      <c r="N223" s="11">
        <v>87.0</v>
      </c>
      <c r="O223" s="42">
        <v>0.03333333333333333</v>
      </c>
      <c r="P223" s="41">
        <v>0.06597222222222222</v>
      </c>
      <c r="Q223" s="11">
        <v>9.0</v>
      </c>
      <c r="R223" s="42">
        <v>0.14305555555555555</v>
      </c>
      <c r="S223" s="13">
        <v>0.125</v>
      </c>
      <c r="T223" s="42">
        <v>0.10972222222222222</v>
      </c>
      <c r="U223" s="42">
        <v>0.06597222222222222</v>
      </c>
      <c r="V223" s="44">
        <v>0.07152777777777777</v>
      </c>
      <c r="W223" s="14" t="str">
        <f>+1.41</f>
        <v>#ERROR!</v>
      </c>
      <c r="X223" s="14" t="str">
        <f>+1.34</f>
        <v>#ERROR!</v>
      </c>
      <c r="Y223" s="16" t="s">
        <v>3422</v>
      </c>
    </row>
    <row r="224">
      <c r="A224" s="6">
        <v>215.0</v>
      </c>
      <c r="B224" s="7" t="s">
        <v>3423</v>
      </c>
      <c r="C224" s="8" t="s">
        <v>3424</v>
      </c>
      <c r="D224" s="9" t="s">
        <v>32</v>
      </c>
      <c r="E224" s="7" t="s">
        <v>3425</v>
      </c>
      <c r="F224" s="9">
        <v>30.0</v>
      </c>
      <c r="G224" s="9">
        <v>1994.0</v>
      </c>
      <c r="H224" s="10">
        <v>29.0</v>
      </c>
      <c r="I224" s="11">
        <v>2.266</v>
      </c>
      <c r="J224" s="11">
        <v>78.0</v>
      </c>
      <c r="K224" s="11" t="s">
        <v>1140</v>
      </c>
      <c r="L224" s="11" t="s">
        <v>712</v>
      </c>
      <c r="M224" s="41">
        <v>0.06875</v>
      </c>
      <c r="N224" s="11">
        <v>88.0</v>
      </c>
      <c r="O224" s="42">
        <v>0.04652777777777778</v>
      </c>
      <c r="P224" s="41">
        <v>0.011111111111111112</v>
      </c>
      <c r="Q224" s="11">
        <v>19.0</v>
      </c>
      <c r="R224" s="43">
        <v>0.0</v>
      </c>
      <c r="S224" s="13">
        <v>0.041666666666666664</v>
      </c>
      <c r="T224" s="42">
        <v>0.052083333333333336</v>
      </c>
      <c r="U224" s="42">
        <v>0.10694444444444444</v>
      </c>
      <c r="V224" s="45">
        <v>-0.05486111111111111</v>
      </c>
      <c r="W224" s="15">
        <v>-0.05486111111111111</v>
      </c>
      <c r="X224" s="15">
        <v>-0.05486111111111111</v>
      </c>
      <c r="Y224" s="16" t="s">
        <v>3426</v>
      </c>
    </row>
    <row r="225">
      <c r="A225" s="6">
        <v>216.0</v>
      </c>
      <c r="B225" s="7" t="s">
        <v>3427</v>
      </c>
      <c r="C225" s="8" t="s">
        <v>3428</v>
      </c>
      <c r="D225" s="9" t="s">
        <v>59</v>
      </c>
      <c r="E225" s="7" t="s">
        <v>3429</v>
      </c>
      <c r="F225" s="9">
        <v>20.0</v>
      </c>
      <c r="G225" s="9">
        <v>2003.0</v>
      </c>
      <c r="H225" s="10">
        <v>26.0</v>
      </c>
      <c r="I225" s="11">
        <v>1.29</v>
      </c>
      <c r="J225" s="11">
        <v>50.0</v>
      </c>
      <c r="K225" s="11" t="s">
        <v>1145</v>
      </c>
      <c r="L225" s="11" t="s">
        <v>1146</v>
      </c>
      <c r="M225" s="41">
        <v>0.06319444444444444</v>
      </c>
      <c r="N225" s="11">
        <v>75.0</v>
      </c>
      <c r="O225" s="42">
        <v>0.009722222222222222</v>
      </c>
      <c r="P225" s="41">
        <v>0.06319444444444444</v>
      </c>
      <c r="Q225" s="11">
        <v>24.0</v>
      </c>
      <c r="R225" s="42">
        <v>0.014583333333333334</v>
      </c>
      <c r="S225" s="13">
        <v>0.08472222222222223</v>
      </c>
      <c r="T225" s="42">
        <v>0.08402777777777778</v>
      </c>
      <c r="U225" s="42">
        <v>0.05</v>
      </c>
      <c r="V225" s="44">
        <v>0.034027777777777775</v>
      </c>
      <c r="W225" s="14" t="str">
        <f>+0.49</f>
        <v>#ERROR!</v>
      </c>
      <c r="X225" s="14" t="str">
        <f>+0.36</f>
        <v>#ERROR!</v>
      </c>
      <c r="Y225" s="16" t="s">
        <v>3430</v>
      </c>
    </row>
    <row r="226">
      <c r="A226" s="6">
        <v>217.0</v>
      </c>
      <c r="B226" s="7" t="s">
        <v>3431</v>
      </c>
      <c r="C226" s="8" t="s">
        <v>3432</v>
      </c>
      <c r="D226" s="9" t="s">
        <v>52</v>
      </c>
      <c r="E226" s="7" t="s">
        <v>3433</v>
      </c>
      <c r="F226" s="9">
        <v>27.0</v>
      </c>
      <c r="G226" s="9">
        <v>1996.0</v>
      </c>
      <c r="H226" s="10">
        <v>16.0</v>
      </c>
      <c r="I226" s="11">
        <v>798.0</v>
      </c>
      <c r="J226" s="11">
        <v>50.0</v>
      </c>
      <c r="K226" s="11" t="s">
        <v>1151</v>
      </c>
      <c r="L226" s="11" t="s">
        <v>1152</v>
      </c>
      <c r="M226" s="41">
        <v>0.05</v>
      </c>
      <c r="N226" s="11">
        <v>61.0</v>
      </c>
      <c r="O226" s="42">
        <v>0.007638888888888889</v>
      </c>
      <c r="P226" s="41">
        <v>0.04652777777777778</v>
      </c>
      <c r="Q226" s="11">
        <v>32.0</v>
      </c>
      <c r="R226" s="42">
        <v>0.04652777777777778</v>
      </c>
      <c r="S226" s="13">
        <v>0.05486111111111111</v>
      </c>
      <c r="T226" s="42">
        <v>0.0625</v>
      </c>
      <c r="U226" s="42">
        <v>0.06597222222222222</v>
      </c>
      <c r="V226" s="45">
        <v>-0.03125</v>
      </c>
      <c r="W226" s="15">
        <v>-0.03125</v>
      </c>
      <c r="X226" s="15">
        <v>-0.043055555555555555</v>
      </c>
      <c r="Y226" s="16" t="s">
        <v>3434</v>
      </c>
    </row>
    <row r="227">
      <c r="A227" s="6">
        <v>218.0</v>
      </c>
      <c r="B227" s="7" t="s">
        <v>3435</v>
      </c>
      <c r="C227" s="8" t="s">
        <v>3436</v>
      </c>
      <c r="D227" s="9" t="s">
        <v>59</v>
      </c>
      <c r="E227" s="7" t="s">
        <v>3437</v>
      </c>
      <c r="F227" s="9">
        <v>24.0</v>
      </c>
      <c r="G227" s="9">
        <v>1999.0</v>
      </c>
      <c r="H227" s="10">
        <v>18.0</v>
      </c>
      <c r="I227" s="11">
        <v>1.453</v>
      </c>
      <c r="J227" s="11">
        <v>81.0</v>
      </c>
      <c r="K227" s="11" t="s">
        <v>1157</v>
      </c>
      <c r="L227" s="11" t="s">
        <v>521</v>
      </c>
      <c r="M227" s="41">
        <v>0.06875</v>
      </c>
      <c r="N227" s="11">
        <v>88.0</v>
      </c>
      <c r="O227" s="42">
        <v>0.04722222222222222</v>
      </c>
      <c r="P227" s="41">
        <v>0.008333333333333333</v>
      </c>
      <c r="Q227" s="11">
        <v>25.0</v>
      </c>
      <c r="R227" s="42">
        <v>0.004166666666666667</v>
      </c>
      <c r="S227" s="13">
        <v>0.06458333333333334</v>
      </c>
      <c r="T227" s="42">
        <v>0.10138888888888889</v>
      </c>
      <c r="U227" s="42">
        <v>0.08888888888888889</v>
      </c>
      <c r="V227" s="44">
        <v>0.013194444444444444</v>
      </c>
      <c r="W227" s="14" t="str">
        <f>+0.19</f>
        <v>#ERROR!</v>
      </c>
      <c r="X227" s="14" t="str">
        <f>+0.91</f>
        <v>#ERROR!</v>
      </c>
      <c r="Y227" s="16" t="s">
        <v>3438</v>
      </c>
    </row>
    <row r="228">
      <c r="A228" s="6">
        <v>219.0</v>
      </c>
      <c r="B228" s="7" t="s">
        <v>3439</v>
      </c>
      <c r="C228" s="8" t="s">
        <v>3440</v>
      </c>
      <c r="D228" s="9" t="s">
        <v>73</v>
      </c>
      <c r="E228" s="7" t="s">
        <v>3441</v>
      </c>
      <c r="F228" s="9">
        <v>34.0</v>
      </c>
      <c r="G228" s="9">
        <v>1989.0</v>
      </c>
      <c r="H228" s="18">
        <v>0.0</v>
      </c>
      <c r="I228" s="19"/>
      <c r="J228" s="19"/>
      <c r="K228" s="19"/>
      <c r="L228" s="19"/>
      <c r="M228" s="18">
        <v>0.0</v>
      </c>
      <c r="N228" s="19"/>
      <c r="O228" s="12">
        <v>0.0</v>
      </c>
      <c r="P228" s="18">
        <v>0.0</v>
      </c>
      <c r="Q228" s="19"/>
      <c r="R228" s="11">
        <v>1.0</v>
      </c>
      <c r="S228" s="24"/>
      <c r="T228" s="19"/>
      <c r="U228" s="19"/>
      <c r="V228" s="19"/>
      <c r="W228" s="19"/>
      <c r="X228" s="19"/>
      <c r="Y228" s="16" t="s">
        <v>3442</v>
      </c>
    </row>
    <row r="229">
      <c r="A229" s="6">
        <v>220.0</v>
      </c>
      <c r="B229" s="7" t="s">
        <v>3443</v>
      </c>
      <c r="C229" s="8" t="s">
        <v>3444</v>
      </c>
      <c r="D229" s="9" t="s">
        <v>73</v>
      </c>
      <c r="E229" s="7" t="s">
        <v>3445</v>
      </c>
      <c r="F229" s="9">
        <v>33.0</v>
      </c>
      <c r="G229" s="9">
        <v>1990.0</v>
      </c>
      <c r="H229" s="10">
        <v>12.0</v>
      </c>
      <c r="I229" s="11">
        <v>1.08</v>
      </c>
      <c r="J229" s="11">
        <v>90.0</v>
      </c>
      <c r="K229" s="11" t="s">
        <v>75</v>
      </c>
      <c r="L229" s="11" t="s">
        <v>76</v>
      </c>
      <c r="M229" s="41">
        <v>0.041666666666666664</v>
      </c>
      <c r="N229" s="11">
        <v>90.0</v>
      </c>
      <c r="O229" s="42">
        <v>0.041666666666666664</v>
      </c>
      <c r="P229" s="46">
        <v>0.0</v>
      </c>
      <c r="Q229" s="19"/>
      <c r="R229" s="43">
        <v>0.0</v>
      </c>
      <c r="S229" s="13">
        <v>0.06388888888888888</v>
      </c>
      <c r="T229" s="42">
        <v>0.059027777777777776</v>
      </c>
      <c r="U229" s="42">
        <v>0.12986111111111112</v>
      </c>
      <c r="V229" s="45">
        <v>-0.07083333333333333</v>
      </c>
      <c r="W229" s="15">
        <v>-0.07083333333333333</v>
      </c>
      <c r="X229" s="15">
        <v>-0.05486111111111111</v>
      </c>
      <c r="Y229" s="16" t="s">
        <v>3446</v>
      </c>
    </row>
    <row r="230">
      <c r="A230" s="6">
        <v>221.0</v>
      </c>
      <c r="B230" s="7" t="s">
        <v>3447</v>
      </c>
      <c r="C230" s="8" t="s">
        <v>3448</v>
      </c>
      <c r="D230" s="9" t="s">
        <v>73</v>
      </c>
      <c r="E230" s="7" t="s">
        <v>3449</v>
      </c>
      <c r="F230" s="9">
        <v>33.0</v>
      </c>
      <c r="G230" s="9">
        <v>1990.0</v>
      </c>
      <c r="H230" s="10">
        <v>6.0</v>
      </c>
      <c r="I230" s="11">
        <v>450.0</v>
      </c>
      <c r="J230" s="11">
        <v>75.0</v>
      </c>
      <c r="K230" s="11" t="s">
        <v>293</v>
      </c>
      <c r="L230" s="11" t="s">
        <v>1063</v>
      </c>
      <c r="M230" s="41">
        <v>0.05555555555555555</v>
      </c>
      <c r="N230" s="11">
        <v>90.0</v>
      </c>
      <c r="O230" s="42">
        <v>0.05555555555555555</v>
      </c>
      <c r="P230" s="41">
        <v>0.027777777777777776</v>
      </c>
      <c r="Q230" s="11">
        <v>45.0</v>
      </c>
      <c r="R230" s="42">
        <v>0.05555555555555555</v>
      </c>
      <c r="S230" s="13">
        <v>0.09930555555555555</v>
      </c>
      <c r="T230" s="42">
        <v>0.08333333333333333</v>
      </c>
      <c r="U230" s="42">
        <v>0.041666666666666664</v>
      </c>
      <c r="V230" s="44">
        <v>0.041666666666666664</v>
      </c>
      <c r="W230" s="14" t="str">
        <f>+0.60</f>
        <v>#ERROR!</v>
      </c>
      <c r="X230" s="14" t="str">
        <f>+0.32</f>
        <v>#ERROR!</v>
      </c>
      <c r="Y230" s="16" t="s">
        <v>3450</v>
      </c>
    </row>
    <row r="231">
      <c r="A231" s="6">
        <v>222.0</v>
      </c>
      <c r="B231" s="7" t="s">
        <v>3451</v>
      </c>
      <c r="C231" s="8" t="s">
        <v>3452</v>
      </c>
      <c r="D231" s="9" t="s">
        <v>66</v>
      </c>
      <c r="E231" s="7" t="s">
        <v>3453</v>
      </c>
      <c r="F231" s="9">
        <v>32.0</v>
      </c>
      <c r="G231" s="9">
        <v>1991.0</v>
      </c>
      <c r="H231" s="10">
        <v>26.0</v>
      </c>
      <c r="I231" s="11">
        <v>2.332</v>
      </c>
      <c r="J231" s="11">
        <v>90.0</v>
      </c>
      <c r="K231" s="11" t="s">
        <v>323</v>
      </c>
      <c r="L231" s="11" t="s">
        <v>324</v>
      </c>
      <c r="M231" s="41">
        <v>0.041666666666666664</v>
      </c>
      <c r="N231" s="11">
        <v>90.0</v>
      </c>
      <c r="O231" s="42">
        <v>0.06736111111111111</v>
      </c>
      <c r="P231" s="46">
        <v>0.0</v>
      </c>
      <c r="Q231" s="19"/>
      <c r="R231" s="42">
        <v>0.002777777777777778</v>
      </c>
      <c r="S231" s="13">
        <v>0.09652777777777778</v>
      </c>
      <c r="T231" s="42">
        <v>0.09444444444444444</v>
      </c>
      <c r="U231" s="42">
        <v>0.05347222222222222</v>
      </c>
      <c r="V231" s="44">
        <v>0.06875</v>
      </c>
      <c r="W231" s="14" t="str">
        <f>+1.39</f>
        <v>#ERROR!</v>
      </c>
      <c r="X231" s="15">
        <v>-0.005555555555555556</v>
      </c>
      <c r="Y231" s="16" t="s">
        <v>3454</v>
      </c>
    </row>
    <row r="232">
      <c r="A232" s="6">
        <v>223.0</v>
      </c>
      <c r="B232" s="7" t="s">
        <v>3455</v>
      </c>
      <c r="C232" s="8" t="s">
        <v>3456</v>
      </c>
      <c r="D232" s="9" t="s">
        <v>66</v>
      </c>
      <c r="E232" s="7" t="s">
        <v>3457</v>
      </c>
      <c r="F232" s="9">
        <v>20.0</v>
      </c>
      <c r="G232" s="9">
        <v>2004.0</v>
      </c>
      <c r="H232" s="10">
        <v>16.0</v>
      </c>
      <c r="I232" s="11">
        <v>860.0</v>
      </c>
      <c r="J232" s="11">
        <v>54.0</v>
      </c>
      <c r="K232" s="11" t="s">
        <v>1178</v>
      </c>
      <c r="L232" s="11" t="s">
        <v>438</v>
      </c>
      <c r="M232" s="41">
        <v>0.044444444444444446</v>
      </c>
      <c r="N232" s="11">
        <v>72.0</v>
      </c>
      <c r="O232" s="42">
        <v>0.021527777777777778</v>
      </c>
      <c r="P232" s="41">
        <v>0.04375</v>
      </c>
      <c r="Q232" s="11">
        <v>23.0</v>
      </c>
      <c r="R232" s="42">
        <v>0.03611111111111111</v>
      </c>
      <c r="S232" s="13">
        <v>0.041666666666666664</v>
      </c>
      <c r="T232" s="42">
        <v>0.08055555555555556</v>
      </c>
      <c r="U232" s="42">
        <v>0.11805555555555555</v>
      </c>
      <c r="V232" s="45">
        <v>-0.06527777777777778</v>
      </c>
      <c r="W232" s="15">
        <v>-0.06527777777777778</v>
      </c>
      <c r="X232" s="15">
        <v>-0.027777777777777776</v>
      </c>
      <c r="Y232" s="16" t="s">
        <v>3458</v>
      </c>
    </row>
    <row r="233">
      <c r="A233" s="6">
        <v>224.0</v>
      </c>
      <c r="B233" s="7" t="s">
        <v>3459</v>
      </c>
      <c r="C233" s="8" t="s">
        <v>3460</v>
      </c>
      <c r="D233" s="9" t="s">
        <v>66</v>
      </c>
      <c r="E233" s="7" t="s">
        <v>3461</v>
      </c>
      <c r="F233" s="9">
        <v>18.0</v>
      </c>
      <c r="G233" s="9">
        <v>2005.0</v>
      </c>
      <c r="H233" s="10">
        <v>1.0</v>
      </c>
      <c r="I233" s="11">
        <v>64.0</v>
      </c>
      <c r="J233" s="11">
        <v>64.0</v>
      </c>
      <c r="K233" s="11" t="s">
        <v>129</v>
      </c>
      <c r="L233" s="11" t="s">
        <v>180</v>
      </c>
      <c r="M233" s="41">
        <v>0.07152777777777777</v>
      </c>
      <c r="N233" s="11">
        <v>64.0</v>
      </c>
      <c r="O233" s="43">
        <v>0.0</v>
      </c>
      <c r="P233" s="46">
        <v>0.0</v>
      </c>
      <c r="Q233" s="19"/>
      <c r="R233" s="48" t="s">
        <v>743</v>
      </c>
      <c r="S233" s="20">
        <v>0.0</v>
      </c>
      <c r="T233" s="43">
        <v>0.0</v>
      </c>
      <c r="U233" s="42">
        <v>0.07152777777777777</v>
      </c>
      <c r="V233" s="45">
        <v>-0.07152777777777777</v>
      </c>
      <c r="W233" s="15">
        <v>-0.07013888888888889</v>
      </c>
      <c r="X233" s="15">
        <v>-0.07916666666666666</v>
      </c>
      <c r="Y233" s="16" t="s">
        <v>3462</v>
      </c>
    </row>
    <row r="234">
      <c r="A234" s="6">
        <v>225.0</v>
      </c>
      <c r="B234" s="7" t="s">
        <v>3463</v>
      </c>
      <c r="C234" s="8" t="s">
        <v>3464</v>
      </c>
      <c r="D234" s="9" t="s">
        <v>52</v>
      </c>
      <c r="E234" s="7" t="s">
        <v>3465</v>
      </c>
      <c r="F234" s="9">
        <v>17.0</v>
      </c>
      <c r="G234" s="9">
        <v>2007.0</v>
      </c>
      <c r="H234" s="18">
        <v>0.0</v>
      </c>
      <c r="I234" s="19"/>
      <c r="J234" s="19"/>
      <c r="K234" s="19"/>
      <c r="L234" s="19"/>
      <c r="M234" s="18">
        <v>0.0</v>
      </c>
      <c r="N234" s="19"/>
      <c r="O234" s="12">
        <v>0.0</v>
      </c>
      <c r="P234" s="18">
        <v>0.0</v>
      </c>
      <c r="Q234" s="19"/>
      <c r="R234" s="11">
        <v>4.0</v>
      </c>
      <c r="S234" s="24"/>
      <c r="T234" s="19"/>
      <c r="U234" s="19"/>
      <c r="V234" s="19"/>
      <c r="W234" s="19"/>
      <c r="X234" s="19"/>
      <c r="Y234" s="16" t="s">
        <v>3466</v>
      </c>
    </row>
    <row r="235">
      <c r="A235" s="25" t="s">
        <v>0</v>
      </c>
      <c r="B235" s="26" t="s">
        <v>1</v>
      </c>
      <c r="C235" s="27" t="s">
        <v>2</v>
      </c>
      <c r="D235" s="27" t="s">
        <v>3</v>
      </c>
      <c r="E235" s="27" t="s">
        <v>4</v>
      </c>
      <c r="F235" s="27" t="s">
        <v>5</v>
      </c>
      <c r="G235" s="27" t="s">
        <v>6</v>
      </c>
      <c r="H235" s="28" t="s">
        <v>7</v>
      </c>
      <c r="I235" s="27" t="s">
        <v>8</v>
      </c>
      <c r="J235" s="27" t="s">
        <v>9</v>
      </c>
      <c r="K235" s="27" t="s">
        <v>10</v>
      </c>
      <c r="L235" s="27" t="s">
        <v>11</v>
      </c>
      <c r="M235" s="28" t="s">
        <v>12</v>
      </c>
      <c r="N235" s="27" t="s">
        <v>13</v>
      </c>
      <c r="O235" s="27" t="s">
        <v>14</v>
      </c>
      <c r="P235" s="28" t="s">
        <v>15</v>
      </c>
      <c r="Q235" s="27" t="s">
        <v>16</v>
      </c>
      <c r="R235" s="27" t="s">
        <v>17</v>
      </c>
      <c r="S235" s="28" t="s">
        <v>18</v>
      </c>
      <c r="T235" s="27" t="s">
        <v>19</v>
      </c>
      <c r="U235" s="27" t="s">
        <v>20</v>
      </c>
      <c r="V235" s="29" t="str">
        <f>+/-</f>
        <v>#ERROR!</v>
      </c>
      <c r="W235" s="29" t="str">
        <f>+/-90</f>
        <v>#ERROR!</v>
      </c>
      <c r="X235" s="27" t="s">
        <v>21</v>
      </c>
      <c r="Y235" s="28" t="s">
        <v>22</v>
      </c>
    </row>
    <row r="236">
      <c r="A236" s="6">
        <v>226.0</v>
      </c>
      <c r="B236" s="7" t="s">
        <v>3467</v>
      </c>
      <c r="C236" s="8" t="s">
        <v>3468</v>
      </c>
      <c r="D236" s="9" t="s">
        <v>32</v>
      </c>
      <c r="E236" s="7" t="s">
        <v>3469</v>
      </c>
      <c r="F236" s="9">
        <v>21.0</v>
      </c>
      <c r="G236" s="9">
        <v>2003.0</v>
      </c>
      <c r="H236" s="10">
        <v>8.0</v>
      </c>
      <c r="I236" s="11">
        <v>433.0</v>
      </c>
      <c r="J236" s="11">
        <v>54.0</v>
      </c>
      <c r="K236" s="11" t="s">
        <v>1191</v>
      </c>
      <c r="L236" s="11" t="s">
        <v>522</v>
      </c>
      <c r="M236" s="41">
        <v>0.044444444444444446</v>
      </c>
      <c r="N236" s="11">
        <v>72.0</v>
      </c>
      <c r="O236" s="42">
        <v>0.029166666666666667</v>
      </c>
      <c r="P236" s="41">
        <v>0.04375</v>
      </c>
      <c r="Q236" s="11">
        <v>24.0</v>
      </c>
      <c r="R236" s="42">
        <v>0.014583333333333334</v>
      </c>
      <c r="S236" s="13">
        <v>0.034722222222222224</v>
      </c>
      <c r="T236" s="42">
        <v>0.029166666666666667</v>
      </c>
      <c r="U236" s="42">
        <v>0.10277777777777777</v>
      </c>
      <c r="V236" s="45">
        <v>-0.07361111111111111</v>
      </c>
      <c r="W236" s="15">
        <v>-0.07291666666666667</v>
      </c>
      <c r="X236" s="15">
        <v>-0.04583333333333333</v>
      </c>
      <c r="Y236" s="16" t="s">
        <v>3470</v>
      </c>
    </row>
    <row r="237">
      <c r="A237" s="6">
        <v>227.0</v>
      </c>
      <c r="B237" s="7" t="s">
        <v>3471</v>
      </c>
      <c r="C237" s="8" t="s">
        <v>3472</v>
      </c>
      <c r="D237" s="9" t="s">
        <v>32</v>
      </c>
      <c r="E237" s="7" t="s">
        <v>3473</v>
      </c>
      <c r="F237" s="9">
        <v>21.0</v>
      </c>
      <c r="G237" s="9">
        <v>2003.0</v>
      </c>
      <c r="H237" s="10">
        <v>8.0</v>
      </c>
      <c r="I237" s="11">
        <v>211.0</v>
      </c>
      <c r="J237" s="11">
        <v>26.0</v>
      </c>
      <c r="K237" s="11" t="s">
        <v>1196</v>
      </c>
      <c r="L237" s="11" t="s">
        <v>207</v>
      </c>
      <c r="M237" s="41">
        <v>0.029861111111111113</v>
      </c>
      <c r="N237" s="11">
        <v>55.0</v>
      </c>
      <c r="O237" s="43">
        <v>0.0</v>
      </c>
      <c r="P237" s="41">
        <v>0.12777777777777777</v>
      </c>
      <c r="Q237" s="11">
        <v>22.0</v>
      </c>
      <c r="R237" s="42">
        <v>0.0625</v>
      </c>
      <c r="S237" s="13">
        <v>0.08541666666666667</v>
      </c>
      <c r="T237" s="42">
        <v>0.09513888888888888</v>
      </c>
      <c r="U237" s="42">
        <v>0.09513888888888888</v>
      </c>
      <c r="V237" s="43">
        <v>0.0</v>
      </c>
      <c r="W237" s="21">
        <v>0.0</v>
      </c>
      <c r="X237" s="15">
        <v>-0.02013888888888889</v>
      </c>
      <c r="Y237" s="16" t="s">
        <v>3474</v>
      </c>
    </row>
    <row r="238">
      <c r="A238" s="6">
        <v>228.0</v>
      </c>
      <c r="B238" s="7" t="s">
        <v>3475</v>
      </c>
      <c r="C238" s="8" t="s">
        <v>3476</v>
      </c>
      <c r="D238" s="9" t="s">
        <v>66</v>
      </c>
      <c r="E238" s="7" t="s">
        <v>3477</v>
      </c>
      <c r="F238" s="9">
        <v>18.0</v>
      </c>
      <c r="G238" s="9">
        <v>2005.0</v>
      </c>
      <c r="H238" s="10">
        <v>30.0</v>
      </c>
      <c r="I238" s="11">
        <v>2.541</v>
      </c>
      <c r="J238" s="11">
        <v>85.0</v>
      </c>
      <c r="K238" s="11" t="s">
        <v>1201</v>
      </c>
      <c r="L238" s="11" t="s">
        <v>1202</v>
      </c>
      <c r="M238" s="41">
        <v>0.06875</v>
      </c>
      <c r="N238" s="11">
        <v>87.0</v>
      </c>
      <c r="O238" s="42">
        <v>0.05416666666666667</v>
      </c>
      <c r="P238" s="41">
        <v>0.004861111111111111</v>
      </c>
      <c r="Q238" s="11">
        <v>50.0</v>
      </c>
      <c r="R238" s="43">
        <v>0.0</v>
      </c>
      <c r="S238" s="13">
        <v>0.06736111111111111</v>
      </c>
      <c r="T238" s="42">
        <v>0.08055555555555556</v>
      </c>
      <c r="U238" s="42">
        <v>0.07569444444444444</v>
      </c>
      <c r="V238" s="44">
        <v>0.004861111111111111</v>
      </c>
      <c r="W238" s="14" t="str">
        <f>+0.07</f>
        <v>#ERROR!</v>
      </c>
      <c r="X238" s="14" t="str">
        <f>+0.64</f>
        <v>#ERROR!</v>
      </c>
      <c r="Y238" s="16" t="s">
        <v>3478</v>
      </c>
    </row>
    <row r="239">
      <c r="A239" s="6">
        <v>229.0</v>
      </c>
      <c r="B239" s="7" t="s">
        <v>3479</v>
      </c>
      <c r="C239" s="8" t="s">
        <v>3480</v>
      </c>
      <c r="D239" s="9" t="s">
        <v>284</v>
      </c>
      <c r="E239" s="7" t="s">
        <v>3481</v>
      </c>
      <c r="F239" s="9">
        <v>22.0</v>
      </c>
      <c r="G239" s="9">
        <v>2001.0</v>
      </c>
      <c r="H239" s="10">
        <v>30.0</v>
      </c>
      <c r="I239" s="11">
        <v>2.699</v>
      </c>
      <c r="J239" s="11">
        <v>90.0</v>
      </c>
      <c r="K239" s="11" t="s">
        <v>1207</v>
      </c>
      <c r="L239" s="11" t="s">
        <v>673</v>
      </c>
      <c r="M239" s="41">
        <v>0.041666666666666664</v>
      </c>
      <c r="N239" s="11">
        <v>90.0</v>
      </c>
      <c r="O239" s="42">
        <v>0.06736111111111111</v>
      </c>
      <c r="P239" s="46">
        <v>0.0</v>
      </c>
      <c r="Q239" s="19"/>
      <c r="R239" s="43">
        <v>0.0</v>
      </c>
      <c r="S239" s="13">
        <v>0.050694444444444445</v>
      </c>
      <c r="T239" s="42">
        <v>0.07847222222222222</v>
      </c>
      <c r="U239" s="42">
        <v>0.09513888888888888</v>
      </c>
      <c r="V239" s="45">
        <v>-0.01597222222222222</v>
      </c>
      <c r="W239" s="15">
        <v>-0.01597222222222222</v>
      </c>
      <c r="X239" s="15">
        <v>-0.01597222222222222</v>
      </c>
      <c r="Y239" s="16" t="s">
        <v>3482</v>
      </c>
    </row>
    <row r="240">
      <c r="A240" s="6">
        <v>230.0</v>
      </c>
      <c r="B240" s="7" t="s">
        <v>3483</v>
      </c>
      <c r="C240" s="8" t="s">
        <v>3484</v>
      </c>
      <c r="D240" s="9" t="s">
        <v>45</v>
      </c>
      <c r="E240" s="7" t="s">
        <v>3485</v>
      </c>
      <c r="F240" s="9">
        <v>22.0</v>
      </c>
      <c r="G240" s="9">
        <v>2001.0</v>
      </c>
      <c r="H240" s="10">
        <v>23.0</v>
      </c>
      <c r="I240" s="11">
        <v>759.0</v>
      </c>
      <c r="J240" s="11">
        <v>33.0</v>
      </c>
      <c r="K240" s="11" t="s">
        <v>1212</v>
      </c>
      <c r="L240" s="11" t="s">
        <v>484</v>
      </c>
      <c r="M240" s="41">
        <v>0.041666666666666664</v>
      </c>
      <c r="N240" s="11">
        <v>87.0</v>
      </c>
      <c r="O240" s="42">
        <v>0.03333333333333333</v>
      </c>
      <c r="P240" s="41">
        <v>0.09305555555555556</v>
      </c>
      <c r="Q240" s="11">
        <v>18.0</v>
      </c>
      <c r="R240" s="42">
        <v>0.025</v>
      </c>
      <c r="S240" s="13">
        <v>0.041666666666666664</v>
      </c>
      <c r="T240" s="42">
        <v>0.08472222222222223</v>
      </c>
      <c r="U240" s="42">
        <v>0.10416666666666667</v>
      </c>
      <c r="V240" s="44">
        <v>0.008333333333333333</v>
      </c>
      <c r="W240" s="14" t="str">
        <f>+0.12</f>
        <v>#ERROR!</v>
      </c>
      <c r="X240" s="14" t="str">
        <f>+1.09</f>
        <v>#ERROR!</v>
      </c>
      <c r="Y240" s="16" t="s">
        <v>3486</v>
      </c>
    </row>
    <row r="241">
      <c r="A241" s="6">
        <v>231.0</v>
      </c>
      <c r="B241" s="7" t="s">
        <v>3487</v>
      </c>
      <c r="C241" s="8" t="s">
        <v>3488</v>
      </c>
      <c r="D241" s="9" t="s">
        <v>45</v>
      </c>
      <c r="E241" s="7" t="s">
        <v>3489</v>
      </c>
      <c r="F241" s="9">
        <v>28.0</v>
      </c>
      <c r="G241" s="9">
        <v>1995.0</v>
      </c>
      <c r="H241" s="10">
        <v>29.0</v>
      </c>
      <c r="I241" s="11">
        <v>1.006</v>
      </c>
      <c r="J241" s="11">
        <v>35.0</v>
      </c>
      <c r="K241" s="11" t="s">
        <v>1217</v>
      </c>
      <c r="L241" s="11" t="s">
        <v>1218</v>
      </c>
      <c r="M241" s="41">
        <v>0.06180555555555556</v>
      </c>
      <c r="N241" s="11">
        <v>70.0</v>
      </c>
      <c r="O241" s="42">
        <v>0.0125</v>
      </c>
      <c r="P241" s="41">
        <v>0.09027777777777778</v>
      </c>
      <c r="Q241" s="11">
        <v>16.0</v>
      </c>
      <c r="R241" s="42">
        <v>0.00625</v>
      </c>
      <c r="S241" s="13">
        <v>0.08472222222222223</v>
      </c>
      <c r="T241" s="42">
        <v>0.059027777777777776</v>
      </c>
      <c r="U241" s="42">
        <v>0.06527777777777778</v>
      </c>
      <c r="V241" s="45">
        <v>-0.00625</v>
      </c>
      <c r="W241" s="15">
        <v>-0.00625</v>
      </c>
      <c r="X241" s="15">
        <v>-0.043055555555555555</v>
      </c>
      <c r="Y241" s="16" t="s">
        <v>3490</v>
      </c>
    </row>
    <row r="242">
      <c r="A242" s="6">
        <v>232.0</v>
      </c>
      <c r="B242" s="7" t="s">
        <v>3491</v>
      </c>
      <c r="C242" s="8" t="s">
        <v>3492</v>
      </c>
      <c r="D242" s="9" t="s">
        <v>32</v>
      </c>
      <c r="E242" s="7" t="s">
        <v>3493</v>
      </c>
      <c r="F242" s="9">
        <v>24.0</v>
      </c>
      <c r="G242" s="9">
        <v>2000.0</v>
      </c>
      <c r="H242" s="10">
        <v>6.0</v>
      </c>
      <c r="I242" s="11">
        <v>113.0</v>
      </c>
      <c r="J242" s="11">
        <v>19.0</v>
      </c>
      <c r="K242" s="11" t="s">
        <v>837</v>
      </c>
      <c r="L242" s="11" t="s">
        <v>624</v>
      </c>
      <c r="M242" s="46">
        <v>0.0</v>
      </c>
      <c r="N242" s="19"/>
      <c r="O242" s="43">
        <v>0.0</v>
      </c>
      <c r="P242" s="41">
        <v>0.20972222222222223</v>
      </c>
      <c r="Q242" s="11">
        <v>19.0</v>
      </c>
      <c r="R242" s="42">
        <v>0.1840277777777778</v>
      </c>
      <c r="S242" s="13">
        <v>0.05347222222222222</v>
      </c>
      <c r="T242" s="42">
        <v>0.05347222222222222</v>
      </c>
      <c r="U242" s="42">
        <v>0.07916666666666666</v>
      </c>
      <c r="V242" s="45">
        <v>-0.05347222222222222</v>
      </c>
      <c r="W242" s="15">
        <v>-0.05555555555555555</v>
      </c>
      <c r="X242" s="15">
        <v>-0.04097222222222222</v>
      </c>
      <c r="Y242" s="16" t="s">
        <v>3494</v>
      </c>
    </row>
    <row r="243">
      <c r="A243" s="6">
        <v>233.0</v>
      </c>
      <c r="B243" s="7" t="s">
        <v>3495</v>
      </c>
      <c r="C243" s="8" t="s">
        <v>3496</v>
      </c>
      <c r="D243" s="9" t="s">
        <v>66</v>
      </c>
      <c r="E243" s="7" t="s">
        <v>3497</v>
      </c>
      <c r="F243" s="9">
        <v>41.0</v>
      </c>
      <c r="G243" s="9">
        <v>1982.0</v>
      </c>
      <c r="H243" s="10">
        <v>17.0</v>
      </c>
      <c r="I243" s="11">
        <v>1.438</v>
      </c>
      <c r="J243" s="11">
        <v>85.0</v>
      </c>
      <c r="K243" s="11" t="s">
        <v>1227</v>
      </c>
      <c r="L243" s="11" t="s">
        <v>1191</v>
      </c>
      <c r="M243" s="41">
        <v>0.041666666666666664</v>
      </c>
      <c r="N243" s="11">
        <v>89.0</v>
      </c>
      <c r="O243" s="42">
        <v>0.06111111111111111</v>
      </c>
      <c r="P243" s="41">
        <v>0.004166666666666667</v>
      </c>
      <c r="Q243" s="11">
        <v>8.0</v>
      </c>
      <c r="R243" s="42">
        <v>0.017361111111111112</v>
      </c>
      <c r="S243" s="13">
        <v>0.05416666666666667</v>
      </c>
      <c r="T243" s="42">
        <v>0.06111111111111111</v>
      </c>
      <c r="U243" s="42">
        <v>0.08541666666666667</v>
      </c>
      <c r="V243" s="45">
        <v>-0.052083333333333336</v>
      </c>
      <c r="W243" s="15">
        <v>-0.052083333333333336</v>
      </c>
      <c r="X243" s="15">
        <v>-0.022222222222222223</v>
      </c>
      <c r="Y243" s="16" t="s">
        <v>3498</v>
      </c>
    </row>
    <row r="244">
      <c r="A244" s="6">
        <v>234.0</v>
      </c>
      <c r="B244" s="7" t="s">
        <v>3499</v>
      </c>
      <c r="C244" s="8" t="s">
        <v>3500</v>
      </c>
      <c r="D244" s="9" t="s">
        <v>66</v>
      </c>
      <c r="E244" s="7" t="s">
        <v>3501</v>
      </c>
      <c r="F244" s="9">
        <v>18.0</v>
      </c>
      <c r="G244" s="9">
        <v>2005.0</v>
      </c>
      <c r="H244" s="18">
        <v>0.0</v>
      </c>
      <c r="I244" s="19"/>
      <c r="J244" s="19"/>
      <c r="K244" s="19"/>
      <c r="L244" s="19"/>
      <c r="M244" s="18">
        <v>0.0</v>
      </c>
      <c r="N244" s="19"/>
      <c r="O244" s="12">
        <v>0.0</v>
      </c>
      <c r="P244" s="18">
        <v>0.0</v>
      </c>
      <c r="Q244" s="19"/>
      <c r="R244" s="11">
        <v>7.0</v>
      </c>
      <c r="S244" s="24"/>
      <c r="T244" s="19"/>
      <c r="U244" s="19"/>
      <c r="V244" s="19"/>
      <c r="W244" s="19"/>
      <c r="X244" s="19"/>
      <c r="Y244" s="16" t="s">
        <v>3502</v>
      </c>
    </row>
    <row r="245">
      <c r="A245" s="6">
        <v>235.0</v>
      </c>
      <c r="B245" s="7" t="s">
        <v>3503</v>
      </c>
      <c r="C245" s="8" t="s">
        <v>3504</v>
      </c>
      <c r="D245" s="9" t="s">
        <v>45</v>
      </c>
      <c r="E245" s="7" t="s">
        <v>3505</v>
      </c>
      <c r="F245" s="9">
        <v>25.0</v>
      </c>
      <c r="G245" s="9">
        <v>1998.0</v>
      </c>
      <c r="H245" s="10">
        <v>23.0</v>
      </c>
      <c r="I245" s="11">
        <v>627.0</v>
      </c>
      <c r="J245" s="11">
        <v>27.0</v>
      </c>
      <c r="K245" s="11" t="s">
        <v>1236</v>
      </c>
      <c r="L245" s="11" t="s">
        <v>1049</v>
      </c>
      <c r="M245" s="41">
        <v>0.03958333333333333</v>
      </c>
      <c r="N245" s="11">
        <v>76.0</v>
      </c>
      <c r="O245" s="43">
        <v>0.0</v>
      </c>
      <c r="P245" s="41">
        <v>0.1326388888888889</v>
      </c>
      <c r="Q245" s="11">
        <v>17.0</v>
      </c>
      <c r="R245" s="42">
        <v>0.02013888888888889</v>
      </c>
      <c r="S245" s="13">
        <v>0.06319444444444444</v>
      </c>
      <c r="T245" s="42">
        <v>0.07152777777777777</v>
      </c>
      <c r="U245" s="42">
        <v>0.07152777777777777</v>
      </c>
      <c r="V245" s="43">
        <v>0.0</v>
      </c>
      <c r="W245" s="21">
        <v>0.0</v>
      </c>
      <c r="X245" s="14" t="str">
        <f>+0.43</f>
        <v>#ERROR!</v>
      </c>
      <c r="Y245" s="16" t="s">
        <v>3506</v>
      </c>
    </row>
    <row r="246">
      <c r="A246" s="6">
        <v>236.0</v>
      </c>
      <c r="B246" s="7" t="s">
        <v>3507</v>
      </c>
      <c r="C246" s="8" t="s">
        <v>3508</v>
      </c>
      <c r="D246" s="9" t="s">
        <v>25</v>
      </c>
      <c r="E246" s="7" t="s">
        <v>3509</v>
      </c>
      <c r="F246" s="9">
        <v>26.0</v>
      </c>
      <c r="G246" s="9">
        <v>1997.0</v>
      </c>
      <c r="H246" s="10">
        <v>26.0</v>
      </c>
      <c r="I246" s="11">
        <v>1.902</v>
      </c>
      <c r="J246" s="11">
        <v>73.0</v>
      </c>
      <c r="K246" s="11" t="s">
        <v>99</v>
      </c>
      <c r="L246" s="11" t="s">
        <v>100</v>
      </c>
      <c r="M246" s="41">
        <v>0.044444444444444446</v>
      </c>
      <c r="N246" s="11">
        <v>82.0</v>
      </c>
      <c r="O246" s="42">
        <v>0.03958333333333333</v>
      </c>
      <c r="P246" s="41">
        <v>0.013194444444444444</v>
      </c>
      <c r="Q246" s="11">
        <v>26.0</v>
      </c>
      <c r="R246" s="43">
        <v>0.0</v>
      </c>
      <c r="S246" s="13">
        <v>0.07916666666666666</v>
      </c>
      <c r="T246" s="42">
        <v>0.07777777777777778</v>
      </c>
      <c r="U246" s="42">
        <v>0.05763888888888889</v>
      </c>
      <c r="V246" s="44">
        <v>0.019444444444444445</v>
      </c>
      <c r="W246" s="14" t="str">
        <f>+0.28</f>
        <v>#ERROR!</v>
      </c>
      <c r="X246" s="15">
        <v>-0.003472222222222222</v>
      </c>
      <c r="Y246" s="16" t="s">
        <v>3510</v>
      </c>
    </row>
    <row r="247">
      <c r="A247" s="6">
        <v>237.0</v>
      </c>
      <c r="B247" s="7" t="s">
        <v>3511</v>
      </c>
      <c r="C247" s="8" t="s">
        <v>3512</v>
      </c>
      <c r="D247" s="9" t="s">
        <v>52</v>
      </c>
      <c r="E247" s="7" t="s">
        <v>3513</v>
      </c>
      <c r="F247" s="9">
        <v>23.0</v>
      </c>
      <c r="G247" s="9">
        <v>2000.0</v>
      </c>
      <c r="H247" s="10">
        <v>2.0</v>
      </c>
      <c r="I247" s="11">
        <v>27.0</v>
      </c>
      <c r="J247" s="11">
        <v>14.0</v>
      </c>
      <c r="K247" s="11" t="s">
        <v>577</v>
      </c>
      <c r="L247" s="11" t="s">
        <v>195</v>
      </c>
      <c r="M247" s="46">
        <v>0.0</v>
      </c>
      <c r="N247" s="19"/>
      <c r="O247" s="43">
        <v>0.0</v>
      </c>
      <c r="P247" s="41">
        <v>0.2965277777777778</v>
      </c>
      <c r="Q247" s="11">
        <v>14.0</v>
      </c>
      <c r="R247" s="42">
        <v>0.2965277777777778</v>
      </c>
      <c r="S247" s="13">
        <v>0.034722222222222224</v>
      </c>
      <c r="T247" s="43">
        <v>0.0</v>
      </c>
      <c r="U247" s="43">
        <v>0.0</v>
      </c>
      <c r="V247" s="43">
        <v>0.0</v>
      </c>
      <c r="W247" s="21">
        <v>0.0</v>
      </c>
      <c r="X247" s="14" t="str">
        <f>+0.57</f>
        <v>#ERROR!</v>
      </c>
      <c r="Y247" s="16" t="s">
        <v>3514</v>
      </c>
    </row>
    <row r="248">
      <c r="A248" s="6">
        <v>238.0</v>
      </c>
      <c r="B248" s="7" t="s">
        <v>3515</v>
      </c>
      <c r="C248" s="8" t="s">
        <v>3516</v>
      </c>
      <c r="D248" s="9" t="s">
        <v>66</v>
      </c>
      <c r="E248" s="7" t="s">
        <v>3517</v>
      </c>
      <c r="F248" s="9">
        <v>31.0</v>
      </c>
      <c r="G248" s="9">
        <v>1992.0</v>
      </c>
      <c r="H248" s="10">
        <v>7.0</v>
      </c>
      <c r="I248" s="11">
        <v>193.0</v>
      </c>
      <c r="J248" s="11">
        <v>28.0</v>
      </c>
      <c r="K248" s="11" t="s">
        <v>35</v>
      </c>
      <c r="L248" s="11" t="s">
        <v>801</v>
      </c>
      <c r="M248" s="41">
        <v>0.03333333333333333</v>
      </c>
      <c r="N248" s="11">
        <v>48.0</v>
      </c>
      <c r="O248" s="43">
        <v>0.0</v>
      </c>
      <c r="P248" s="41">
        <v>0.14305555555555555</v>
      </c>
      <c r="Q248" s="11">
        <v>24.0</v>
      </c>
      <c r="R248" s="43">
        <v>0.0</v>
      </c>
      <c r="S248" s="13">
        <v>0.03958333333333333</v>
      </c>
      <c r="T248" s="42">
        <v>0.10972222222222222</v>
      </c>
      <c r="U248" s="42">
        <v>0.10972222222222222</v>
      </c>
      <c r="V248" s="43">
        <v>0.0</v>
      </c>
      <c r="W248" s="21">
        <v>0.0</v>
      </c>
      <c r="X248" s="14" t="str">
        <f>+0.36</f>
        <v>#ERROR!</v>
      </c>
      <c r="Y248" s="16" t="s">
        <v>3518</v>
      </c>
    </row>
    <row r="249">
      <c r="A249" s="6">
        <v>239.0</v>
      </c>
      <c r="B249" s="7" t="s">
        <v>3519</v>
      </c>
      <c r="C249" s="8" t="s">
        <v>3520</v>
      </c>
      <c r="D249" s="9" t="s">
        <v>52</v>
      </c>
      <c r="E249" s="7" t="s">
        <v>3521</v>
      </c>
      <c r="F249" s="9">
        <v>28.0</v>
      </c>
      <c r="G249" s="9">
        <v>1995.0</v>
      </c>
      <c r="H249" s="10">
        <v>29.0</v>
      </c>
      <c r="I249" s="11">
        <v>2.245</v>
      </c>
      <c r="J249" s="11">
        <v>77.0</v>
      </c>
      <c r="K249" s="11" t="s">
        <v>1253</v>
      </c>
      <c r="L249" s="11" t="s">
        <v>701</v>
      </c>
      <c r="M249" s="41">
        <v>0.041666666666666664</v>
      </c>
      <c r="N249" s="11">
        <v>86.0</v>
      </c>
      <c r="O249" s="42">
        <v>0.03611111111111111</v>
      </c>
      <c r="P249" s="41">
        <v>0.011111111111111112</v>
      </c>
      <c r="Q249" s="11">
        <v>24.0</v>
      </c>
      <c r="R249" s="43">
        <v>0.0</v>
      </c>
      <c r="S249" s="13">
        <v>0.10138888888888889</v>
      </c>
      <c r="T249" s="42">
        <v>0.09236111111111112</v>
      </c>
      <c r="U249" s="42">
        <v>0.05555555555555555</v>
      </c>
      <c r="V249" s="44">
        <v>0.06388888888888888</v>
      </c>
      <c r="W249" s="14" t="str">
        <f>+0.92</f>
        <v>#ERROR!</v>
      </c>
      <c r="X249" s="14" t="str">
        <f>+0.92</f>
        <v>#ERROR!</v>
      </c>
      <c r="Y249" s="16" t="s">
        <v>3522</v>
      </c>
    </row>
    <row r="250">
      <c r="A250" s="6">
        <v>240.0</v>
      </c>
      <c r="B250" s="7" t="s">
        <v>3523</v>
      </c>
      <c r="C250" s="8" t="s">
        <v>3524</v>
      </c>
      <c r="D250" s="9" t="s">
        <v>66</v>
      </c>
      <c r="E250" s="7" t="s">
        <v>3525</v>
      </c>
      <c r="F250" s="9">
        <v>28.0</v>
      </c>
      <c r="G250" s="9">
        <v>1995.0</v>
      </c>
      <c r="H250" s="10">
        <v>12.0</v>
      </c>
      <c r="I250" s="11">
        <v>955.0</v>
      </c>
      <c r="J250" s="11">
        <v>80.0</v>
      </c>
      <c r="K250" s="11" t="s">
        <v>1258</v>
      </c>
      <c r="L250" s="11" t="s">
        <v>901</v>
      </c>
      <c r="M250" s="41">
        <v>0.050694444444444445</v>
      </c>
      <c r="N250" s="11">
        <v>80.0</v>
      </c>
      <c r="O250" s="42">
        <v>0.059027777777777776</v>
      </c>
      <c r="P250" s="46">
        <v>0.0</v>
      </c>
      <c r="Q250" s="19"/>
      <c r="R250" s="43">
        <v>0.0</v>
      </c>
      <c r="S250" s="13">
        <v>0.08888888888888889</v>
      </c>
      <c r="T250" s="42">
        <v>0.08888888888888889</v>
      </c>
      <c r="U250" s="42">
        <v>0.052083333333333336</v>
      </c>
      <c r="V250" s="44">
        <v>0.06388888888888888</v>
      </c>
      <c r="W250" s="14" t="str">
        <f>+1.32</f>
        <v>#ERROR!</v>
      </c>
      <c r="X250" s="14" t="str">
        <f>+1.53</f>
        <v>#ERROR!</v>
      </c>
      <c r="Y250" s="16" t="s">
        <v>3526</v>
      </c>
    </row>
    <row r="251">
      <c r="A251" s="6">
        <v>241.0</v>
      </c>
      <c r="B251" s="7" t="s">
        <v>3527</v>
      </c>
      <c r="C251" s="8" t="s">
        <v>3528</v>
      </c>
      <c r="D251" s="9" t="s">
        <v>32</v>
      </c>
      <c r="E251" s="7" t="s">
        <v>3529</v>
      </c>
      <c r="F251" s="9">
        <v>30.0</v>
      </c>
      <c r="G251" s="9">
        <v>1993.0</v>
      </c>
      <c r="H251" s="10">
        <v>24.0</v>
      </c>
      <c r="I251" s="11">
        <v>1.307</v>
      </c>
      <c r="J251" s="11">
        <v>54.0</v>
      </c>
      <c r="K251" s="11" t="s">
        <v>140</v>
      </c>
      <c r="L251" s="11" t="s">
        <v>141</v>
      </c>
      <c r="M251" s="41">
        <v>0.04861111111111111</v>
      </c>
      <c r="N251" s="11">
        <v>70.0</v>
      </c>
      <c r="O251" s="42">
        <v>0.004861111111111111</v>
      </c>
      <c r="P251" s="41">
        <v>0.03819444444444445</v>
      </c>
      <c r="Q251" s="11">
        <v>23.0</v>
      </c>
      <c r="R251" s="42">
        <v>0.004861111111111111</v>
      </c>
      <c r="S251" s="13">
        <v>0.05486111111111111</v>
      </c>
      <c r="T251" s="42">
        <v>0.0625</v>
      </c>
      <c r="U251" s="42">
        <v>0.07291666666666667</v>
      </c>
      <c r="V251" s="45">
        <v>-0.03819444444444445</v>
      </c>
      <c r="W251" s="15">
        <v>-0.03819444444444445</v>
      </c>
      <c r="X251" s="14" t="str">
        <f>+0.03</f>
        <v>#ERROR!</v>
      </c>
      <c r="Y251" s="16" t="s">
        <v>3530</v>
      </c>
    </row>
    <row r="252">
      <c r="A252" s="6">
        <v>242.0</v>
      </c>
      <c r="B252" s="7" t="s">
        <v>3531</v>
      </c>
      <c r="C252" s="22"/>
      <c r="D252" s="9" t="s">
        <v>52</v>
      </c>
      <c r="E252" s="7" t="s">
        <v>3532</v>
      </c>
      <c r="F252" s="23"/>
      <c r="G252" s="23"/>
      <c r="H252" s="10">
        <v>7.0</v>
      </c>
      <c r="I252" s="11">
        <v>75.0</v>
      </c>
      <c r="J252" s="11">
        <v>11.0</v>
      </c>
      <c r="K252" s="11" t="s">
        <v>1266</v>
      </c>
      <c r="L252" s="11" t="s">
        <v>245</v>
      </c>
      <c r="M252" s="46">
        <v>0.0</v>
      </c>
      <c r="N252" s="19"/>
      <c r="O252" s="43">
        <v>0.0</v>
      </c>
      <c r="P252" s="41">
        <v>0.3854166666666667</v>
      </c>
      <c r="Q252" s="11">
        <v>11.0</v>
      </c>
      <c r="R252" s="48" t="s">
        <v>936</v>
      </c>
      <c r="S252" s="13">
        <v>0.11319444444444444</v>
      </c>
      <c r="T252" s="43">
        <v>0.0</v>
      </c>
      <c r="U252" s="42">
        <v>0.11805555555555555</v>
      </c>
      <c r="V252" s="45">
        <v>-0.11805555555555555</v>
      </c>
      <c r="W252" s="15">
        <v>-0.1111111111111111</v>
      </c>
      <c r="X252" s="15">
        <v>-0.1375</v>
      </c>
      <c r="Y252" s="16" t="s">
        <v>3533</v>
      </c>
    </row>
    <row r="253">
      <c r="A253" s="6">
        <v>243.0</v>
      </c>
      <c r="B253" s="7" t="s">
        <v>3534</v>
      </c>
      <c r="C253" s="8" t="s">
        <v>3535</v>
      </c>
      <c r="D253" s="9" t="s">
        <v>66</v>
      </c>
      <c r="E253" s="7" t="s">
        <v>3536</v>
      </c>
      <c r="F253" s="9">
        <v>25.0</v>
      </c>
      <c r="G253" s="9">
        <v>1999.0</v>
      </c>
      <c r="H253" s="10">
        <v>15.0</v>
      </c>
      <c r="I253" s="11">
        <v>476.0</v>
      </c>
      <c r="J253" s="11">
        <v>32.0</v>
      </c>
      <c r="K253" s="11" t="s">
        <v>1271</v>
      </c>
      <c r="L253" s="11" t="s">
        <v>811</v>
      </c>
      <c r="M253" s="41">
        <v>0.06527777777777778</v>
      </c>
      <c r="N253" s="11">
        <v>84.0</v>
      </c>
      <c r="O253" s="42">
        <v>0.052083333333333336</v>
      </c>
      <c r="P253" s="41">
        <v>0.10347222222222222</v>
      </c>
      <c r="Q253" s="11">
        <v>5.0</v>
      </c>
      <c r="R253" s="42">
        <v>0.14097222222222222</v>
      </c>
      <c r="S253" s="13">
        <v>0.04652777777777778</v>
      </c>
      <c r="T253" s="42">
        <v>0.06527777777777778</v>
      </c>
      <c r="U253" s="42">
        <v>0.09027777777777778</v>
      </c>
      <c r="V253" s="45">
        <v>-0.052083333333333336</v>
      </c>
      <c r="W253" s="15">
        <v>-0.05277777777777778</v>
      </c>
      <c r="X253" s="15">
        <v>-0.01597222222222222</v>
      </c>
      <c r="Y253" s="16" t="s">
        <v>3537</v>
      </c>
    </row>
    <row r="254">
      <c r="A254" s="6">
        <v>244.0</v>
      </c>
      <c r="B254" s="7" t="s">
        <v>3538</v>
      </c>
      <c r="C254" s="8" t="s">
        <v>3539</v>
      </c>
      <c r="D254" s="9" t="s">
        <v>32</v>
      </c>
      <c r="E254" s="7" t="s">
        <v>3540</v>
      </c>
      <c r="F254" s="9">
        <v>19.0</v>
      </c>
      <c r="G254" s="9">
        <v>2004.0</v>
      </c>
      <c r="H254" s="10">
        <v>1.0</v>
      </c>
      <c r="I254" s="11">
        <v>1.0</v>
      </c>
      <c r="J254" s="11">
        <v>1.0</v>
      </c>
      <c r="K254" s="12" t="s">
        <v>470</v>
      </c>
      <c r="L254" s="12" t="s">
        <v>470</v>
      </c>
      <c r="M254" s="18">
        <v>0.0</v>
      </c>
      <c r="N254" s="19"/>
      <c r="O254" s="12">
        <v>0.0</v>
      </c>
      <c r="P254" s="10">
        <v>1.0</v>
      </c>
      <c r="Q254" s="11">
        <v>1.0</v>
      </c>
      <c r="R254" s="12">
        <v>0.0</v>
      </c>
      <c r="S254" s="13">
        <v>0.125</v>
      </c>
      <c r="T254" s="12">
        <v>0.0</v>
      </c>
      <c r="U254" s="12">
        <v>0.0</v>
      </c>
      <c r="V254" s="12">
        <v>0.0</v>
      </c>
      <c r="W254" s="21">
        <v>0.0</v>
      </c>
      <c r="X254" s="14" t="str">
        <f>+0.70</f>
        <v>#ERROR!</v>
      </c>
      <c r="Y254" s="16" t="s">
        <v>3541</v>
      </c>
    </row>
    <row r="255">
      <c r="A255" s="6">
        <v>245.0</v>
      </c>
      <c r="B255" s="7" t="s">
        <v>3542</v>
      </c>
      <c r="C255" s="8" t="s">
        <v>3543</v>
      </c>
      <c r="D255" s="9" t="s">
        <v>32</v>
      </c>
      <c r="E255" s="7" t="s">
        <v>3544</v>
      </c>
      <c r="F255" s="9">
        <v>25.0</v>
      </c>
      <c r="G255" s="9">
        <v>1998.0</v>
      </c>
      <c r="H255" s="18">
        <v>0.0</v>
      </c>
      <c r="I255" s="19"/>
      <c r="J255" s="19"/>
      <c r="K255" s="19"/>
      <c r="L255" s="19"/>
      <c r="M255" s="18">
        <v>0.0</v>
      </c>
      <c r="N255" s="19"/>
      <c r="O255" s="12">
        <v>0.0</v>
      </c>
      <c r="P255" s="18">
        <v>0.0</v>
      </c>
      <c r="Q255" s="19"/>
      <c r="R255" s="11">
        <v>1.0</v>
      </c>
      <c r="S255" s="24"/>
      <c r="T255" s="19"/>
      <c r="U255" s="19"/>
      <c r="V255" s="19"/>
      <c r="W255" s="19"/>
      <c r="X255" s="19"/>
      <c r="Y255" s="16" t="s">
        <v>3545</v>
      </c>
    </row>
    <row r="256">
      <c r="A256" s="6">
        <v>246.0</v>
      </c>
      <c r="B256" s="7" t="s">
        <v>3546</v>
      </c>
      <c r="C256" s="8" t="s">
        <v>3547</v>
      </c>
      <c r="D256" s="9" t="s">
        <v>66</v>
      </c>
      <c r="E256" s="7" t="s">
        <v>3548</v>
      </c>
      <c r="F256" s="9">
        <v>17.0</v>
      </c>
      <c r="G256" s="9">
        <v>2006.0</v>
      </c>
      <c r="H256" s="18">
        <v>0.0</v>
      </c>
      <c r="I256" s="19"/>
      <c r="J256" s="19"/>
      <c r="K256" s="19"/>
      <c r="L256" s="19"/>
      <c r="M256" s="18">
        <v>0.0</v>
      </c>
      <c r="N256" s="19"/>
      <c r="O256" s="12">
        <v>0.0</v>
      </c>
      <c r="P256" s="18">
        <v>0.0</v>
      </c>
      <c r="Q256" s="19"/>
      <c r="R256" s="11">
        <v>1.0</v>
      </c>
      <c r="S256" s="24"/>
      <c r="T256" s="19"/>
      <c r="U256" s="19"/>
      <c r="V256" s="19"/>
      <c r="W256" s="19"/>
      <c r="X256" s="19"/>
      <c r="Y256" s="16" t="s">
        <v>3549</v>
      </c>
    </row>
    <row r="257">
      <c r="A257" s="6">
        <v>247.0</v>
      </c>
      <c r="B257" s="7" t="s">
        <v>3550</v>
      </c>
      <c r="C257" s="8" t="s">
        <v>3551</v>
      </c>
      <c r="D257" s="9" t="s">
        <v>59</v>
      </c>
      <c r="E257" s="7" t="s">
        <v>3552</v>
      </c>
      <c r="F257" s="9">
        <v>23.0</v>
      </c>
      <c r="G257" s="9">
        <v>2000.0</v>
      </c>
      <c r="H257" s="10">
        <v>15.0</v>
      </c>
      <c r="I257" s="11">
        <v>484.0</v>
      </c>
      <c r="J257" s="11">
        <v>32.0</v>
      </c>
      <c r="K257" s="11" t="s">
        <v>1288</v>
      </c>
      <c r="L257" s="11" t="s">
        <v>1289</v>
      </c>
      <c r="M257" s="41">
        <v>0.06458333333333334</v>
      </c>
      <c r="N257" s="11">
        <v>65.0</v>
      </c>
      <c r="O257" s="43">
        <v>0.0</v>
      </c>
      <c r="P257" s="41">
        <v>0.10069444444444445</v>
      </c>
      <c r="Q257" s="11">
        <v>16.0</v>
      </c>
      <c r="R257" s="42">
        <v>0.025694444444444443</v>
      </c>
      <c r="S257" s="13">
        <v>0.08333333333333333</v>
      </c>
      <c r="T257" s="42">
        <v>0.08611111111111111</v>
      </c>
      <c r="U257" s="42">
        <v>0.075</v>
      </c>
      <c r="V257" s="44">
        <v>0.03888888888888889</v>
      </c>
      <c r="W257" s="14" t="str">
        <f>+0.56</f>
        <v>#ERROR!</v>
      </c>
      <c r="X257" s="15">
        <v>-0.04375</v>
      </c>
      <c r="Y257" s="16" t="s">
        <v>3553</v>
      </c>
    </row>
    <row r="258">
      <c r="A258" s="6">
        <v>248.0</v>
      </c>
      <c r="B258" s="7" t="s">
        <v>3554</v>
      </c>
      <c r="C258" s="8" t="s">
        <v>3555</v>
      </c>
      <c r="D258" s="9" t="s">
        <v>66</v>
      </c>
      <c r="E258" s="7" t="s">
        <v>3556</v>
      </c>
      <c r="F258" s="9">
        <v>19.0</v>
      </c>
      <c r="G258" s="9">
        <v>2004.0</v>
      </c>
      <c r="H258" s="18">
        <v>0.0</v>
      </c>
      <c r="I258" s="19"/>
      <c r="J258" s="19"/>
      <c r="K258" s="19"/>
      <c r="L258" s="19"/>
      <c r="M258" s="18">
        <v>0.0</v>
      </c>
      <c r="N258" s="19"/>
      <c r="O258" s="12">
        <v>0.0</v>
      </c>
      <c r="P258" s="18">
        <v>0.0</v>
      </c>
      <c r="Q258" s="19"/>
      <c r="R258" s="11">
        <v>1.0</v>
      </c>
      <c r="S258" s="24"/>
      <c r="T258" s="19"/>
      <c r="U258" s="19"/>
      <c r="V258" s="19"/>
      <c r="W258" s="19"/>
      <c r="X258" s="19"/>
      <c r="Y258" s="16" t="s">
        <v>3557</v>
      </c>
    </row>
    <row r="259">
      <c r="A259" s="6">
        <v>249.0</v>
      </c>
      <c r="B259" s="7" t="s">
        <v>3558</v>
      </c>
      <c r="C259" s="8" t="s">
        <v>3559</v>
      </c>
      <c r="D259" s="9" t="s">
        <v>52</v>
      </c>
      <c r="E259" s="7" t="s">
        <v>3560</v>
      </c>
      <c r="F259" s="9">
        <v>21.0</v>
      </c>
      <c r="G259" s="9">
        <v>2002.0</v>
      </c>
      <c r="H259" s="10">
        <v>11.0</v>
      </c>
      <c r="I259" s="11">
        <v>415.0</v>
      </c>
      <c r="J259" s="11">
        <v>38.0</v>
      </c>
      <c r="K259" s="11" t="s">
        <v>392</v>
      </c>
      <c r="L259" s="11" t="s">
        <v>303</v>
      </c>
      <c r="M259" s="41">
        <v>0.04791666666666667</v>
      </c>
      <c r="N259" s="11">
        <v>50.0</v>
      </c>
      <c r="O259" s="43">
        <v>0.0</v>
      </c>
      <c r="P259" s="41">
        <v>0.0625</v>
      </c>
      <c r="Q259" s="11">
        <v>28.0</v>
      </c>
      <c r="R259" s="42">
        <v>0.04791666666666667</v>
      </c>
      <c r="S259" s="13">
        <v>0.05416666666666667</v>
      </c>
      <c r="T259" s="42">
        <v>0.10833333333333334</v>
      </c>
      <c r="U259" s="42">
        <v>0.07777777777777778</v>
      </c>
      <c r="V259" s="44">
        <v>0.029861111111111113</v>
      </c>
      <c r="W259" s="14" t="str">
        <f>+0.43</f>
        <v>#ERROR!</v>
      </c>
      <c r="X259" s="14" t="str">
        <f>+0.91</f>
        <v>#ERROR!</v>
      </c>
      <c r="Y259" s="16" t="s">
        <v>3561</v>
      </c>
    </row>
    <row r="260">
      <c r="A260" s="6">
        <v>250.0</v>
      </c>
      <c r="B260" s="7" t="s">
        <v>3562</v>
      </c>
      <c r="C260" s="8" t="s">
        <v>3563</v>
      </c>
      <c r="D260" s="9" t="s">
        <v>25</v>
      </c>
      <c r="E260" s="7" t="s">
        <v>3564</v>
      </c>
      <c r="F260" s="9">
        <v>26.0</v>
      </c>
      <c r="G260" s="9">
        <v>1997.0</v>
      </c>
      <c r="H260" s="10">
        <v>17.0</v>
      </c>
      <c r="I260" s="11">
        <v>946.0</v>
      </c>
      <c r="J260" s="11">
        <v>56.0</v>
      </c>
      <c r="K260" s="11" t="s">
        <v>1302</v>
      </c>
      <c r="L260" s="11" t="s">
        <v>908</v>
      </c>
      <c r="M260" s="41">
        <v>0.06597222222222222</v>
      </c>
      <c r="N260" s="11">
        <v>81.0</v>
      </c>
      <c r="O260" s="42">
        <v>0.03958333333333333</v>
      </c>
      <c r="P260" s="41">
        <v>0.04652777777777778</v>
      </c>
      <c r="Q260" s="11">
        <v>19.0</v>
      </c>
      <c r="R260" s="42">
        <v>0.05138888888888889</v>
      </c>
      <c r="S260" s="13">
        <v>0.07013888888888889</v>
      </c>
      <c r="T260" s="42">
        <v>0.09791666666666667</v>
      </c>
      <c r="U260" s="42">
        <v>0.07152777777777777</v>
      </c>
      <c r="V260" s="44">
        <v>0.02638888888888889</v>
      </c>
      <c r="W260" s="14" t="str">
        <f>+0.38</f>
        <v>#ERROR!</v>
      </c>
      <c r="X260" s="14" t="str">
        <f>+0.18</f>
        <v>#ERROR!</v>
      </c>
      <c r="Y260" s="16" t="s">
        <v>3565</v>
      </c>
    </row>
    <row r="261">
      <c r="A261" s="25" t="s">
        <v>0</v>
      </c>
      <c r="B261" s="26" t="s">
        <v>1</v>
      </c>
      <c r="C261" s="27" t="s">
        <v>2</v>
      </c>
      <c r="D261" s="27" t="s">
        <v>3</v>
      </c>
      <c r="E261" s="27" t="s">
        <v>4</v>
      </c>
      <c r="F261" s="27" t="s">
        <v>5</v>
      </c>
      <c r="G261" s="27" t="s">
        <v>6</v>
      </c>
      <c r="H261" s="28" t="s">
        <v>7</v>
      </c>
      <c r="I261" s="27" t="s">
        <v>8</v>
      </c>
      <c r="J261" s="27" t="s">
        <v>9</v>
      </c>
      <c r="K261" s="27" t="s">
        <v>10</v>
      </c>
      <c r="L261" s="27" t="s">
        <v>11</v>
      </c>
      <c r="M261" s="28" t="s">
        <v>12</v>
      </c>
      <c r="N261" s="27" t="s">
        <v>13</v>
      </c>
      <c r="O261" s="27" t="s">
        <v>14</v>
      </c>
      <c r="P261" s="28" t="s">
        <v>15</v>
      </c>
      <c r="Q261" s="27" t="s">
        <v>16</v>
      </c>
      <c r="R261" s="27" t="s">
        <v>17</v>
      </c>
      <c r="S261" s="28" t="s">
        <v>18</v>
      </c>
      <c r="T261" s="27" t="s">
        <v>19</v>
      </c>
      <c r="U261" s="27" t="s">
        <v>20</v>
      </c>
      <c r="V261" s="29" t="str">
        <f>+/-</f>
        <v>#ERROR!</v>
      </c>
      <c r="W261" s="29" t="str">
        <f>+/-90</f>
        <v>#ERROR!</v>
      </c>
      <c r="X261" s="27" t="s">
        <v>21</v>
      </c>
      <c r="Y261" s="28" t="s">
        <v>22</v>
      </c>
    </row>
    <row r="262">
      <c r="A262" s="6">
        <v>251.0</v>
      </c>
      <c r="B262" s="7" t="s">
        <v>3566</v>
      </c>
      <c r="C262" s="8" t="s">
        <v>3567</v>
      </c>
      <c r="D262" s="9" t="s">
        <v>66</v>
      </c>
      <c r="E262" s="7" t="s">
        <v>3568</v>
      </c>
      <c r="F262" s="9">
        <v>22.0</v>
      </c>
      <c r="G262" s="9">
        <v>2001.0</v>
      </c>
      <c r="H262" s="10">
        <v>26.0</v>
      </c>
      <c r="I262" s="11">
        <v>1.961</v>
      </c>
      <c r="J262" s="11">
        <v>75.0</v>
      </c>
      <c r="K262" s="11" t="s">
        <v>493</v>
      </c>
      <c r="L262" s="11" t="s">
        <v>494</v>
      </c>
      <c r="M262" s="41">
        <v>0.04861111111111111</v>
      </c>
      <c r="N262" s="11">
        <v>80.0</v>
      </c>
      <c r="O262" s="42">
        <v>0.041666666666666664</v>
      </c>
      <c r="P262" s="41">
        <v>0.00625</v>
      </c>
      <c r="Q262" s="11">
        <v>24.0</v>
      </c>
      <c r="R262" s="43">
        <v>0.0</v>
      </c>
      <c r="S262" s="13">
        <v>0.06041666666666667</v>
      </c>
      <c r="T262" s="42">
        <v>0.052083333333333336</v>
      </c>
      <c r="U262" s="42">
        <v>0.09930555555555555</v>
      </c>
      <c r="V262" s="45">
        <v>-0.04791666666666667</v>
      </c>
      <c r="W262" s="15">
        <v>-0.04791666666666667</v>
      </c>
      <c r="X262" s="14" t="str">
        <f>+0.04</f>
        <v>#ERROR!</v>
      </c>
      <c r="Y262" s="16" t="s">
        <v>3569</v>
      </c>
    </row>
    <row r="263">
      <c r="A263" s="6">
        <v>252.0</v>
      </c>
      <c r="B263" s="7" t="s">
        <v>3570</v>
      </c>
      <c r="C263" s="8" t="s">
        <v>3571</v>
      </c>
      <c r="D263" s="9" t="s">
        <v>32</v>
      </c>
      <c r="E263" s="7" t="s">
        <v>3572</v>
      </c>
      <c r="F263" s="9">
        <v>26.0</v>
      </c>
      <c r="G263" s="9">
        <v>1997.0</v>
      </c>
      <c r="H263" s="10">
        <v>22.0</v>
      </c>
      <c r="I263" s="11">
        <v>1.461</v>
      </c>
      <c r="J263" s="11">
        <v>66.0</v>
      </c>
      <c r="K263" s="11" t="s">
        <v>1311</v>
      </c>
      <c r="L263" s="11" t="s">
        <v>981</v>
      </c>
      <c r="M263" s="41">
        <v>0.04513888888888889</v>
      </c>
      <c r="N263" s="11">
        <v>81.0</v>
      </c>
      <c r="O263" s="42">
        <v>0.029861111111111113</v>
      </c>
      <c r="P263" s="41">
        <v>0.021527777777777778</v>
      </c>
      <c r="Q263" s="11">
        <v>17.0</v>
      </c>
      <c r="R263" s="42">
        <v>0.017361111111111112</v>
      </c>
      <c r="S263" s="13">
        <v>0.06388888888888888</v>
      </c>
      <c r="T263" s="42">
        <v>0.0625</v>
      </c>
      <c r="U263" s="42">
        <v>0.059722222222222225</v>
      </c>
      <c r="V263" s="44">
        <v>0.029861111111111113</v>
      </c>
      <c r="W263" s="14" t="str">
        <f>+0.43</f>
        <v>#ERROR!</v>
      </c>
      <c r="X263" s="14" t="str">
        <f>+1.67</f>
        <v>#ERROR!</v>
      </c>
      <c r="Y263" s="16" t="s">
        <v>3573</v>
      </c>
    </row>
    <row r="264">
      <c r="A264" s="6">
        <v>253.0</v>
      </c>
      <c r="B264" s="7" t="s">
        <v>3574</v>
      </c>
      <c r="C264" s="8" t="s">
        <v>3575</v>
      </c>
      <c r="D264" s="9" t="s">
        <v>32</v>
      </c>
      <c r="E264" s="7" t="s">
        <v>3576</v>
      </c>
      <c r="F264" s="9">
        <v>18.0</v>
      </c>
      <c r="G264" s="9">
        <v>2005.0</v>
      </c>
      <c r="H264" s="10">
        <v>1.0</v>
      </c>
      <c r="I264" s="11">
        <v>4.0</v>
      </c>
      <c r="J264" s="11">
        <v>4.0</v>
      </c>
      <c r="K264" s="11" t="s">
        <v>155</v>
      </c>
      <c r="L264" s="12" t="s">
        <v>470</v>
      </c>
      <c r="M264" s="18">
        <v>0.0</v>
      </c>
      <c r="N264" s="19"/>
      <c r="O264" s="12">
        <v>0.0</v>
      </c>
      <c r="P264" s="10">
        <v>1.0</v>
      </c>
      <c r="Q264" s="11">
        <v>4.0</v>
      </c>
      <c r="R264" s="11">
        <v>6.0</v>
      </c>
      <c r="S264" s="20">
        <v>0.0</v>
      </c>
      <c r="T264" s="12">
        <v>0.0</v>
      </c>
      <c r="U264" s="12">
        <v>0.0</v>
      </c>
      <c r="V264" s="12">
        <v>0.0</v>
      </c>
      <c r="W264" s="21">
        <v>0.0</v>
      </c>
      <c r="X264" s="15">
        <v>-0.05347222222222222</v>
      </c>
      <c r="Y264" s="16" t="s">
        <v>3577</v>
      </c>
    </row>
    <row r="265">
      <c r="A265" s="6">
        <v>254.0</v>
      </c>
      <c r="B265" s="7" t="s">
        <v>3578</v>
      </c>
      <c r="C265" s="8" t="s">
        <v>3579</v>
      </c>
      <c r="D265" s="9" t="s">
        <v>284</v>
      </c>
      <c r="E265" s="7" t="s">
        <v>3580</v>
      </c>
      <c r="F265" s="9">
        <v>26.0</v>
      </c>
      <c r="G265" s="9">
        <v>1997.0</v>
      </c>
      <c r="H265" s="10">
        <v>17.0</v>
      </c>
      <c r="I265" s="11">
        <v>1.386</v>
      </c>
      <c r="J265" s="11">
        <v>82.0</v>
      </c>
      <c r="K265" s="11" t="s">
        <v>1320</v>
      </c>
      <c r="L265" s="11" t="s">
        <v>392</v>
      </c>
      <c r="M265" s="41">
        <v>0.044444444444444446</v>
      </c>
      <c r="N265" s="11">
        <v>86.0</v>
      </c>
      <c r="O265" s="42">
        <v>0.04027777777777778</v>
      </c>
      <c r="P265" s="41">
        <v>0.004166666666666667</v>
      </c>
      <c r="Q265" s="11">
        <v>15.0</v>
      </c>
      <c r="R265" s="43">
        <v>0.0</v>
      </c>
      <c r="S265" s="13">
        <v>0.041666666666666664</v>
      </c>
      <c r="T265" s="42">
        <v>0.044444444444444446</v>
      </c>
      <c r="U265" s="42">
        <v>0.09375</v>
      </c>
      <c r="V265" s="45">
        <v>-0.049305555555555554</v>
      </c>
      <c r="W265" s="15">
        <v>-0.049305555555555554</v>
      </c>
      <c r="X265" s="15">
        <v>-0.006944444444444444</v>
      </c>
      <c r="Y265" s="16" t="s">
        <v>3581</v>
      </c>
    </row>
    <row r="266">
      <c r="A266" s="6">
        <v>255.0</v>
      </c>
      <c r="B266" s="7" t="s">
        <v>3582</v>
      </c>
      <c r="C266" s="8" t="s">
        <v>3583</v>
      </c>
      <c r="D266" s="9" t="s">
        <v>25</v>
      </c>
      <c r="E266" s="7" t="s">
        <v>3584</v>
      </c>
      <c r="F266" s="9">
        <v>20.0</v>
      </c>
      <c r="G266" s="9">
        <v>2004.0</v>
      </c>
      <c r="H266" s="10">
        <v>25.0</v>
      </c>
      <c r="I266" s="11">
        <v>1.59</v>
      </c>
      <c r="J266" s="11">
        <v>64.0</v>
      </c>
      <c r="K266" s="11" t="s">
        <v>1325</v>
      </c>
      <c r="L266" s="11" t="s">
        <v>609</v>
      </c>
      <c r="M266" s="41">
        <v>0.04652777777777778</v>
      </c>
      <c r="N266" s="11">
        <v>79.0</v>
      </c>
      <c r="O266" s="42">
        <v>0.03125</v>
      </c>
      <c r="P266" s="41">
        <v>0.02361111111111111</v>
      </c>
      <c r="Q266" s="11">
        <v>16.0</v>
      </c>
      <c r="R266" s="42">
        <v>0.019444444444444445</v>
      </c>
      <c r="S266" s="13">
        <v>0.08611111111111111</v>
      </c>
      <c r="T266" s="42">
        <v>0.08194444444444444</v>
      </c>
      <c r="U266" s="42">
        <v>0.04722222222222222</v>
      </c>
      <c r="V266" s="44">
        <v>0.0625</v>
      </c>
      <c r="W266" s="14" t="str">
        <f>+0.91</f>
        <v>#ERROR!</v>
      </c>
      <c r="X266" s="14" t="str">
        <f>+0.34</f>
        <v>#ERROR!</v>
      </c>
      <c r="Y266" s="16" t="s">
        <v>3585</v>
      </c>
    </row>
    <row r="267">
      <c r="A267" s="6">
        <v>256.0</v>
      </c>
      <c r="B267" s="7" t="s">
        <v>3586</v>
      </c>
      <c r="C267" s="8" t="s">
        <v>3587</v>
      </c>
      <c r="D267" s="9" t="s">
        <v>66</v>
      </c>
      <c r="E267" s="7" t="s">
        <v>3588</v>
      </c>
      <c r="F267" s="9">
        <v>28.0</v>
      </c>
      <c r="G267" s="9">
        <v>1995.0</v>
      </c>
      <c r="H267" s="10">
        <v>3.0</v>
      </c>
      <c r="I267" s="11">
        <v>126.0</v>
      </c>
      <c r="J267" s="11">
        <v>42.0</v>
      </c>
      <c r="K267" s="11" t="s">
        <v>1012</v>
      </c>
      <c r="L267" s="11" t="s">
        <v>941</v>
      </c>
      <c r="M267" s="41">
        <v>0.07152777777777777</v>
      </c>
      <c r="N267" s="11">
        <v>63.0</v>
      </c>
      <c r="O267" s="42">
        <v>0.049305555555555554</v>
      </c>
      <c r="P267" s="41">
        <v>0.049305555555555554</v>
      </c>
      <c r="Q267" s="11">
        <v>1.0</v>
      </c>
      <c r="R267" s="42">
        <v>0.20833333333333334</v>
      </c>
      <c r="S267" s="13">
        <v>0.10625</v>
      </c>
      <c r="T267" s="42">
        <v>0.07152777777777777</v>
      </c>
      <c r="U267" s="42">
        <v>0.049305555555555554</v>
      </c>
      <c r="V267" s="44">
        <v>0.049305555555555554</v>
      </c>
      <c r="W267" s="14" t="str">
        <f>+0.71</f>
        <v>#ERROR!</v>
      </c>
      <c r="X267" s="14" t="str">
        <f>+0.71</f>
        <v>#ERROR!</v>
      </c>
      <c r="Y267" s="16" t="s">
        <v>3589</v>
      </c>
    </row>
    <row r="268">
      <c r="A268" s="6">
        <v>257.0</v>
      </c>
      <c r="B268" s="7" t="s">
        <v>3590</v>
      </c>
      <c r="C268" s="8" t="s">
        <v>3591</v>
      </c>
      <c r="D268" s="9" t="s">
        <v>73</v>
      </c>
      <c r="E268" s="7" t="s">
        <v>3592</v>
      </c>
      <c r="F268" s="9">
        <v>27.0</v>
      </c>
      <c r="G268" s="9">
        <v>1997.0</v>
      </c>
      <c r="H268" s="10">
        <v>14.0</v>
      </c>
      <c r="I268" s="11">
        <v>1.26</v>
      </c>
      <c r="J268" s="11">
        <v>90.0</v>
      </c>
      <c r="K268" s="11" t="s">
        <v>1334</v>
      </c>
      <c r="L268" s="11" t="s">
        <v>1335</v>
      </c>
      <c r="M268" s="41">
        <v>0.041666666666666664</v>
      </c>
      <c r="N268" s="11">
        <v>90.0</v>
      </c>
      <c r="O268" s="42">
        <v>0.041666666666666664</v>
      </c>
      <c r="P268" s="46">
        <v>0.0</v>
      </c>
      <c r="Q268" s="19"/>
      <c r="R268" s="43">
        <v>0.0</v>
      </c>
      <c r="S268" s="13">
        <v>0.06458333333333334</v>
      </c>
      <c r="T268" s="42">
        <v>0.04652777777777778</v>
      </c>
      <c r="U268" s="42">
        <v>0.05625</v>
      </c>
      <c r="V268" s="45">
        <v>-0.009722222222222222</v>
      </c>
      <c r="W268" s="15">
        <v>-0.009722222222222222</v>
      </c>
      <c r="X268" s="14" t="str">
        <f>+0.36</f>
        <v>#ERROR!</v>
      </c>
      <c r="Y268" s="16" t="s">
        <v>3593</v>
      </c>
    </row>
    <row r="269">
      <c r="A269" s="6">
        <v>258.0</v>
      </c>
      <c r="B269" s="7" t="s">
        <v>3594</v>
      </c>
      <c r="C269" s="8" t="s">
        <v>3595</v>
      </c>
      <c r="D269" s="9" t="s">
        <v>52</v>
      </c>
      <c r="E269" s="7" t="s">
        <v>3596</v>
      </c>
      <c r="F269" s="9">
        <v>27.0</v>
      </c>
      <c r="G269" s="9">
        <v>1996.0</v>
      </c>
      <c r="H269" s="10">
        <v>4.0</v>
      </c>
      <c r="I269" s="11">
        <v>137.0</v>
      </c>
      <c r="J269" s="11">
        <v>34.0</v>
      </c>
      <c r="K269" s="11" t="s">
        <v>169</v>
      </c>
      <c r="L269" s="11" t="s">
        <v>256</v>
      </c>
      <c r="M269" s="41">
        <v>0.06458333333333334</v>
      </c>
      <c r="N269" s="11">
        <v>62.0</v>
      </c>
      <c r="O269" s="43">
        <v>0.0</v>
      </c>
      <c r="P269" s="41">
        <v>0.06458333333333334</v>
      </c>
      <c r="Q269" s="11">
        <v>7.0</v>
      </c>
      <c r="R269" s="42">
        <v>0.21319444444444444</v>
      </c>
      <c r="S269" s="13">
        <v>0.041666666666666664</v>
      </c>
      <c r="T269" s="42">
        <v>0.08333333333333333</v>
      </c>
      <c r="U269" s="42">
        <v>0.12986111111111112</v>
      </c>
      <c r="V269" s="45">
        <v>-0.04652777777777778</v>
      </c>
      <c r="W269" s="15">
        <v>-0.04583333333333333</v>
      </c>
      <c r="X269" s="15">
        <v>-0.02361111111111111</v>
      </c>
      <c r="Y269" s="16" t="s">
        <v>3597</v>
      </c>
    </row>
    <row r="270">
      <c r="A270" s="6">
        <v>259.0</v>
      </c>
      <c r="B270" s="7" t="s">
        <v>3598</v>
      </c>
      <c r="C270" s="8" t="s">
        <v>3599</v>
      </c>
      <c r="D270" s="9" t="s">
        <v>59</v>
      </c>
      <c r="E270" s="7" t="s">
        <v>3600</v>
      </c>
      <c r="F270" s="9">
        <v>28.0</v>
      </c>
      <c r="G270" s="9">
        <v>1995.0</v>
      </c>
      <c r="H270" s="10">
        <v>15.0</v>
      </c>
      <c r="I270" s="11">
        <v>550.0</v>
      </c>
      <c r="J270" s="11">
        <v>37.0</v>
      </c>
      <c r="K270" s="11" t="s">
        <v>1344</v>
      </c>
      <c r="L270" s="11" t="s">
        <v>274</v>
      </c>
      <c r="M270" s="41">
        <v>0.052083333333333336</v>
      </c>
      <c r="N270" s="11">
        <v>59.0</v>
      </c>
      <c r="O270" s="43">
        <v>0.0</v>
      </c>
      <c r="P270" s="41">
        <v>0.06319444444444444</v>
      </c>
      <c r="Q270" s="11">
        <v>17.0</v>
      </c>
      <c r="R270" s="42">
        <v>0.034027777777777775</v>
      </c>
      <c r="S270" s="13">
        <v>0.06041666666666667</v>
      </c>
      <c r="T270" s="42">
        <v>0.06805555555555555</v>
      </c>
      <c r="U270" s="42">
        <v>0.09722222222222222</v>
      </c>
      <c r="V270" s="45">
        <v>-0.05694444444444444</v>
      </c>
      <c r="W270" s="15">
        <v>-0.05694444444444444</v>
      </c>
      <c r="X270" s="15">
        <v>-0.010416666666666666</v>
      </c>
      <c r="Y270" s="16" t="s">
        <v>3601</v>
      </c>
    </row>
    <row r="271">
      <c r="A271" s="6">
        <v>260.0</v>
      </c>
      <c r="B271" s="7" t="s">
        <v>3602</v>
      </c>
      <c r="C271" s="8" t="s">
        <v>3603</v>
      </c>
      <c r="D271" s="9" t="s">
        <v>32</v>
      </c>
      <c r="E271" s="7" t="s">
        <v>3604</v>
      </c>
      <c r="F271" s="9">
        <v>31.0</v>
      </c>
      <c r="G271" s="9">
        <v>1992.0</v>
      </c>
      <c r="H271" s="10">
        <v>26.0</v>
      </c>
      <c r="I271" s="11">
        <v>1.817</v>
      </c>
      <c r="J271" s="11">
        <v>70.0</v>
      </c>
      <c r="K271" s="11" t="s">
        <v>1349</v>
      </c>
      <c r="L271" s="11" t="s">
        <v>273</v>
      </c>
      <c r="M271" s="41">
        <v>0.044444444444444446</v>
      </c>
      <c r="N271" s="11">
        <v>80.0</v>
      </c>
      <c r="O271" s="42">
        <v>0.04097222222222222</v>
      </c>
      <c r="P271" s="41">
        <v>0.017361111111111112</v>
      </c>
      <c r="Q271" s="11">
        <v>26.0</v>
      </c>
      <c r="R271" s="42">
        <v>0.003472222222222222</v>
      </c>
      <c r="S271" s="13">
        <v>0.09166666666666666</v>
      </c>
      <c r="T271" s="42">
        <v>0.12986111111111112</v>
      </c>
      <c r="U271" s="42">
        <v>0.044444444444444446</v>
      </c>
      <c r="V271" s="44">
        <v>0.08541666666666667</v>
      </c>
      <c r="W271" s="14" t="str">
        <f>+2.03</f>
        <v>#ERROR!</v>
      </c>
      <c r="X271" s="14" t="str">
        <f>+1.93</f>
        <v>#ERROR!</v>
      </c>
      <c r="Y271" s="16" t="s">
        <v>3605</v>
      </c>
    </row>
    <row r="272">
      <c r="A272" s="6">
        <v>261.0</v>
      </c>
      <c r="B272" s="7" t="s">
        <v>3606</v>
      </c>
      <c r="C272" s="8" t="s">
        <v>3607</v>
      </c>
      <c r="D272" s="9" t="s">
        <v>66</v>
      </c>
      <c r="E272" s="7" t="s">
        <v>3608</v>
      </c>
      <c r="F272" s="9">
        <v>23.0</v>
      </c>
      <c r="G272" s="9">
        <v>2000.0</v>
      </c>
      <c r="H272" s="10">
        <v>20.0</v>
      </c>
      <c r="I272" s="11">
        <v>980.0</v>
      </c>
      <c r="J272" s="11">
        <v>49.0</v>
      </c>
      <c r="K272" s="11" t="s">
        <v>1354</v>
      </c>
      <c r="L272" s="11" t="s">
        <v>770</v>
      </c>
      <c r="M272" s="41">
        <v>0.05763888888888889</v>
      </c>
      <c r="N272" s="11">
        <v>85.0</v>
      </c>
      <c r="O272" s="42">
        <v>0.03819444444444445</v>
      </c>
      <c r="P272" s="41">
        <v>0.04236111111111111</v>
      </c>
      <c r="Q272" s="11">
        <v>19.0</v>
      </c>
      <c r="R272" s="42">
        <v>0.06388888888888888</v>
      </c>
      <c r="S272" s="13">
        <v>0.08333333333333333</v>
      </c>
      <c r="T272" s="42">
        <v>0.06111111111111111</v>
      </c>
      <c r="U272" s="42">
        <v>0.08680555555555555</v>
      </c>
      <c r="V272" s="45">
        <v>-0.025694444444444443</v>
      </c>
      <c r="W272" s="15">
        <v>-0.025694444444444443</v>
      </c>
      <c r="X272" s="15">
        <v>-0.04513888888888889</v>
      </c>
      <c r="Y272" s="16" t="s">
        <v>3609</v>
      </c>
    </row>
    <row r="273">
      <c r="A273" s="6">
        <v>262.0</v>
      </c>
      <c r="B273" s="7" t="s">
        <v>3610</v>
      </c>
      <c r="C273" s="8" t="s">
        <v>3611</v>
      </c>
      <c r="D273" s="9" t="s">
        <v>73</v>
      </c>
      <c r="E273" s="7" t="s">
        <v>3612</v>
      </c>
      <c r="F273" s="9">
        <v>29.0</v>
      </c>
      <c r="G273" s="9">
        <v>1994.0</v>
      </c>
      <c r="H273" s="10">
        <v>7.0</v>
      </c>
      <c r="I273" s="11">
        <v>547.0</v>
      </c>
      <c r="J273" s="11">
        <v>78.0</v>
      </c>
      <c r="K273" s="11" t="s">
        <v>1359</v>
      </c>
      <c r="L273" s="11" t="s">
        <v>274</v>
      </c>
      <c r="M273" s="41">
        <v>0.06805555555555555</v>
      </c>
      <c r="N273" s="11">
        <v>90.0</v>
      </c>
      <c r="O273" s="42">
        <v>0.06805555555555555</v>
      </c>
      <c r="P273" s="41">
        <v>0.011111111111111112</v>
      </c>
      <c r="Q273" s="11">
        <v>7.0</v>
      </c>
      <c r="R273" s="42">
        <v>0.17847222222222223</v>
      </c>
      <c r="S273" s="13">
        <v>0.07152777777777777</v>
      </c>
      <c r="T273" s="42">
        <v>0.075</v>
      </c>
      <c r="U273" s="42">
        <v>0.11527777777777778</v>
      </c>
      <c r="V273" s="45">
        <v>-0.06805555555555555</v>
      </c>
      <c r="W273" s="15">
        <v>-0.06875</v>
      </c>
      <c r="X273" s="15">
        <v>-0.027777777777777776</v>
      </c>
      <c r="Y273" s="16" t="s">
        <v>3613</v>
      </c>
    </row>
    <row r="274">
      <c r="A274" s="6">
        <v>263.0</v>
      </c>
      <c r="B274" s="7" t="s">
        <v>3614</v>
      </c>
      <c r="C274" s="8" t="s">
        <v>3615</v>
      </c>
      <c r="D274" s="9" t="s">
        <v>52</v>
      </c>
      <c r="E274" s="7" t="s">
        <v>3616</v>
      </c>
      <c r="F274" s="9">
        <v>21.0</v>
      </c>
      <c r="G274" s="9">
        <v>2002.0</v>
      </c>
      <c r="H274" s="10">
        <v>11.0</v>
      </c>
      <c r="I274" s="11">
        <v>585.0</v>
      </c>
      <c r="J274" s="11">
        <v>53.0</v>
      </c>
      <c r="K274" s="11" t="s">
        <v>863</v>
      </c>
      <c r="L274" s="11" t="s">
        <v>1364</v>
      </c>
      <c r="M274" s="41">
        <v>0.04722222222222222</v>
      </c>
      <c r="N274" s="11">
        <v>76.0</v>
      </c>
      <c r="O274" s="42">
        <v>0.021527777777777778</v>
      </c>
      <c r="P274" s="41">
        <v>0.043055555555555555</v>
      </c>
      <c r="Q274" s="11">
        <v>13.0</v>
      </c>
      <c r="R274" s="42">
        <v>0.03194444444444444</v>
      </c>
      <c r="S274" s="13">
        <v>0.041666666666666664</v>
      </c>
      <c r="T274" s="42">
        <v>0.05347222222222222</v>
      </c>
      <c r="U274" s="42">
        <v>0.05347222222222222</v>
      </c>
      <c r="V274" s="43">
        <v>0.0</v>
      </c>
      <c r="W274" s="21">
        <v>0.0</v>
      </c>
      <c r="X274" s="14" t="str">
        <f>+0.43</f>
        <v>#ERROR!</v>
      </c>
      <c r="Y274" s="16" t="s">
        <v>3617</v>
      </c>
    </row>
    <row r="275">
      <c r="A275" s="6">
        <v>264.0</v>
      </c>
      <c r="B275" s="7" t="s">
        <v>3618</v>
      </c>
      <c r="C275" s="8" t="s">
        <v>3619</v>
      </c>
      <c r="D275" s="9" t="s">
        <v>52</v>
      </c>
      <c r="E275" s="7" t="s">
        <v>3620</v>
      </c>
      <c r="F275" s="9">
        <v>17.0</v>
      </c>
      <c r="G275" s="9">
        <v>2006.0</v>
      </c>
      <c r="H275" s="10">
        <v>1.0</v>
      </c>
      <c r="I275" s="11">
        <v>14.0</v>
      </c>
      <c r="J275" s="11">
        <v>14.0</v>
      </c>
      <c r="K275" s="11" t="s">
        <v>201</v>
      </c>
      <c r="L275" s="11" t="s">
        <v>48</v>
      </c>
      <c r="M275" s="46">
        <v>0.0</v>
      </c>
      <c r="N275" s="19"/>
      <c r="O275" s="43">
        <v>0.0</v>
      </c>
      <c r="P275" s="41">
        <v>0.20833333333333334</v>
      </c>
      <c r="Q275" s="11">
        <v>14.0</v>
      </c>
      <c r="R275" s="42">
        <v>0.20833333333333334</v>
      </c>
      <c r="S275" s="20">
        <v>0.0</v>
      </c>
      <c r="T275" s="43">
        <v>0.0</v>
      </c>
      <c r="U275" s="48" t="s">
        <v>268</v>
      </c>
      <c r="V275" s="45">
        <v>-0.4166666666666667</v>
      </c>
      <c r="W275" s="15">
        <v>-0.5597222222222222</v>
      </c>
      <c r="X275" s="15">
        <v>-0.5409722222222222</v>
      </c>
      <c r="Y275" s="16" t="s">
        <v>3621</v>
      </c>
    </row>
    <row r="276">
      <c r="A276" s="6">
        <v>265.0</v>
      </c>
      <c r="B276" s="7" t="s">
        <v>3622</v>
      </c>
      <c r="C276" s="8" t="s">
        <v>3623</v>
      </c>
      <c r="D276" s="9" t="s">
        <v>66</v>
      </c>
      <c r="E276" s="7" t="s">
        <v>3624</v>
      </c>
      <c r="F276" s="9">
        <v>17.0</v>
      </c>
      <c r="G276" s="9">
        <v>2006.0</v>
      </c>
      <c r="H276" s="10">
        <v>14.0</v>
      </c>
      <c r="I276" s="11">
        <v>1.018</v>
      </c>
      <c r="J276" s="11">
        <v>73.0</v>
      </c>
      <c r="K276" s="11" t="s">
        <v>685</v>
      </c>
      <c r="L276" s="11" t="s">
        <v>111</v>
      </c>
      <c r="M276" s="41">
        <v>0.04583333333333333</v>
      </c>
      <c r="N276" s="11">
        <v>84.0</v>
      </c>
      <c r="O276" s="42">
        <v>0.049305555555555554</v>
      </c>
      <c r="P276" s="41">
        <v>0.0125</v>
      </c>
      <c r="Q276" s="11">
        <v>8.0</v>
      </c>
      <c r="R276" s="42">
        <v>0.052083333333333336</v>
      </c>
      <c r="S276" s="13">
        <v>0.08125</v>
      </c>
      <c r="T276" s="42">
        <v>0.052083333333333336</v>
      </c>
      <c r="U276" s="42">
        <v>0.07083333333333333</v>
      </c>
      <c r="V276" s="45">
        <v>-0.01875</v>
      </c>
      <c r="W276" s="15">
        <v>-0.01875</v>
      </c>
      <c r="X276" s="15">
        <v>-0.06666666666666667</v>
      </c>
      <c r="Y276" s="16" t="s">
        <v>3625</v>
      </c>
    </row>
    <row r="277">
      <c r="A277" s="6">
        <v>266.0</v>
      </c>
      <c r="B277" s="7" t="s">
        <v>3626</v>
      </c>
      <c r="C277" s="8" t="s">
        <v>3627</v>
      </c>
      <c r="D277" s="9" t="s">
        <v>66</v>
      </c>
      <c r="E277" s="7" t="s">
        <v>3628</v>
      </c>
      <c r="F277" s="9">
        <v>20.0</v>
      </c>
      <c r="G277" s="9">
        <v>2003.0</v>
      </c>
      <c r="H277" s="10">
        <v>17.0</v>
      </c>
      <c r="I277" s="11">
        <v>1.216</v>
      </c>
      <c r="J277" s="11">
        <v>72.0</v>
      </c>
      <c r="K277" s="11" t="s">
        <v>1377</v>
      </c>
      <c r="L277" s="11" t="s">
        <v>549</v>
      </c>
      <c r="M277" s="41">
        <v>0.044444444444444446</v>
      </c>
      <c r="N277" s="11">
        <v>86.0</v>
      </c>
      <c r="O277" s="42">
        <v>0.05138888888888889</v>
      </c>
      <c r="P277" s="41">
        <v>0.015277777777777777</v>
      </c>
      <c r="Q277" s="11">
        <v>4.0</v>
      </c>
      <c r="R277" s="42">
        <v>0.04652777777777778</v>
      </c>
      <c r="S277" s="13">
        <v>0.06527777777777778</v>
      </c>
      <c r="T277" s="42">
        <v>0.04652777777777778</v>
      </c>
      <c r="U277" s="42">
        <v>0.075</v>
      </c>
      <c r="V277" s="45">
        <v>-0.05625</v>
      </c>
      <c r="W277" s="15">
        <v>-0.05625</v>
      </c>
      <c r="X277" s="15">
        <v>-0.06041666666666667</v>
      </c>
      <c r="Y277" s="16" t="s">
        <v>3629</v>
      </c>
    </row>
    <row r="278">
      <c r="A278" s="6">
        <v>267.0</v>
      </c>
      <c r="B278" s="7" t="s">
        <v>3630</v>
      </c>
      <c r="C278" s="8" t="s">
        <v>3631</v>
      </c>
      <c r="D278" s="9" t="s">
        <v>66</v>
      </c>
      <c r="E278" s="7" t="s">
        <v>3632</v>
      </c>
      <c r="F278" s="9">
        <v>25.0</v>
      </c>
      <c r="G278" s="9">
        <v>1998.0</v>
      </c>
      <c r="H278" s="18">
        <v>0.0</v>
      </c>
      <c r="I278" s="19"/>
      <c r="J278" s="19"/>
      <c r="K278" s="19"/>
      <c r="L278" s="19"/>
      <c r="M278" s="18">
        <v>0.0</v>
      </c>
      <c r="N278" s="19"/>
      <c r="O278" s="12">
        <v>0.0</v>
      </c>
      <c r="P278" s="18">
        <v>0.0</v>
      </c>
      <c r="Q278" s="19"/>
      <c r="R278" s="11">
        <v>4.0</v>
      </c>
      <c r="S278" s="24"/>
      <c r="T278" s="19"/>
      <c r="U278" s="19"/>
      <c r="V278" s="19"/>
      <c r="W278" s="19"/>
      <c r="X278" s="19"/>
      <c r="Y278" s="16" t="s">
        <v>3633</v>
      </c>
    </row>
    <row r="279">
      <c r="A279" s="6">
        <v>268.0</v>
      </c>
      <c r="B279" s="7" t="s">
        <v>3634</v>
      </c>
      <c r="C279" s="8" t="s">
        <v>3635</v>
      </c>
      <c r="D279" s="9" t="s">
        <v>73</v>
      </c>
      <c r="E279" s="7" t="s">
        <v>3636</v>
      </c>
      <c r="F279" s="9">
        <v>28.0</v>
      </c>
      <c r="G279" s="9">
        <v>1995.0</v>
      </c>
      <c r="H279" s="10">
        <v>3.0</v>
      </c>
      <c r="I279" s="11">
        <v>197.0</v>
      </c>
      <c r="J279" s="11">
        <v>66.0</v>
      </c>
      <c r="K279" s="11" t="s">
        <v>679</v>
      </c>
      <c r="L279" s="11" t="s">
        <v>680</v>
      </c>
      <c r="M279" s="41">
        <v>0.06319444444444444</v>
      </c>
      <c r="N279" s="11">
        <v>90.0</v>
      </c>
      <c r="O279" s="42">
        <v>0.06319444444444444</v>
      </c>
      <c r="P279" s="41">
        <v>0.03125</v>
      </c>
      <c r="Q279" s="11">
        <v>17.0</v>
      </c>
      <c r="R279" s="42">
        <v>0.27152777777777776</v>
      </c>
      <c r="S279" s="13">
        <v>0.022916666666666665</v>
      </c>
      <c r="T279" s="43">
        <v>0.0</v>
      </c>
      <c r="U279" s="42">
        <v>0.06319444444444444</v>
      </c>
      <c r="V279" s="45">
        <v>-0.06319444444444444</v>
      </c>
      <c r="W279" s="15">
        <v>-0.06319444444444444</v>
      </c>
      <c r="X279" s="15">
        <v>-0.04583333333333333</v>
      </c>
      <c r="Y279" s="16" t="s">
        <v>3637</v>
      </c>
    </row>
    <row r="280">
      <c r="A280" s="6">
        <v>269.0</v>
      </c>
      <c r="B280" s="7" t="s">
        <v>3638</v>
      </c>
      <c r="C280" s="8" t="s">
        <v>3639</v>
      </c>
      <c r="D280" s="9" t="s">
        <v>73</v>
      </c>
      <c r="E280" s="7" t="s">
        <v>3640</v>
      </c>
      <c r="F280" s="9">
        <v>17.0</v>
      </c>
      <c r="G280" s="9">
        <v>2006.0</v>
      </c>
      <c r="H280" s="18">
        <v>0.0</v>
      </c>
      <c r="I280" s="19"/>
      <c r="J280" s="19"/>
      <c r="K280" s="19"/>
      <c r="L280" s="19"/>
      <c r="M280" s="18">
        <v>0.0</v>
      </c>
      <c r="N280" s="19"/>
      <c r="O280" s="12">
        <v>0.0</v>
      </c>
      <c r="P280" s="18">
        <v>0.0</v>
      </c>
      <c r="Q280" s="19"/>
      <c r="R280" s="11">
        <v>1.0</v>
      </c>
      <c r="S280" s="24"/>
      <c r="T280" s="19"/>
      <c r="U280" s="19"/>
      <c r="V280" s="19"/>
      <c r="W280" s="19"/>
      <c r="X280" s="19"/>
      <c r="Y280" s="16" t="s">
        <v>3641</v>
      </c>
    </row>
    <row r="281">
      <c r="A281" s="6">
        <v>270.0</v>
      </c>
      <c r="B281" s="7" t="s">
        <v>3642</v>
      </c>
      <c r="C281" s="8" t="s">
        <v>3643</v>
      </c>
      <c r="D281" s="9" t="s">
        <v>32</v>
      </c>
      <c r="E281" s="7" t="s">
        <v>3644</v>
      </c>
      <c r="F281" s="9">
        <v>20.0</v>
      </c>
      <c r="G281" s="9">
        <v>2003.0</v>
      </c>
      <c r="H281" s="10">
        <v>7.0</v>
      </c>
      <c r="I281" s="11">
        <v>110.0</v>
      </c>
      <c r="J281" s="11">
        <v>16.0</v>
      </c>
      <c r="K281" s="11" t="s">
        <v>550</v>
      </c>
      <c r="L281" s="11" t="s">
        <v>118</v>
      </c>
      <c r="M281" s="41">
        <v>0.05763888888888889</v>
      </c>
      <c r="N281" s="11">
        <v>45.0</v>
      </c>
      <c r="O281" s="43">
        <v>0.0</v>
      </c>
      <c r="P281" s="41">
        <v>0.20833333333333334</v>
      </c>
      <c r="Q281" s="11">
        <v>11.0</v>
      </c>
      <c r="R281" s="42">
        <v>0.11805555555555555</v>
      </c>
      <c r="S281" s="13">
        <v>0.06180555555555556</v>
      </c>
      <c r="T281" s="42">
        <v>0.05763888888888889</v>
      </c>
      <c r="U281" s="42">
        <v>0.08819444444444445</v>
      </c>
      <c r="V281" s="45">
        <v>-0.05763888888888889</v>
      </c>
      <c r="W281" s="15">
        <v>-0.05694444444444444</v>
      </c>
      <c r="X281" s="15">
        <v>-0.050694444444444445</v>
      </c>
      <c r="Y281" s="16" t="s">
        <v>3645</v>
      </c>
    </row>
    <row r="282">
      <c r="A282" s="6">
        <v>271.0</v>
      </c>
      <c r="B282" s="7" t="s">
        <v>3646</v>
      </c>
      <c r="C282" s="8" t="s">
        <v>3647</v>
      </c>
      <c r="D282" s="9" t="s">
        <v>32</v>
      </c>
      <c r="E282" s="7" t="s">
        <v>3648</v>
      </c>
      <c r="F282" s="9">
        <v>20.0</v>
      </c>
      <c r="G282" s="9">
        <v>2003.0</v>
      </c>
      <c r="H282" s="10">
        <v>7.0</v>
      </c>
      <c r="I282" s="11">
        <v>315.0</v>
      </c>
      <c r="J282" s="11">
        <v>45.0</v>
      </c>
      <c r="K282" s="11" t="s">
        <v>634</v>
      </c>
      <c r="L282" s="11" t="s">
        <v>340</v>
      </c>
      <c r="M282" s="41">
        <v>0.059722222222222225</v>
      </c>
      <c r="N282" s="11">
        <v>74.0</v>
      </c>
      <c r="O282" s="43">
        <v>0.0</v>
      </c>
      <c r="P282" s="41">
        <v>0.05138888888888889</v>
      </c>
      <c r="Q282" s="11">
        <v>24.0</v>
      </c>
      <c r="R282" s="42">
        <v>0.059722222222222225</v>
      </c>
      <c r="S282" s="13">
        <v>0.041666666666666664</v>
      </c>
      <c r="T282" s="42">
        <v>0.10347222222222222</v>
      </c>
      <c r="U282" s="42">
        <v>0.09097222222222222</v>
      </c>
      <c r="V282" s="44">
        <v>0.03958333333333333</v>
      </c>
      <c r="W282" s="14" t="str">
        <f>+0.57</f>
        <v>#ERROR!</v>
      </c>
      <c r="X282" s="14" t="str">
        <f>+1.40</f>
        <v>#ERROR!</v>
      </c>
      <c r="Y282" s="16" t="s">
        <v>3649</v>
      </c>
    </row>
    <row r="283">
      <c r="A283" s="6">
        <v>272.0</v>
      </c>
      <c r="B283" s="7" t="s">
        <v>3650</v>
      </c>
      <c r="C283" s="8" t="s">
        <v>3651</v>
      </c>
      <c r="D283" s="9" t="s">
        <v>73</v>
      </c>
      <c r="E283" s="7" t="s">
        <v>3652</v>
      </c>
      <c r="F283" s="9">
        <v>31.0</v>
      </c>
      <c r="G283" s="9">
        <v>1992.0</v>
      </c>
      <c r="H283" s="10">
        <v>21.0</v>
      </c>
      <c r="I283" s="11">
        <v>1.854</v>
      </c>
      <c r="J283" s="11">
        <v>88.0</v>
      </c>
      <c r="K283" s="11" t="s">
        <v>1402</v>
      </c>
      <c r="L283" s="11" t="s">
        <v>831</v>
      </c>
      <c r="M283" s="41">
        <v>0.043055555555555555</v>
      </c>
      <c r="N283" s="11">
        <v>88.0</v>
      </c>
      <c r="O283" s="42">
        <v>0.06388888888888888</v>
      </c>
      <c r="P283" s="46">
        <v>0.0</v>
      </c>
      <c r="Q283" s="19"/>
      <c r="R283" s="43">
        <v>0.0</v>
      </c>
      <c r="S283" s="13">
        <v>0.08819444444444445</v>
      </c>
      <c r="T283" s="42">
        <v>0.059722222222222225</v>
      </c>
      <c r="U283" s="42">
        <v>0.043055555555555555</v>
      </c>
      <c r="V283" s="44">
        <v>0.016666666666666666</v>
      </c>
      <c r="W283" s="14" t="str">
        <f>+0.24</f>
        <v>#ERROR!</v>
      </c>
      <c r="X283" s="14" t="str">
        <f>+0.56</f>
        <v>#ERROR!</v>
      </c>
      <c r="Y283" s="16" t="s">
        <v>3653</v>
      </c>
    </row>
    <row r="284">
      <c r="A284" s="6">
        <v>273.0</v>
      </c>
      <c r="B284" s="7" t="s">
        <v>3654</v>
      </c>
      <c r="C284" s="8" t="s">
        <v>3655</v>
      </c>
      <c r="D284" s="9" t="s">
        <v>73</v>
      </c>
      <c r="E284" s="7" t="s">
        <v>3656</v>
      </c>
      <c r="F284" s="9">
        <v>33.0</v>
      </c>
      <c r="G284" s="9">
        <v>1990.0</v>
      </c>
      <c r="H284" s="10">
        <v>1.0</v>
      </c>
      <c r="I284" s="11">
        <v>52.0</v>
      </c>
      <c r="J284" s="11">
        <v>52.0</v>
      </c>
      <c r="K284" s="11" t="s">
        <v>1407</v>
      </c>
      <c r="L284" s="11" t="s">
        <v>47</v>
      </c>
      <c r="M284" s="46">
        <v>0.0</v>
      </c>
      <c r="N284" s="19"/>
      <c r="O284" s="43">
        <v>0.0</v>
      </c>
      <c r="P284" s="41">
        <v>0.08819444444444445</v>
      </c>
      <c r="Q284" s="11">
        <v>52.0</v>
      </c>
      <c r="R284" s="48" t="s">
        <v>268</v>
      </c>
      <c r="S284" s="20">
        <v>0.0</v>
      </c>
      <c r="T284" s="42">
        <v>0.14791666666666667</v>
      </c>
      <c r="U284" s="42">
        <v>0.2965277777777778</v>
      </c>
      <c r="V284" s="45">
        <v>-0.14791666666666667</v>
      </c>
      <c r="W284" s="15">
        <v>-0.15694444444444444</v>
      </c>
      <c r="X284" s="15">
        <v>-0.13819444444444445</v>
      </c>
      <c r="Y284" s="16" t="s">
        <v>3657</v>
      </c>
    </row>
    <row r="285">
      <c r="A285" s="6">
        <v>274.0</v>
      </c>
      <c r="B285" s="7" t="s">
        <v>3658</v>
      </c>
      <c r="C285" s="22"/>
      <c r="D285" s="23"/>
      <c r="E285" s="7" t="s">
        <v>3659</v>
      </c>
      <c r="F285" s="23"/>
      <c r="G285" s="23"/>
      <c r="H285" s="18">
        <v>0.0</v>
      </c>
      <c r="I285" s="19"/>
      <c r="J285" s="19"/>
      <c r="K285" s="19"/>
      <c r="L285" s="19"/>
      <c r="M285" s="18">
        <v>0.0</v>
      </c>
      <c r="N285" s="19"/>
      <c r="O285" s="12">
        <v>0.0</v>
      </c>
      <c r="P285" s="18">
        <v>0.0</v>
      </c>
      <c r="Q285" s="19"/>
      <c r="R285" s="11">
        <v>4.0</v>
      </c>
      <c r="S285" s="24"/>
      <c r="T285" s="19"/>
      <c r="U285" s="19"/>
      <c r="V285" s="19"/>
      <c r="W285" s="19"/>
      <c r="X285" s="19"/>
      <c r="Y285" s="16" t="s">
        <v>3660</v>
      </c>
    </row>
    <row r="286">
      <c r="A286" s="6">
        <v>275.0</v>
      </c>
      <c r="B286" s="7" t="s">
        <v>3661</v>
      </c>
      <c r="C286" s="8" t="s">
        <v>3662</v>
      </c>
      <c r="D286" s="9" t="s">
        <v>52</v>
      </c>
      <c r="E286" s="7" t="s">
        <v>3663</v>
      </c>
      <c r="F286" s="9">
        <v>18.0</v>
      </c>
      <c r="G286" s="9">
        <v>2006.0</v>
      </c>
      <c r="H286" s="10">
        <v>2.0</v>
      </c>
      <c r="I286" s="11">
        <v>44.0</v>
      </c>
      <c r="J286" s="11">
        <v>22.0</v>
      </c>
      <c r="K286" s="11" t="s">
        <v>1415</v>
      </c>
      <c r="L286" s="11" t="s">
        <v>201</v>
      </c>
      <c r="M286" s="46">
        <v>0.0</v>
      </c>
      <c r="N286" s="19"/>
      <c r="O286" s="43">
        <v>0.0</v>
      </c>
      <c r="P286" s="41">
        <v>0.16666666666666666</v>
      </c>
      <c r="Q286" s="11">
        <v>22.0</v>
      </c>
      <c r="R286" s="48" t="s">
        <v>1191</v>
      </c>
      <c r="S286" s="20">
        <v>0.0</v>
      </c>
      <c r="T286" s="42">
        <v>0.08333333333333333</v>
      </c>
      <c r="U286" s="42">
        <v>0.08333333333333333</v>
      </c>
      <c r="V286" s="43">
        <v>0.0</v>
      </c>
      <c r="W286" s="21">
        <v>0.0</v>
      </c>
      <c r="X286" s="14" t="str">
        <f>+0.68</f>
        <v>#ERROR!</v>
      </c>
      <c r="Y286" s="16" t="s">
        <v>3664</v>
      </c>
    </row>
    <row r="287">
      <c r="A287" s="25" t="s">
        <v>0</v>
      </c>
      <c r="B287" s="26" t="s">
        <v>1</v>
      </c>
      <c r="C287" s="27" t="s">
        <v>2</v>
      </c>
      <c r="D287" s="27" t="s">
        <v>3</v>
      </c>
      <c r="E287" s="27" t="s">
        <v>4</v>
      </c>
      <c r="F287" s="27" t="s">
        <v>5</v>
      </c>
      <c r="G287" s="27" t="s">
        <v>6</v>
      </c>
      <c r="H287" s="28" t="s">
        <v>7</v>
      </c>
      <c r="I287" s="27" t="s">
        <v>8</v>
      </c>
      <c r="J287" s="27" t="s">
        <v>9</v>
      </c>
      <c r="K287" s="27" t="s">
        <v>10</v>
      </c>
      <c r="L287" s="27" t="s">
        <v>11</v>
      </c>
      <c r="M287" s="28" t="s">
        <v>12</v>
      </c>
      <c r="N287" s="27" t="s">
        <v>13</v>
      </c>
      <c r="O287" s="27" t="s">
        <v>14</v>
      </c>
      <c r="P287" s="28" t="s">
        <v>15</v>
      </c>
      <c r="Q287" s="27" t="s">
        <v>16</v>
      </c>
      <c r="R287" s="27" t="s">
        <v>17</v>
      </c>
      <c r="S287" s="28" t="s">
        <v>18</v>
      </c>
      <c r="T287" s="27" t="s">
        <v>19</v>
      </c>
      <c r="U287" s="27" t="s">
        <v>20</v>
      </c>
      <c r="V287" s="29" t="str">
        <f>+/-</f>
        <v>#ERROR!</v>
      </c>
      <c r="W287" s="29" t="str">
        <f>+/-90</f>
        <v>#ERROR!</v>
      </c>
      <c r="X287" s="27" t="s">
        <v>21</v>
      </c>
      <c r="Y287" s="28" t="s">
        <v>22</v>
      </c>
    </row>
    <row r="288">
      <c r="A288" s="6">
        <v>276.0</v>
      </c>
      <c r="B288" s="7" t="s">
        <v>3665</v>
      </c>
      <c r="C288" s="8" t="s">
        <v>3666</v>
      </c>
      <c r="D288" s="9" t="s">
        <v>66</v>
      </c>
      <c r="E288" s="7" t="s">
        <v>3667</v>
      </c>
      <c r="F288" s="9">
        <v>16.0</v>
      </c>
      <c r="G288" s="9">
        <v>2007.0</v>
      </c>
      <c r="H288" s="10">
        <v>8.0</v>
      </c>
      <c r="I288" s="11">
        <v>188.0</v>
      </c>
      <c r="J288" s="11">
        <v>24.0</v>
      </c>
      <c r="K288" s="11" t="s">
        <v>1049</v>
      </c>
      <c r="L288" s="11" t="s">
        <v>801</v>
      </c>
      <c r="M288" s="41">
        <v>0.03333333333333333</v>
      </c>
      <c r="N288" s="11">
        <v>90.0</v>
      </c>
      <c r="O288" s="42">
        <v>0.03333333333333333</v>
      </c>
      <c r="P288" s="41">
        <v>0.14791666666666667</v>
      </c>
      <c r="Q288" s="11">
        <v>14.0</v>
      </c>
      <c r="R288" s="42">
        <v>0.3784722222222222</v>
      </c>
      <c r="S288" s="13">
        <v>0.10069444444444445</v>
      </c>
      <c r="T288" s="42">
        <v>0.03333333333333333</v>
      </c>
      <c r="U288" s="42">
        <v>0.14305555555555555</v>
      </c>
      <c r="V288" s="45">
        <v>-0.10972222222222222</v>
      </c>
      <c r="W288" s="15">
        <v>-0.11041666666666666</v>
      </c>
      <c r="X288" s="15">
        <v>-0.10625</v>
      </c>
      <c r="Y288" s="16" t="s">
        <v>3668</v>
      </c>
    </row>
    <row r="289">
      <c r="A289" s="6">
        <v>277.0</v>
      </c>
      <c r="B289" s="7" t="s">
        <v>3669</v>
      </c>
      <c r="C289" s="8" t="s">
        <v>3670</v>
      </c>
      <c r="D289" s="9" t="s">
        <v>66</v>
      </c>
      <c r="E289" s="7" t="s">
        <v>3671</v>
      </c>
      <c r="F289" s="9">
        <v>23.0</v>
      </c>
      <c r="G289" s="9">
        <v>2000.0</v>
      </c>
      <c r="H289" s="10">
        <v>12.0</v>
      </c>
      <c r="I289" s="11">
        <v>930.0</v>
      </c>
      <c r="J289" s="11">
        <v>78.0</v>
      </c>
      <c r="K289" s="11" t="s">
        <v>1424</v>
      </c>
      <c r="L289" s="11" t="s">
        <v>357</v>
      </c>
      <c r="M289" s="41">
        <v>0.04652777777777778</v>
      </c>
      <c r="N289" s="11">
        <v>83.0</v>
      </c>
      <c r="O289" s="42">
        <v>0.04722222222222222</v>
      </c>
      <c r="P289" s="41">
        <v>0.006944444444444444</v>
      </c>
      <c r="Q289" s="11">
        <v>12.0</v>
      </c>
      <c r="R289" s="43">
        <v>0.0</v>
      </c>
      <c r="S289" s="13">
        <v>0.09375</v>
      </c>
      <c r="T289" s="42">
        <v>0.09375</v>
      </c>
      <c r="U289" s="42">
        <v>0.06666666666666667</v>
      </c>
      <c r="V289" s="44">
        <v>0.027083333333333334</v>
      </c>
      <c r="W289" s="14" t="str">
        <f>+0.39</f>
        <v>#ERROR!</v>
      </c>
      <c r="X289" s="15">
        <v>-0.04027777777777778</v>
      </c>
      <c r="Y289" s="16" t="s">
        <v>3672</v>
      </c>
    </row>
    <row r="290">
      <c r="A290" s="6">
        <v>278.0</v>
      </c>
      <c r="B290" s="7" t="s">
        <v>3673</v>
      </c>
      <c r="C290" s="8" t="s">
        <v>3674</v>
      </c>
      <c r="D290" s="9" t="s">
        <v>52</v>
      </c>
      <c r="E290" s="7" t="s">
        <v>3675</v>
      </c>
      <c r="F290" s="9">
        <v>22.0</v>
      </c>
      <c r="G290" s="9">
        <v>2001.0</v>
      </c>
      <c r="H290" s="10">
        <v>5.0</v>
      </c>
      <c r="I290" s="11">
        <v>234.0</v>
      </c>
      <c r="J290" s="11">
        <v>47.0</v>
      </c>
      <c r="K290" s="11" t="s">
        <v>1429</v>
      </c>
      <c r="L290" s="11" t="s">
        <v>1430</v>
      </c>
      <c r="M290" s="41">
        <v>0.052083333333333336</v>
      </c>
      <c r="N290" s="11">
        <v>65.0</v>
      </c>
      <c r="O290" s="43">
        <v>0.0</v>
      </c>
      <c r="P290" s="41">
        <v>0.05347222222222222</v>
      </c>
      <c r="Q290" s="11">
        <v>20.0</v>
      </c>
      <c r="R290" s="42">
        <v>0.07916666666666666</v>
      </c>
      <c r="S290" s="13">
        <v>0.09722222222222222</v>
      </c>
      <c r="T290" s="42">
        <v>0.052083333333333336</v>
      </c>
      <c r="U290" s="42">
        <v>0.052083333333333336</v>
      </c>
      <c r="V290" s="43">
        <v>0.0</v>
      </c>
      <c r="W290" s="21">
        <v>0.0</v>
      </c>
      <c r="X290" s="15">
        <v>-0.022916666666666665</v>
      </c>
      <c r="Y290" s="16" t="s">
        <v>3676</v>
      </c>
    </row>
    <row r="291">
      <c r="A291" s="6">
        <v>279.0</v>
      </c>
      <c r="B291" s="7" t="s">
        <v>3677</v>
      </c>
      <c r="C291" s="8" t="s">
        <v>3678</v>
      </c>
      <c r="D291" s="9" t="s">
        <v>52</v>
      </c>
      <c r="E291" s="7" t="s">
        <v>3679</v>
      </c>
      <c r="F291" s="9">
        <v>16.0</v>
      </c>
      <c r="G291" s="9">
        <v>2007.0</v>
      </c>
      <c r="H291" s="10">
        <v>2.0</v>
      </c>
      <c r="I291" s="11">
        <v>63.0</v>
      </c>
      <c r="J291" s="11">
        <v>32.0</v>
      </c>
      <c r="K291" s="11" t="s">
        <v>207</v>
      </c>
      <c r="L291" s="11" t="s">
        <v>180</v>
      </c>
      <c r="M291" s="41">
        <v>0.07152777777777777</v>
      </c>
      <c r="N291" s="11">
        <v>62.0</v>
      </c>
      <c r="O291" s="43">
        <v>0.0</v>
      </c>
      <c r="P291" s="41">
        <v>0.07152777777777777</v>
      </c>
      <c r="Q291" s="11">
        <v>1.0</v>
      </c>
      <c r="R291" s="42">
        <v>0.25763888888888886</v>
      </c>
      <c r="S291" s="13">
        <v>0.0763888888888889</v>
      </c>
      <c r="T291" s="43">
        <v>0.0</v>
      </c>
      <c r="U291" s="43">
        <v>0.0</v>
      </c>
      <c r="V291" s="43">
        <v>0.0</v>
      </c>
      <c r="W291" s="21">
        <v>0.0</v>
      </c>
      <c r="X291" s="15">
        <v>-0.05416666666666667</v>
      </c>
      <c r="Y291" s="16" t="s">
        <v>3680</v>
      </c>
    </row>
    <row r="292">
      <c r="A292" s="6">
        <v>280.0</v>
      </c>
      <c r="B292" s="7" t="s">
        <v>3681</v>
      </c>
      <c r="C292" s="8" t="s">
        <v>3682</v>
      </c>
      <c r="D292" s="9" t="s">
        <v>284</v>
      </c>
      <c r="E292" s="7" t="s">
        <v>3683</v>
      </c>
      <c r="F292" s="9">
        <v>33.0</v>
      </c>
      <c r="G292" s="9">
        <v>1990.0</v>
      </c>
      <c r="H292" s="10">
        <v>15.0</v>
      </c>
      <c r="I292" s="11">
        <v>1.075</v>
      </c>
      <c r="J292" s="11">
        <v>72.0</v>
      </c>
      <c r="K292" s="11" t="s">
        <v>1439</v>
      </c>
      <c r="L292" s="11" t="s">
        <v>1440</v>
      </c>
      <c r="M292" s="41">
        <v>0.04236111111111111</v>
      </c>
      <c r="N292" s="11">
        <v>86.0</v>
      </c>
      <c r="O292" s="42">
        <v>0.058333333333333334</v>
      </c>
      <c r="P292" s="41">
        <v>0.017361111111111112</v>
      </c>
      <c r="Q292" s="11">
        <v>15.0</v>
      </c>
      <c r="R292" s="42">
        <v>0.04791666666666667</v>
      </c>
      <c r="S292" s="13">
        <v>0.08333333333333333</v>
      </c>
      <c r="T292" s="42">
        <v>0.08472222222222223</v>
      </c>
      <c r="U292" s="42">
        <v>0.09444444444444444</v>
      </c>
      <c r="V292" s="44">
        <v>0.017361111111111112</v>
      </c>
      <c r="W292" s="14" t="str">
        <f>+0.25</f>
        <v>#ERROR!</v>
      </c>
      <c r="X292" s="15">
        <v>-0.0020833333333333333</v>
      </c>
      <c r="Y292" s="16" t="s">
        <v>3684</v>
      </c>
    </row>
    <row r="293">
      <c r="A293" s="6">
        <v>281.0</v>
      </c>
      <c r="B293" s="7" t="s">
        <v>3685</v>
      </c>
      <c r="C293" s="8" t="s">
        <v>3686</v>
      </c>
      <c r="D293" s="9" t="s">
        <v>52</v>
      </c>
      <c r="E293" s="7" t="s">
        <v>3687</v>
      </c>
      <c r="F293" s="9">
        <v>20.0</v>
      </c>
      <c r="G293" s="9">
        <v>2003.0</v>
      </c>
      <c r="H293" s="10">
        <v>26.0</v>
      </c>
      <c r="I293" s="11">
        <v>1.945</v>
      </c>
      <c r="J293" s="11">
        <v>75.0</v>
      </c>
      <c r="K293" s="11" t="s">
        <v>1445</v>
      </c>
      <c r="L293" s="11" t="s">
        <v>1446</v>
      </c>
      <c r="M293" s="41">
        <v>0.04583333333333333</v>
      </c>
      <c r="N293" s="11">
        <v>81.0</v>
      </c>
      <c r="O293" s="42">
        <v>0.019444444444444445</v>
      </c>
      <c r="P293" s="41">
        <v>0.009722222222222222</v>
      </c>
      <c r="Q293" s="11">
        <v>27.0</v>
      </c>
      <c r="R293" s="43">
        <v>0.0</v>
      </c>
      <c r="S293" s="13">
        <v>0.05347222222222222</v>
      </c>
      <c r="T293" s="42">
        <v>0.06458333333333334</v>
      </c>
      <c r="U293" s="42">
        <v>0.08125</v>
      </c>
      <c r="V293" s="45">
        <v>-0.04513888888888889</v>
      </c>
      <c r="W293" s="15">
        <v>-0.04513888888888889</v>
      </c>
      <c r="X293" s="15">
        <v>-0.02013888888888889</v>
      </c>
      <c r="Y293" s="16" t="s">
        <v>3688</v>
      </c>
    </row>
    <row r="294">
      <c r="A294" s="6">
        <v>282.0</v>
      </c>
      <c r="B294" s="7" t="s">
        <v>3689</v>
      </c>
      <c r="C294" s="8" t="s">
        <v>3690</v>
      </c>
      <c r="D294" s="9" t="s">
        <v>284</v>
      </c>
      <c r="E294" s="7" t="s">
        <v>3691</v>
      </c>
      <c r="F294" s="9">
        <v>23.0</v>
      </c>
      <c r="G294" s="9">
        <v>2000.0</v>
      </c>
      <c r="H294" s="10">
        <v>29.0</v>
      </c>
      <c r="I294" s="11">
        <v>2.549</v>
      </c>
      <c r="J294" s="11">
        <v>88.0</v>
      </c>
      <c r="K294" s="11" t="s">
        <v>1451</v>
      </c>
      <c r="L294" s="11" t="s">
        <v>1452</v>
      </c>
      <c r="M294" s="41">
        <v>0.043055555555555555</v>
      </c>
      <c r="N294" s="11">
        <v>88.0</v>
      </c>
      <c r="O294" s="42">
        <v>0.059027777777777776</v>
      </c>
      <c r="P294" s="46">
        <v>0.0</v>
      </c>
      <c r="Q294" s="19"/>
      <c r="R294" s="43">
        <v>0.0</v>
      </c>
      <c r="S294" s="13">
        <v>0.04375</v>
      </c>
      <c r="T294" s="42">
        <v>0.06111111111111111</v>
      </c>
      <c r="U294" s="42">
        <v>0.06527777777777778</v>
      </c>
      <c r="V294" s="45">
        <v>-0.03194444444444444</v>
      </c>
      <c r="W294" s="15">
        <v>-0.03194444444444444</v>
      </c>
      <c r="X294" s="15">
        <v>-0.10069444444444445</v>
      </c>
      <c r="Y294" s="16" t="s">
        <v>3692</v>
      </c>
    </row>
    <row r="295">
      <c r="A295" s="6">
        <v>283.0</v>
      </c>
      <c r="B295" s="7" t="s">
        <v>3693</v>
      </c>
      <c r="C295" s="8" t="s">
        <v>3694</v>
      </c>
      <c r="D295" s="9" t="s">
        <v>45</v>
      </c>
      <c r="E295" s="7" t="s">
        <v>3695</v>
      </c>
      <c r="F295" s="9">
        <v>31.0</v>
      </c>
      <c r="G295" s="9">
        <v>1992.0</v>
      </c>
      <c r="H295" s="10">
        <v>19.0</v>
      </c>
      <c r="I295" s="11">
        <v>1.4</v>
      </c>
      <c r="J295" s="11">
        <v>74.0</v>
      </c>
      <c r="K295" s="11" t="s">
        <v>1457</v>
      </c>
      <c r="L295" s="11" t="s">
        <v>220</v>
      </c>
      <c r="M295" s="41">
        <v>0.04375</v>
      </c>
      <c r="N295" s="11">
        <v>84.0</v>
      </c>
      <c r="O295" s="42">
        <v>0.035416666666666666</v>
      </c>
      <c r="P295" s="41">
        <v>0.013194444444444444</v>
      </c>
      <c r="Q295" s="11">
        <v>21.0</v>
      </c>
      <c r="R295" s="43">
        <v>0.0</v>
      </c>
      <c r="S295" s="13">
        <v>0.07847222222222222</v>
      </c>
      <c r="T295" s="42">
        <v>0.11041666666666666</v>
      </c>
      <c r="U295" s="42">
        <v>0.09236111111111112</v>
      </c>
      <c r="V295" s="44">
        <v>0.018055555555555554</v>
      </c>
      <c r="W295" s="14" t="str">
        <f>+0.26</f>
        <v>#ERROR!</v>
      </c>
      <c r="X295" s="14" t="str">
        <f>+0.33</f>
        <v>#ERROR!</v>
      </c>
      <c r="Y295" s="16" t="s">
        <v>3696</v>
      </c>
    </row>
    <row r="296">
      <c r="A296" s="6">
        <v>284.0</v>
      </c>
      <c r="B296" s="7" t="s">
        <v>3697</v>
      </c>
      <c r="C296" s="8" t="s">
        <v>3698</v>
      </c>
      <c r="D296" s="9" t="s">
        <v>52</v>
      </c>
      <c r="E296" s="7" t="s">
        <v>3699</v>
      </c>
      <c r="F296" s="9">
        <v>23.0</v>
      </c>
      <c r="G296" s="9">
        <v>2000.0</v>
      </c>
      <c r="H296" s="10">
        <v>16.0</v>
      </c>
      <c r="I296" s="11">
        <v>1.163</v>
      </c>
      <c r="J296" s="11">
        <v>73.0</v>
      </c>
      <c r="K296" s="11" t="s">
        <v>503</v>
      </c>
      <c r="L296" s="11" t="s">
        <v>504</v>
      </c>
      <c r="M296" s="41">
        <v>0.06458333333333334</v>
      </c>
      <c r="N296" s="11">
        <v>88.0</v>
      </c>
      <c r="O296" s="42">
        <v>0.04861111111111111</v>
      </c>
      <c r="P296" s="41">
        <v>0.021527777777777778</v>
      </c>
      <c r="Q296" s="11">
        <v>28.0</v>
      </c>
      <c r="R296" s="43">
        <v>0.0</v>
      </c>
      <c r="S296" s="13">
        <v>0.06111111111111111</v>
      </c>
      <c r="T296" s="42">
        <v>0.06458333333333334</v>
      </c>
      <c r="U296" s="42">
        <v>0.04236111111111111</v>
      </c>
      <c r="V296" s="45">
        <v>-0.005555555555555556</v>
      </c>
      <c r="W296" s="15">
        <v>-0.005555555555555556</v>
      </c>
      <c r="X296" s="14" t="str">
        <f>+0.45</f>
        <v>#ERROR!</v>
      </c>
      <c r="Y296" s="16" t="s">
        <v>3700</v>
      </c>
    </row>
    <row r="297">
      <c r="A297" s="6">
        <v>285.0</v>
      </c>
      <c r="B297" s="7" t="s">
        <v>3701</v>
      </c>
      <c r="C297" s="8" t="s">
        <v>3702</v>
      </c>
      <c r="D297" s="9" t="s">
        <v>52</v>
      </c>
      <c r="E297" s="7" t="s">
        <v>3703</v>
      </c>
      <c r="F297" s="9">
        <v>15.0</v>
      </c>
      <c r="G297" s="9">
        <v>2008.0</v>
      </c>
      <c r="H297" s="18">
        <v>0.0</v>
      </c>
      <c r="I297" s="19"/>
      <c r="J297" s="19"/>
      <c r="K297" s="19"/>
      <c r="L297" s="19"/>
      <c r="M297" s="18">
        <v>0.0</v>
      </c>
      <c r="N297" s="19"/>
      <c r="O297" s="12">
        <v>0.0</v>
      </c>
      <c r="P297" s="18">
        <v>0.0</v>
      </c>
      <c r="Q297" s="19"/>
      <c r="R297" s="11">
        <v>1.0</v>
      </c>
      <c r="S297" s="24"/>
      <c r="T297" s="19"/>
      <c r="U297" s="19"/>
      <c r="V297" s="19"/>
      <c r="W297" s="19"/>
      <c r="X297" s="19"/>
      <c r="Y297" s="16" t="s">
        <v>3704</v>
      </c>
    </row>
    <row r="298">
      <c r="A298" s="6">
        <v>286.0</v>
      </c>
      <c r="B298" s="7" t="s">
        <v>3705</v>
      </c>
      <c r="C298" s="8" t="s">
        <v>3706</v>
      </c>
      <c r="D298" s="9" t="s">
        <v>284</v>
      </c>
      <c r="E298" s="7" t="s">
        <v>3707</v>
      </c>
      <c r="F298" s="9">
        <v>31.0</v>
      </c>
      <c r="G298" s="9">
        <v>1992.0</v>
      </c>
      <c r="H298" s="10">
        <v>2.0</v>
      </c>
      <c r="I298" s="11">
        <v>35.0</v>
      </c>
      <c r="J298" s="11">
        <v>18.0</v>
      </c>
      <c r="K298" s="11" t="s">
        <v>624</v>
      </c>
      <c r="L298" s="11" t="s">
        <v>318</v>
      </c>
      <c r="M298" s="46">
        <v>0.0</v>
      </c>
      <c r="N298" s="19"/>
      <c r="O298" s="43">
        <v>0.0</v>
      </c>
      <c r="P298" s="41">
        <v>0.20833333333333334</v>
      </c>
      <c r="Q298" s="11">
        <v>18.0</v>
      </c>
      <c r="R298" s="43">
        <v>0.0</v>
      </c>
      <c r="S298" s="13">
        <v>0.08333333333333333</v>
      </c>
      <c r="T298" s="42">
        <v>0.20833333333333334</v>
      </c>
      <c r="U298" s="43">
        <v>0.0</v>
      </c>
      <c r="V298" s="44">
        <v>0.20833333333333334</v>
      </c>
      <c r="W298" s="14" t="str">
        <f>+5.14</f>
        <v>#ERROR!</v>
      </c>
      <c r="X298" s="14" t="str">
        <f>+3.79</f>
        <v>#ERROR!</v>
      </c>
      <c r="Y298" s="16" t="s">
        <v>3708</v>
      </c>
    </row>
    <row r="299">
      <c r="A299" s="6">
        <v>287.0</v>
      </c>
      <c r="B299" s="7" t="s">
        <v>3709</v>
      </c>
      <c r="C299" s="8" t="s">
        <v>3710</v>
      </c>
      <c r="D299" s="9" t="s">
        <v>66</v>
      </c>
      <c r="E299" s="7" t="s">
        <v>3711</v>
      </c>
      <c r="F299" s="9">
        <v>28.0</v>
      </c>
      <c r="G299" s="9">
        <v>1995.0</v>
      </c>
      <c r="H299" s="10">
        <v>11.0</v>
      </c>
      <c r="I299" s="11">
        <v>427.0</v>
      </c>
      <c r="J299" s="11">
        <v>39.0</v>
      </c>
      <c r="K299" s="11" t="s">
        <v>1474</v>
      </c>
      <c r="L299" s="11" t="s">
        <v>1012</v>
      </c>
      <c r="M299" s="41">
        <v>0.04583333333333333</v>
      </c>
      <c r="N299" s="11">
        <v>70.0</v>
      </c>
      <c r="O299" s="42">
        <v>0.029861111111111113</v>
      </c>
      <c r="P299" s="41">
        <v>0.06111111111111111</v>
      </c>
      <c r="Q299" s="11">
        <v>13.0</v>
      </c>
      <c r="R299" s="42">
        <v>0.13819444444444445</v>
      </c>
      <c r="S299" s="13">
        <v>0.06041666666666667</v>
      </c>
      <c r="T299" s="42">
        <v>0.07569444444444444</v>
      </c>
      <c r="U299" s="42">
        <v>0.06111111111111111</v>
      </c>
      <c r="V299" s="44">
        <v>0.014583333333333334</v>
      </c>
      <c r="W299" s="14" t="str">
        <f>+0.21</f>
        <v>#ERROR!</v>
      </c>
      <c r="X299" s="14" t="str">
        <f>+0.13</f>
        <v>#ERROR!</v>
      </c>
      <c r="Y299" s="16" t="s">
        <v>3712</v>
      </c>
    </row>
    <row r="300">
      <c r="A300" s="6">
        <v>288.0</v>
      </c>
      <c r="B300" s="7" t="s">
        <v>3713</v>
      </c>
      <c r="C300" s="8" t="s">
        <v>3714</v>
      </c>
      <c r="D300" s="9" t="s">
        <v>52</v>
      </c>
      <c r="E300" s="7" t="s">
        <v>3715</v>
      </c>
      <c r="F300" s="9">
        <v>20.0</v>
      </c>
      <c r="G300" s="9">
        <v>2003.0</v>
      </c>
      <c r="H300" s="10">
        <v>28.0</v>
      </c>
      <c r="I300" s="11">
        <v>2.387</v>
      </c>
      <c r="J300" s="11">
        <v>85.0</v>
      </c>
      <c r="K300" s="11" t="s">
        <v>1479</v>
      </c>
      <c r="L300" s="11" t="s">
        <v>1480</v>
      </c>
      <c r="M300" s="41">
        <v>0.06805555555555555</v>
      </c>
      <c r="N300" s="11">
        <v>88.0</v>
      </c>
      <c r="O300" s="42">
        <v>0.06041666666666667</v>
      </c>
      <c r="P300" s="41">
        <v>0.005555555555555556</v>
      </c>
      <c r="Q300" s="11">
        <v>45.0</v>
      </c>
      <c r="R300" s="43">
        <v>0.0</v>
      </c>
      <c r="S300" s="13">
        <v>0.052083333333333336</v>
      </c>
      <c r="T300" s="42">
        <v>0.06041666666666667</v>
      </c>
      <c r="U300" s="42">
        <v>0.06944444444444445</v>
      </c>
      <c r="V300" s="45">
        <v>-0.03680555555555556</v>
      </c>
      <c r="W300" s="15">
        <v>-0.03680555555555556</v>
      </c>
      <c r="X300" s="14" t="str">
        <f>+0.33</f>
        <v>#ERROR!</v>
      </c>
      <c r="Y300" s="16" t="s">
        <v>3716</v>
      </c>
    </row>
    <row r="301">
      <c r="A301" s="6">
        <v>289.0</v>
      </c>
      <c r="B301" s="7" t="s">
        <v>3717</v>
      </c>
      <c r="C301" s="8" t="s">
        <v>3718</v>
      </c>
      <c r="D301" s="9" t="s">
        <v>52</v>
      </c>
      <c r="E301" s="7" t="s">
        <v>3719</v>
      </c>
      <c r="F301" s="9">
        <v>34.0</v>
      </c>
      <c r="G301" s="9">
        <v>1989.0</v>
      </c>
      <c r="H301" s="10">
        <v>20.0</v>
      </c>
      <c r="I301" s="11">
        <v>540.0</v>
      </c>
      <c r="J301" s="11">
        <v>27.0</v>
      </c>
      <c r="K301" s="11" t="s">
        <v>654</v>
      </c>
      <c r="L301" s="11" t="s">
        <v>1485</v>
      </c>
      <c r="M301" s="41">
        <v>0.041666666666666664</v>
      </c>
      <c r="N301" s="11">
        <v>53.0</v>
      </c>
      <c r="O301" s="43">
        <v>0.0</v>
      </c>
      <c r="P301" s="41">
        <v>0.10625</v>
      </c>
      <c r="Q301" s="11">
        <v>16.0</v>
      </c>
      <c r="R301" s="42">
        <v>0.06458333333333334</v>
      </c>
      <c r="S301" s="13">
        <v>0.0763888888888889</v>
      </c>
      <c r="T301" s="42">
        <v>0.0763888888888889</v>
      </c>
      <c r="U301" s="42">
        <v>0.0763888888888889</v>
      </c>
      <c r="V301" s="43">
        <v>0.0</v>
      </c>
      <c r="W301" s="21">
        <v>0.0</v>
      </c>
      <c r="X301" s="15">
        <v>-0.005555555555555556</v>
      </c>
      <c r="Y301" s="16" t="s">
        <v>3720</v>
      </c>
    </row>
    <row r="302">
      <c r="A302" s="6">
        <v>290.0</v>
      </c>
      <c r="B302" s="7" t="s">
        <v>3721</v>
      </c>
      <c r="C302" s="8" t="s">
        <v>3722</v>
      </c>
      <c r="D302" s="9" t="s">
        <v>1489</v>
      </c>
      <c r="E302" s="7" t="s">
        <v>3723</v>
      </c>
      <c r="F302" s="9">
        <v>25.0</v>
      </c>
      <c r="G302" s="9">
        <v>1999.0</v>
      </c>
      <c r="H302" s="10">
        <v>27.0</v>
      </c>
      <c r="I302" s="11">
        <v>1.938</v>
      </c>
      <c r="J302" s="11">
        <v>72.0</v>
      </c>
      <c r="K302" s="11" t="s">
        <v>1491</v>
      </c>
      <c r="L302" s="11" t="s">
        <v>888</v>
      </c>
      <c r="M302" s="41">
        <v>0.06805555555555555</v>
      </c>
      <c r="N302" s="11">
        <v>86.0</v>
      </c>
      <c r="O302" s="42">
        <v>0.04861111111111111</v>
      </c>
      <c r="P302" s="41">
        <v>0.019444444444444445</v>
      </c>
      <c r="Q302" s="11">
        <v>24.0</v>
      </c>
      <c r="R302" s="43">
        <v>0.0</v>
      </c>
      <c r="S302" s="13">
        <v>0.06458333333333334</v>
      </c>
      <c r="T302" s="42">
        <v>0.09166666666666666</v>
      </c>
      <c r="U302" s="42">
        <v>0.09513888888888888</v>
      </c>
      <c r="V302" s="45">
        <v>-0.003472222222222222</v>
      </c>
      <c r="W302" s="15">
        <v>-0.003472222222222222</v>
      </c>
      <c r="X302" s="15">
        <v>-0.03611111111111111</v>
      </c>
      <c r="Y302" s="16" t="s">
        <v>3724</v>
      </c>
    </row>
    <row r="303">
      <c r="A303" s="6">
        <v>291.0</v>
      </c>
      <c r="B303" s="7" t="s">
        <v>3725</v>
      </c>
      <c r="C303" s="8" t="s">
        <v>3726</v>
      </c>
      <c r="D303" s="9" t="s">
        <v>52</v>
      </c>
      <c r="E303" s="7" t="s">
        <v>3727</v>
      </c>
      <c r="F303" s="9">
        <v>23.0</v>
      </c>
      <c r="G303" s="9">
        <v>2000.0</v>
      </c>
      <c r="H303" s="10">
        <v>26.0</v>
      </c>
      <c r="I303" s="11">
        <v>1.278</v>
      </c>
      <c r="J303" s="11">
        <v>49.0</v>
      </c>
      <c r="K303" s="11" t="s">
        <v>1496</v>
      </c>
      <c r="L303" s="11" t="s">
        <v>41</v>
      </c>
      <c r="M303" s="41">
        <v>0.06388888888888888</v>
      </c>
      <c r="N303" s="11">
        <v>75.0</v>
      </c>
      <c r="O303" s="42">
        <v>0.014583333333333334</v>
      </c>
      <c r="P303" s="41">
        <v>0.06388888888888888</v>
      </c>
      <c r="Q303" s="11">
        <v>23.0</v>
      </c>
      <c r="R303" s="42">
        <v>0.014583333333333334</v>
      </c>
      <c r="S303" s="13">
        <v>0.06041666666666667</v>
      </c>
      <c r="T303" s="42">
        <v>0.09444444444444444</v>
      </c>
      <c r="U303" s="42">
        <v>0.08472222222222223</v>
      </c>
      <c r="V303" s="44">
        <v>0.009722222222222222</v>
      </c>
      <c r="W303" s="14" t="str">
        <f>+0.14</f>
        <v>#ERROR!</v>
      </c>
      <c r="X303" s="14" t="str">
        <f>+0.20</f>
        <v>#ERROR!</v>
      </c>
      <c r="Y303" s="16" t="s">
        <v>3728</v>
      </c>
    </row>
    <row r="304">
      <c r="A304" s="6">
        <v>292.0</v>
      </c>
      <c r="B304" s="7" t="s">
        <v>3729</v>
      </c>
      <c r="C304" s="8" t="s">
        <v>3730</v>
      </c>
      <c r="D304" s="9" t="s">
        <v>52</v>
      </c>
      <c r="E304" s="7" t="s">
        <v>3731</v>
      </c>
      <c r="F304" s="9">
        <v>17.0</v>
      </c>
      <c r="G304" s="9">
        <v>2006.0</v>
      </c>
      <c r="H304" s="18">
        <v>0.0</v>
      </c>
      <c r="I304" s="19"/>
      <c r="J304" s="19"/>
      <c r="K304" s="19"/>
      <c r="L304" s="19"/>
      <c r="M304" s="18">
        <v>0.0</v>
      </c>
      <c r="N304" s="19"/>
      <c r="O304" s="12">
        <v>0.0</v>
      </c>
      <c r="P304" s="18">
        <v>0.0</v>
      </c>
      <c r="Q304" s="19"/>
      <c r="R304" s="11">
        <v>3.0</v>
      </c>
      <c r="S304" s="24"/>
      <c r="T304" s="19"/>
      <c r="U304" s="19"/>
      <c r="V304" s="19"/>
      <c r="W304" s="19"/>
      <c r="X304" s="19"/>
      <c r="Y304" s="16" t="s">
        <v>3732</v>
      </c>
    </row>
    <row r="305">
      <c r="A305" s="6">
        <v>293.0</v>
      </c>
      <c r="B305" s="7" t="s">
        <v>3733</v>
      </c>
      <c r="C305" s="8" t="s">
        <v>3734</v>
      </c>
      <c r="D305" s="9" t="s">
        <v>73</v>
      </c>
      <c r="E305" s="7" t="s">
        <v>3735</v>
      </c>
      <c r="F305" s="9">
        <v>30.0</v>
      </c>
      <c r="G305" s="9">
        <v>1993.0</v>
      </c>
      <c r="H305" s="10">
        <v>18.0</v>
      </c>
      <c r="I305" s="11">
        <v>1.62</v>
      </c>
      <c r="J305" s="11">
        <v>90.0</v>
      </c>
      <c r="K305" s="11" t="s">
        <v>1505</v>
      </c>
      <c r="L305" s="11" t="s">
        <v>1506</v>
      </c>
      <c r="M305" s="41">
        <v>0.041666666666666664</v>
      </c>
      <c r="N305" s="11">
        <v>90.0</v>
      </c>
      <c r="O305" s="42">
        <v>0.041666666666666664</v>
      </c>
      <c r="P305" s="46">
        <v>0.0</v>
      </c>
      <c r="Q305" s="19"/>
      <c r="R305" s="42">
        <v>0.04652777777777778</v>
      </c>
      <c r="S305" s="13">
        <v>0.0763888888888889</v>
      </c>
      <c r="T305" s="42">
        <v>0.10694444444444444</v>
      </c>
      <c r="U305" s="42">
        <v>0.09166666666666666</v>
      </c>
      <c r="V305" s="44">
        <v>0.015277777777777777</v>
      </c>
      <c r="W305" s="14" t="str">
        <f>+0.22</f>
        <v>#ERROR!</v>
      </c>
      <c r="X305" s="14" t="str">
        <f>+0.31</f>
        <v>#ERROR!</v>
      </c>
      <c r="Y305" s="16" t="s">
        <v>3736</v>
      </c>
    </row>
    <row r="306">
      <c r="A306" s="6">
        <v>294.0</v>
      </c>
      <c r="B306" s="7" t="s">
        <v>3737</v>
      </c>
      <c r="C306" s="8" t="s">
        <v>3738</v>
      </c>
      <c r="D306" s="9" t="s">
        <v>52</v>
      </c>
      <c r="E306" s="7" t="s">
        <v>3739</v>
      </c>
      <c r="F306" s="9">
        <v>19.0</v>
      </c>
      <c r="G306" s="9">
        <v>2005.0</v>
      </c>
      <c r="H306" s="10">
        <v>1.0</v>
      </c>
      <c r="I306" s="11">
        <v>1.0</v>
      </c>
      <c r="J306" s="11">
        <v>1.0</v>
      </c>
      <c r="K306" s="12" t="s">
        <v>470</v>
      </c>
      <c r="L306" s="12" t="s">
        <v>470</v>
      </c>
      <c r="M306" s="18">
        <v>0.0</v>
      </c>
      <c r="N306" s="19"/>
      <c r="O306" s="12">
        <v>0.0</v>
      </c>
      <c r="P306" s="10">
        <v>1.0</v>
      </c>
      <c r="Q306" s="11">
        <v>1.0</v>
      </c>
      <c r="R306" s="12">
        <v>0.0</v>
      </c>
      <c r="S306" s="13">
        <v>0.125</v>
      </c>
      <c r="T306" s="12">
        <v>0.0</v>
      </c>
      <c r="U306" s="12">
        <v>0.0</v>
      </c>
      <c r="V306" s="12">
        <v>0.0</v>
      </c>
      <c r="W306" s="21">
        <v>0.0</v>
      </c>
      <c r="X306" s="14" t="str">
        <f>+0.57</f>
        <v>#ERROR!</v>
      </c>
      <c r="Y306" s="16" t="s">
        <v>3740</v>
      </c>
    </row>
    <row r="307">
      <c r="A307" s="6">
        <v>295.0</v>
      </c>
      <c r="B307" s="7" t="s">
        <v>3741</v>
      </c>
      <c r="C307" s="8" t="s">
        <v>3742</v>
      </c>
      <c r="D307" s="9" t="s">
        <v>66</v>
      </c>
      <c r="E307" s="7" t="s">
        <v>3743</v>
      </c>
      <c r="F307" s="9">
        <v>18.0</v>
      </c>
      <c r="G307" s="9">
        <v>2005.0</v>
      </c>
      <c r="H307" s="10">
        <v>3.0</v>
      </c>
      <c r="I307" s="11">
        <v>13.0</v>
      </c>
      <c r="J307" s="11">
        <v>4.0</v>
      </c>
      <c r="K307" s="11" t="s">
        <v>201</v>
      </c>
      <c r="L307" s="11" t="s">
        <v>155</v>
      </c>
      <c r="M307" s="46">
        <v>0.0</v>
      </c>
      <c r="N307" s="19"/>
      <c r="O307" s="43">
        <v>0.0</v>
      </c>
      <c r="P307" s="47" t="s">
        <v>673</v>
      </c>
      <c r="Q307" s="11">
        <v>4.0</v>
      </c>
      <c r="R307" s="48" t="s">
        <v>3744</v>
      </c>
      <c r="S307" s="13">
        <v>0.08333333333333333</v>
      </c>
      <c r="T307" s="43">
        <v>0.0</v>
      </c>
      <c r="U307" s="43">
        <v>0.0</v>
      </c>
      <c r="V307" s="43">
        <v>0.0</v>
      </c>
      <c r="W307" s="21">
        <v>0.0</v>
      </c>
      <c r="X307" s="15">
        <v>-0.020833333333333332</v>
      </c>
      <c r="Y307" s="16" t="s">
        <v>3745</v>
      </c>
    </row>
    <row r="308">
      <c r="A308" s="6">
        <v>296.0</v>
      </c>
      <c r="B308" s="7" t="s">
        <v>3746</v>
      </c>
      <c r="C308" s="8" t="s">
        <v>3747</v>
      </c>
      <c r="D308" s="9" t="s">
        <v>45</v>
      </c>
      <c r="E308" s="7" t="s">
        <v>3748</v>
      </c>
      <c r="F308" s="9">
        <v>18.0</v>
      </c>
      <c r="G308" s="9">
        <v>2005.0</v>
      </c>
      <c r="H308" s="10">
        <v>17.0</v>
      </c>
      <c r="I308" s="11">
        <v>473.0</v>
      </c>
      <c r="J308" s="11">
        <v>28.0</v>
      </c>
      <c r="K308" s="11" t="s">
        <v>1519</v>
      </c>
      <c r="L308" s="11" t="s">
        <v>811</v>
      </c>
      <c r="M308" s="41">
        <v>0.03958333333333333</v>
      </c>
      <c r="N308" s="11">
        <v>70.0</v>
      </c>
      <c r="O308" s="43">
        <v>0.0</v>
      </c>
      <c r="P308" s="41">
        <v>0.12777777777777777</v>
      </c>
      <c r="Q308" s="11">
        <v>19.0</v>
      </c>
      <c r="R308" s="42">
        <v>0.09027777777777778</v>
      </c>
      <c r="S308" s="13">
        <v>0.06111111111111111</v>
      </c>
      <c r="T308" s="42">
        <v>0.10347222222222222</v>
      </c>
      <c r="U308" s="42">
        <v>0.07708333333333334</v>
      </c>
      <c r="V308" s="44">
        <v>0.02638888888888889</v>
      </c>
      <c r="W308" s="14" t="str">
        <f>+0.38</f>
        <v>#ERROR!</v>
      </c>
      <c r="X308" s="14" t="str">
        <f>+0.42</f>
        <v>#ERROR!</v>
      </c>
      <c r="Y308" s="16" t="s">
        <v>3749</v>
      </c>
    </row>
    <row r="309">
      <c r="A309" s="6">
        <v>297.0</v>
      </c>
      <c r="B309" s="7" t="s">
        <v>3750</v>
      </c>
      <c r="C309" s="8" t="s">
        <v>3751</v>
      </c>
      <c r="D309" s="9" t="s">
        <v>66</v>
      </c>
      <c r="E309" s="7" t="s">
        <v>3752</v>
      </c>
      <c r="F309" s="9">
        <v>24.0</v>
      </c>
      <c r="G309" s="9">
        <v>1999.0</v>
      </c>
      <c r="H309" s="10">
        <v>10.0</v>
      </c>
      <c r="I309" s="11">
        <v>329.0</v>
      </c>
      <c r="J309" s="11">
        <v>33.0</v>
      </c>
      <c r="K309" s="11" t="s">
        <v>1524</v>
      </c>
      <c r="L309" s="11" t="s">
        <v>226</v>
      </c>
      <c r="M309" s="41">
        <v>0.0375</v>
      </c>
      <c r="N309" s="11">
        <v>90.0</v>
      </c>
      <c r="O309" s="42">
        <v>0.0375</v>
      </c>
      <c r="P309" s="41">
        <v>0.09444444444444444</v>
      </c>
      <c r="Q309" s="11">
        <v>19.0</v>
      </c>
      <c r="R309" s="42">
        <v>0.13194444444444445</v>
      </c>
      <c r="S309" s="13">
        <v>0.10416666666666667</v>
      </c>
      <c r="T309" s="42">
        <v>0.04722222222222222</v>
      </c>
      <c r="U309" s="42">
        <v>0.06597222222222222</v>
      </c>
      <c r="V309" s="45">
        <v>-0.01875</v>
      </c>
      <c r="W309" s="15">
        <v>-0.01875</v>
      </c>
      <c r="X309" s="15">
        <v>-0.05416666666666667</v>
      </c>
      <c r="Y309" s="16" t="s">
        <v>3753</v>
      </c>
    </row>
    <row r="310">
      <c r="A310" s="6">
        <v>298.0</v>
      </c>
      <c r="B310" s="7" t="s">
        <v>3754</v>
      </c>
      <c r="C310" s="8" t="s">
        <v>3755</v>
      </c>
      <c r="D310" s="9" t="s">
        <v>66</v>
      </c>
      <c r="E310" s="7" t="s">
        <v>3756</v>
      </c>
      <c r="F310" s="9">
        <v>30.0</v>
      </c>
      <c r="G310" s="9">
        <v>1993.0</v>
      </c>
      <c r="H310" s="10">
        <v>28.0</v>
      </c>
      <c r="I310" s="11">
        <v>2.352</v>
      </c>
      <c r="J310" s="11">
        <v>84.0</v>
      </c>
      <c r="K310" s="11" t="s">
        <v>1529</v>
      </c>
      <c r="L310" s="11" t="s">
        <v>1530</v>
      </c>
      <c r="M310" s="41">
        <v>0.04375</v>
      </c>
      <c r="N310" s="11">
        <v>86.0</v>
      </c>
      <c r="O310" s="42">
        <v>0.06388888888888888</v>
      </c>
      <c r="P310" s="41">
        <v>0.002777777777777778</v>
      </c>
      <c r="Q310" s="11">
        <v>23.0</v>
      </c>
      <c r="R310" s="42">
        <v>0.002777777777777778</v>
      </c>
      <c r="S310" s="13">
        <v>0.0763888888888889</v>
      </c>
      <c r="T310" s="42">
        <v>0.10277777777777777</v>
      </c>
      <c r="U310" s="42">
        <v>0.07569444444444444</v>
      </c>
      <c r="V310" s="44">
        <v>0.02638888888888889</v>
      </c>
      <c r="W310" s="14" t="str">
        <f>+0.38</f>
        <v>#ERROR!</v>
      </c>
      <c r="X310" s="14" t="str">
        <f>+2.19</f>
        <v>#ERROR!</v>
      </c>
      <c r="Y310" s="16" t="s">
        <v>3757</v>
      </c>
    </row>
    <row r="311">
      <c r="A311" s="6">
        <v>299.0</v>
      </c>
      <c r="B311" s="7" t="s">
        <v>3758</v>
      </c>
      <c r="C311" s="8" t="s">
        <v>3759</v>
      </c>
      <c r="D311" s="9" t="s">
        <v>52</v>
      </c>
      <c r="E311" s="7" t="s">
        <v>3760</v>
      </c>
      <c r="F311" s="9">
        <v>17.0</v>
      </c>
      <c r="G311" s="9">
        <v>2006.0</v>
      </c>
      <c r="H311" s="10">
        <v>1.0</v>
      </c>
      <c r="I311" s="11">
        <v>1.0</v>
      </c>
      <c r="J311" s="11">
        <v>1.0</v>
      </c>
      <c r="K311" s="12" t="s">
        <v>470</v>
      </c>
      <c r="L311" s="12" t="s">
        <v>470</v>
      </c>
      <c r="M311" s="18">
        <v>0.0</v>
      </c>
      <c r="N311" s="19"/>
      <c r="O311" s="12">
        <v>0.0</v>
      </c>
      <c r="P311" s="10">
        <v>1.0</v>
      </c>
      <c r="Q311" s="11">
        <v>1.0</v>
      </c>
      <c r="R311" s="11">
        <v>12.0</v>
      </c>
      <c r="S311" s="13">
        <v>0.125</v>
      </c>
      <c r="T311" s="12">
        <v>0.0</v>
      </c>
      <c r="U311" s="12">
        <v>0.0</v>
      </c>
      <c r="V311" s="12">
        <v>0.0</v>
      </c>
      <c r="W311" s="21">
        <v>0.0</v>
      </c>
      <c r="X311" s="14" t="str">
        <f>+0.23</f>
        <v>#ERROR!</v>
      </c>
      <c r="Y311" s="16" t="s">
        <v>3761</v>
      </c>
    </row>
    <row r="312">
      <c r="A312" s="6">
        <v>300.0</v>
      </c>
      <c r="B312" s="7" t="s">
        <v>3762</v>
      </c>
      <c r="C312" s="8" t="s">
        <v>3763</v>
      </c>
      <c r="D312" s="9" t="s">
        <v>284</v>
      </c>
      <c r="E312" s="7" t="s">
        <v>3764</v>
      </c>
      <c r="F312" s="9">
        <v>25.0</v>
      </c>
      <c r="G312" s="9">
        <v>1998.0</v>
      </c>
      <c r="H312" s="10">
        <v>22.0</v>
      </c>
      <c r="I312" s="11">
        <v>1.149</v>
      </c>
      <c r="J312" s="11">
        <v>52.0</v>
      </c>
      <c r="K312" s="11" t="s">
        <v>1539</v>
      </c>
      <c r="L312" s="11" t="s">
        <v>1540</v>
      </c>
      <c r="M312" s="41">
        <v>0.043055555555555555</v>
      </c>
      <c r="N312" s="11">
        <v>75.0</v>
      </c>
      <c r="O312" s="42">
        <v>0.021527777777777778</v>
      </c>
      <c r="P312" s="41">
        <v>0.04861111111111111</v>
      </c>
      <c r="Q312" s="11">
        <v>19.0</v>
      </c>
      <c r="R312" s="42">
        <v>0.04375</v>
      </c>
      <c r="S312" s="13">
        <v>0.05763888888888889</v>
      </c>
      <c r="T312" s="42">
        <v>0.06527777777777778</v>
      </c>
      <c r="U312" s="42">
        <v>0.05347222222222222</v>
      </c>
      <c r="V312" s="45">
        <v>-0.01597222222222222</v>
      </c>
      <c r="W312" s="15">
        <v>-0.01597222222222222</v>
      </c>
      <c r="X312" s="14" t="str">
        <f>+0.17</f>
        <v>#ERROR!</v>
      </c>
      <c r="Y312" s="16" t="s">
        <v>3765</v>
      </c>
    </row>
    <row r="313">
      <c r="A313" s="25" t="s">
        <v>0</v>
      </c>
      <c r="B313" s="26" t="s">
        <v>1</v>
      </c>
      <c r="C313" s="27" t="s">
        <v>2</v>
      </c>
      <c r="D313" s="27" t="s">
        <v>3</v>
      </c>
      <c r="E313" s="27" t="s">
        <v>4</v>
      </c>
      <c r="F313" s="27" t="s">
        <v>5</v>
      </c>
      <c r="G313" s="27" t="s">
        <v>6</v>
      </c>
      <c r="H313" s="28" t="s">
        <v>7</v>
      </c>
      <c r="I313" s="27" t="s">
        <v>8</v>
      </c>
      <c r="J313" s="27" t="s">
        <v>9</v>
      </c>
      <c r="K313" s="27" t="s">
        <v>10</v>
      </c>
      <c r="L313" s="27" t="s">
        <v>11</v>
      </c>
      <c r="M313" s="28" t="s">
        <v>12</v>
      </c>
      <c r="N313" s="27" t="s">
        <v>13</v>
      </c>
      <c r="O313" s="27" t="s">
        <v>14</v>
      </c>
      <c r="P313" s="28" t="s">
        <v>15</v>
      </c>
      <c r="Q313" s="27" t="s">
        <v>16</v>
      </c>
      <c r="R313" s="27" t="s">
        <v>17</v>
      </c>
      <c r="S313" s="28" t="s">
        <v>18</v>
      </c>
      <c r="T313" s="27" t="s">
        <v>19</v>
      </c>
      <c r="U313" s="27" t="s">
        <v>20</v>
      </c>
      <c r="V313" s="29" t="str">
        <f>+/-</f>
        <v>#ERROR!</v>
      </c>
      <c r="W313" s="29" t="str">
        <f>+/-90</f>
        <v>#ERROR!</v>
      </c>
      <c r="X313" s="27" t="s">
        <v>21</v>
      </c>
      <c r="Y313" s="28" t="s">
        <v>22</v>
      </c>
    </row>
    <row r="314">
      <c r="A314" s="6">
        <v>301.0</v>
      </c>
      <c r="B314" s="7" t="s">
        <v>3766</v>
      </c>
      <c r="C314" s="8" t="s">
        <v>3767</v>
      </c>
      <c r="D314" s="9" t="s">
        <v>52</v>
      </c>
      <c r="E314" s="7" t="s">
        <v>3768</v>
      </c>
      <c r="F314" s="9">
        <v>18.0</v>
      </c>
      <c r="G314" s="9">
        <v>2006.0</v>
      </c>
      <c r="H314" s="10">
        <v>6.0</v>
      </c>
      <c r="I314" s="11">
        <v>181.0</v>
      </c>
      <c r="J314" s="11">
        <v>30.0</v>
      </c>
      <c r="K314" s="11" t="s">
        <v>412</v>
      </c>
      <c r="L314" s="11" t="s">
        <v>413</v>
      </c>
      <c r="M314" s="41">
        <v>0.041666666666666664</v>
      </c>
      <c r="N314" s="11">
        <v>81.0</v>
      </c>
      <c r="O314" s="43">
        <v>0.0</v>
      </c>
      <c r="P314" s="41">
        <v>0.08333333333333333</v>
      </c>
      <c r="Q314" s="11">
        <v>5.0</v>
      </c>
      <c r="R314" s="42">
        <v>0.375</v>
      </c>
      <c r="S314" s="13">
        <v>0.08333333333333333</v>
      </c>
      <c r="T314" s="42">
        <v>0.08333333333333333</v>
      </c>
      <c r="U314" s="42">
        <v>0.08333333333333333</v>
      </c>
      <c r="V314" s="43">
        <v>0.0</v>
      </c>
      <c r="W314" s="21">
        <v>0.0</v>
      </c>
      <c r="X314" s="15">
        <v>-0.0763888888888889</v>
      </c>
      <c r="Y314" s="16" t="s">
        <v>3769</v>
      </c>
    </row>
    <row r="315">
      <c r="A315" s="6">
        <v>302.0</v>
      </c>
      <c r="B315" s="7" t="s">
        <v>3770</v>
      </c>
      <c r="C315" s="8" t="s">
        <v>3771</v>
      </c>
      <c r="D315" s="9" t="s">
        <v>284</v>
      </c>
      <c r="E315" s="7" t="s">
        <v>3772</v>
      </c>
      <c r="F315" s="9">
        <v>22.0</v>
      </c>
      <c r="G315" s="9">
        <v>2001.0</v>
      </c>
      <c r="H315" s="10">
        <v>10.0</v>
      </c>
      <c r="I315" s="11">
        <v>700.0</v>
      </c>
      <c r="J315" s="11">
        <v>70.0</v>
      </c>
      <c r="K315" s="11" t="s">
        <v>324</v>
      </c>
      <c r="L315" s="11" t="s">
        <v>1196</v>
      </c>
      <c r="M315" s="41">
        <v>0.04375</v>
      </c>
      <c r="N315" s="11">
        <v>79.0</v>
      </c>
      <c r="O315" s="42">
        <v>0.018055555555555554</v>
      </c>
      <c r="P315" s="41">
        <v>0.018055555555555554</v>
      </c>
      <c r="Q315" s="11">
        <v>36.0</v>
      </c>
      <c r="R315" s="43">
        <v>0.0</v>
      </c>
      <c r="S315" s="13">
        <v>0.06944444444444445</v>
      </c>
      <c r="T315" s="42">
        <v>0.10555555555555556</v>
      </c>
      <c r="U315" s="42">
        <v>0.09652777777777778</v>
      </c>
      <c r="V315" s="44">
        <v>0.009027777777777777</v>
      </c>
      <c r="W315" s="14" t="str">
        <f>+0.13</f>
        <v>#ERROR!</v>
      </c>
      <c r="X315" s="14" t="str">
        <f>+0.04</f>
        <v>#ERROR!</v>
      </c>
      <c r="Y315" s="16" t="s">
        <v>3773</v>
      </c>
    </row>
    <row r="316">
      <c r="A316" s="6">
        <v>303.0</v>
      </c>
      <c r="B316" s="7" t="s">
        <v>3774</v>
      </c>
      <c r="C316" s="8" t="s">
        <v>3775</v>
      </c>
      <c r="D316" s="9" t="s">
        <v>45</v>
      </c>
      <c r="E316" s="7" t="s">
        <v>3776</v>
      </c>
      <c r="F316" s="9">
        <v>28.0</v>
      </c>
      <c r="G316" s="9">
        <v>1995.0</v>
      </c>
      <c r="H316" s="10">
        <v>30.0</v>
      </c>
      <c r="I316" s="11">
        <v>2.689</v>
      </c>
      <c r="J316" s="11">
        <v>90.0</v>
      </c>
      <c r="K316" s="11" t="s">
        <v>1553</v>
      </c>
      <c r="L316" s="11" t="s">
        <v>1554</v>
      </c>
      <c r="M316" s="41">
        <v>0.041666666666666664</v>
      </c>
      <c r="N316" s="11">
        <v>90.0</v>
      </c>
      <c r="O316" s="42">
        <v>0.0625</v>
      </c>
      <c r="P316" s="46">
        <v>0.0</v>
      </c>
      <c r="Q316" s="19"/>
      <c r="R316" s="43">
        <v>0.0</v>
      </c>
      <c r="S316" s="13">
        <v>0.08333333333333333</v>
      </c>
      <c r="T316" s="42">
        <v>0.05347222222222222</v>
      </c>
      <c r="U316" s="42">
        <v>0.04861111111111111</v>
      </c>
      <c r="V316" s="44">
        <v>0.004861111111111111</v>
      </c>
      <c r="W316" s="14" t="str">
        <f>+0.07</f>
        <v>#ERROR!</v>
      </c>
      <c r="X316" s="14" t="str">
        <f>+0.07</f>
        <v>#ERROR!</v>
      </c>
      <c r="Y316" s="16" t="s">
        <v>3777</v>
      </c>
    </row>
    <row r="317">
      <c r="A317" s="6">
        <v>304.0</v>
      </c>
      <c r="B317" s="7" t="s">
        <v>3778</v>
      </c>
      <c r="C317" s="8" t="s">
        <v>3779</v>
      </c>
      <c r="D317" s="9" t="s">
        <v>73</v>
      </c>
      <c r="E317" s="7" t="s">
        <v>3780</v>
      </c>
      <c r="F317" s="9">
        <v>31.0</v>
      </c>
      <c r="G317" s="9">
        <v>1992.0</v>
      </c>
      <c r="H317" s="10">
        <v>4.0</v>
      </c>
      <c r="I317" s="11">
        <v>317.0</v>
      </c>
      <c r="J317" s="11">
        <v>79.0</v>
      </c>
      <c r="K317" s="11" t="s">
        <v>634</v>
      </c>
      <c r="L317" s="11" t="s">
        <v>340</v>
      </c>
      <c r="M317" s="41">
        <v>0.059722222222222225</v>
      </c>
      <c r="N317" s="11">
        <v>90.0</v>
      </c>
      <c r="O317" s="42">
        <v>0.059722222222222225</v>
      </c>
      <c r="P317" s="41">
        <v>0.02013888888888889</v>
      </c>
      <c r="Q317" s="11">
        <v>47.0</v>
      </c>
      <c r="R317" s="42">
        <v>0.3215277777777778</v>
      </c>
      <c r="S317" s="13">
        <v>0.09375</v>
      </c>
      <c r="T317" s="42">
        <v>0.07152777777777777</v>
      </c>
      <c r="U317" s="42">
        <v>0.09097222222222222</v>
      </c>
      <c r="V317" s="45">
        <v>-0.02013888888888889</v>
      </c>
      <c r="W317" s="15">
        <v>-0.019444444444444445</v>
      </c>
      <c r="X317" s="15">
        <v>-0.04583333333333333</v>
      </c>
      <c r="Y317" s="16" t="s">
        <v>3781</v>
      </c>
    </row>
    <row r="318">
      <c r="A318" s="6">
        <v>305.0</v>
      </c>
      <c r="B318" s="7" t="s">
        <v>3782</v>
      </c>
      <c r="C318" s="8" t="s">
        <v>3783</v>
      </c>
      <c r="D318" s="9" t="s">
        <v>66</v>
      </c>
      <c r="E318" s="7" t="s">
        <v>3784</v>
      </c>
      <c r="F318" s="9">
        <v>29.0</v>
      </c>
      <c r="G318" s="9">
        <v>1994.0</v>
      </c>
      <c r="H318" s="10">
        <v>27.0</v>
      </c>
      <c r="I318" s="11">
        <v>2.039</v>
      </c>
      <c r="J318" s="11">
        <v>76.0</v>
      </c>
      <c r="K318" s="11" t="s">
        <v>1563</v>
      </c>
      <c r="L318" s="11" t="s">
        <v>1564</v>
      </c>
      <c r="M318" s="41">
        <v>0.04236111111111111</v>
      </c>
      <c r="N318" s="11">
        <v>82.0</v>
      </c>
      <c r="O318" s="42">
        <v>0.03680555555555556</v>
      </c>
      <c r="P318" s="41">
        <v>0.0125</v>
      </c>
      <c r="Q318" s="11">
        <v>38.0</v>
      </c>
      <c r="R318" s="43">
        <v>0.0</v>
      </c>
      <c r="S318" s="13">
        <v>0.06458333333333334</v>
      </c>
      <c r="T318" s="42">
        <v>0.10694444444444444</v>
      </c>
      <c r="U318" s="42">
        <v>0.09444444444444444</v>
      </c>
      <c r="V318" s="44">
        <v>0.0125</v>
      </c>
      <c r="W318" s="14" t="str">
        <f>+0.18</f>
        <v>#ERROR!</v>
      </c>
      <c r="X318" s="14" t="str">
        <f>+0.31</f>
        <v>#ERROR!</v>
      </c>
      <c r="Y318" s="16" t="s">
        <v>3785</v>
      </c>
    </row>
    <row r="319">
      <c r="A319" s="6">
        <v>306.0</v>
      </c>
      <c r="B319" s="7" t="s">
        <v>3786</v>
      </c>
      <c r="C319" s="8" t="s">
        <v>3787</v>
      </c>
      <c r="D319" s="9" t="s">
        <v>52</v>
      </c>
      <c r="E319" s="7" t="s">
        <v>3788</v>
      </c>
      <c r="F319" s="9">
        <v>26.0</v>
      </c>
      <c r="G319" s="9">
        <v>1997.0</v>
      </c>
      <c r="H319" s="10">
        <v>13.0</v>
      </c>
      <c r="I319" s="11">
        <v>1.141</v>
      </c>
      <c r="J319" s="11">
        <v>88.0</v>
      </c>
      <c r="K319" s="11" t="s">
        <v>1569</v>
      </c>
      <c r="L319" s="11" t="s">
        <v>147</v>
      </c>
      <c r="M319" s="41">
        <v>0.06527777777777778</v>
      </c>
      <c r="N319" s="11">
        <v>89.0</v>
      </c>
      <c r="O319" s="42">
        <v>0.06041666666666667</v>
      </c>
      <c r="P319" s="41">
        <v>0.005555555555555556</v>
      </c>
      <c r="Q319" s="11">
        <v>68.0</v>
      </c>
      <c r="R319" s="43">
        <v>0.0</v>
      </c>
      <c r="S319" s="13">
        <v>0.06388888888888888</v>
      </c>
      <c r="T319" s="42">
        <v>0.04861111111111111</v>
      </c>
      <c r="U319" s="42">
        <v>0.059722222222222225</v>
      </c>
      <c r="V319" s="45">
        <v>-0.011111111111111112</v>
      </c>
      <c r="W319" s="15">
        <v>-0.011111111111111112</v>
      </c>
      <c r="X319" s="14" t="str">
        <f>+0.30</f>
        <v>#ERROR!</v>
      </c>
      <c r="Y319" s="16" t="s">
        <v>3789</v>
      </c>
    </row>
    <row r="320">
      <c r="A320" s="6">
        <v>307.0</v>
      </c>
      <c r="B320" s="7" t="s">
        <v>3790</v>
      </c>
      <c r="C320" s="8" t="s">
        <v>3791</v>
      </c>
      <c r="D320" s="9" t="s">
        <v>52</v>
      </c>
      <c r="E320" s="7" t="s">
        <v>3792</v>
      </c>
      <c r="F320" s="9">
        <v>23.0</v>
      </c>
      <c r="G320" s="9">
        <v>2000.0</v>
      </c>
      <c r="H320" s="10">
        <v>16.0</v>
      </c>
      <c r="I320" s="11">
        <v>1.296</v>
      </c>
      <c r="J320" s="11">
        <v>81.0</v>
      </c>
      <c r="K320" s="11" t="s">
        <v>1574</v>
      </c>
      <c r="L320" s="11" t="s">
        <v>1575</v>
      </c>
      <c r="M320" s="41">
        <v>0.044444444444444446</v>
      </c>
      <c r="N320" s="11">
        <v>85.0</v>
      </c>
      <c r="O320" s="42">
        <v>0.03888888888888889</v>
      </c>
      <c r="P320" s="41">
        <v>0.004861111111111111</v>
      </c>
      <c r="Q320" s="11">
        <v>27.0</v>
      </c>
      <c r="R320" s="42">
        <v>0.004861111111111111</v>
      </c>
      <c r="S320" s="13">
        <v>0.059027777777777776</v>
      </c>
      <c r="T320" s="42">
        <v>0.06875</v>
      </c>
      <c r="U320" s="42">
        <v>0.07361111111111111</v>
      </c>
      <c r="V320" s="45">
        <v>-0.004861111111111111</v>
      </c>
      <c r="W320" s="15">
        <v>-0.004861111111111111</v>
      </c>
      <c r="X320" s="14" t="str">
        <f>+1.21</f>
        <v>#ERROR!</v>
      </c>
      <c r="Y320" s="16" t="s">
        <v>3793</v>
      </c>
    </row>
    <row r="321">
      <c r="A321" s="6">
        <v>308.0</v>
      </c>
      <c r="B321" s="7" t="s">
        <v>3794</v>
      </c>
      <c r="C321" s="8" t="s">
        <v>3795</v>
      </c>
      <c r="D321" s="9" t="s">
        <v>59</v>
      </c>
      <c r="E321" s="7" t="s">
        <v>3796</v>
      </c>
      <c r="F321" s="9">
        <v>18.0</v>
      </c>
      <c r="G321" s="9">
        <v>2005.0</v>
      </c>
      <c r="H321" s="10">
        <v>15.0</v>
      </c>
      <c r="I321" s="11">
        <v>599.0</v>
      </c>
      <c r="J321" s="11">
        <v>40.0</v>
      </c>
      <c r="K321" s="11" t="s">
        <v>1580</v>
      </c>
      <c r="L321" s="11" t="s">
        <v>412</v>
      </c>
      <c r="M321" s="41">
        <v>0.044444444444444446</v>
      </c>
      <c r="N321" s="11">
        <v>76.0</v>
      </c>
      <c r="O321" s="42">
        <v>0.010416666666666666</v>
      </c>
      <c r="P321" s="41">
        <v>0.05486111111111111</v>
      </c>
      <c r="Q321" s="11">
        <v>8.0</v>
      </c>
      <c r="R321" s="42">
        <v>0.09652777777777778</v>
      </c>
      <c r="S321" s="13">
        <v>0.07430555555555556</v>
      </c>
      <c r="T321" s="42">
        <v>0.06527777777777778</v>
      </c>
      <c r="U321" s="42">
        <v>0.041666666666666664</v>
      </c>
      <c r="V321" s="44">
        <v>0.052083333333333336</v>
      </c>
      <c r="W321" s="14" t="str">
        <f>+0.75</f>
        <v>#ERROR!</v>
      </c>
      <c r="X321" s="15">
        <v>-0.001388888888888889</v>
      </c>
      <c r="Y321" s="16" t="s">
        <v>3797</v>
      </c>
    </row>
    <row r="322">
      <c r="A322" s="6">
        <v>309.0</v>
      </c>
      <c r="B322" s="7" t="s">
        <v>3798</v>
      </c>
      <c r="C322" s="8" t="s">
        <v>3799</v>
      </c>
      <c r="D322" s="9" t="s">
        <v>45</v>
      </c>
      <c r="E322" s="7" t="s">
        <v>3800</v>
      </c>
      <c r="F322" s="9">
        <v>26.0</v>
      </c>
      <c r="G322" s="9">
        <v>1998.0</v>
      </c>
      <c r="H322" s="10">
        <v>14.0</v>
      </c>
      <c r="I322" s="11">
        <v>721.0</v>
      </c>
      <c r="J322" s="11">
        <v>52.0</v>
      </c>
      <c r="K322" s="11" t="s">
        <v>950</v>
      </c>
      <c r="L322" s="11" t="s">
        <v>951</v>
      </c>
      <c r="M322" s="41">
        <v>0.041666666666666664</v>
      </c>
      <c r="N322" s="11">
        <v>70.0</v>
      </c>
      <c r="O322" s="42">
        <v>0.009027777777777777</v>
      </c>
      <c r="P322" s="41">
        <v>0.052083333333333336</v>
      </c>
      <c r="Q322" s="11">
        <v>27.0</v>
      </c>
      <c r="R322" s="43">
        <v>0.0</v>
      </c>
      <c r="S322" s="13">
        <v>0.041666666666666664</v>
      </c>
      <c r="T322" s="42">
        <v>0.041666666666666664</v>
      </c>
      <c r="U322" s="42">
        <v>0.0763888888888889</v>
      </c>
      <c r="V322" s="45">
        <v>-0.034722222222222224</v>
      </c>
      <c r="W322" s="15">
        <v>-0.034722222222222224</v>
      </c>
      <c r="X322" s="14" t="str">
        <f>+0.14</f>
        <v>#ERROR!</v>
      </c>
      <c r="Y322" s="16" t="s">
        <v>3801</v>
      </c>
    </row>
    <row r="323">
      <c r="A323" s="6">
        <v>310.0</v>
      </c>
      <c r="B323" s="7" t="s">
        <v>3802</v>
      </c>
      <c r="C323" s="8" t="s">
        <v>3803</v>
      </c>
      <c r="D323" s="9" t="s">
        <v>59</v>
      </c>
      <c r="E323" s="7" t="s">
        <v>3804</v>
      </c>
      <c r="F323" s="9">
        <v>25.0</v>
      </c>
      <c r="G323" s="9">
        <v>1998.0</v>
      </c>
      <c r="H323" s="10">
        <v>25.0</v>
      </c>
      <c r="I323" s="11">
        <v>1.051</v>
      </c>
      <c r="J323" s="11">
        <v>42.0</v>
      </c>
      <c r="K323" s="11" t="s">
        <v>1589</v>
      </c>
      <c r="L323" s="11" t="s">
        <v>634</v>
      </c>
      <c r="M323" s="41">
        <v>0.06527777777777778</v>
      </c>
      <c r="N323" s="11">
        <v>72.0</v>
      </c>
      <c r="O323" s="42">
        <v>0.011805555555555555</v>
      </c>
      <c r="P323" s="41">
        <v>0.05555555555555555</v>
      </c>
      <c r="Q323" s="11">
        <v>19.0</v>
      </c>
      <c r="R323" s="42">
        <v>0.018055555555555554</v>
      </c>
      <c r="S323" s="13">
        <v>0.044444444444444446</v>
      </c>
      <c r="T323" s="42">
        <v>0.04375</v>
      </c>
      <c r="U323" s="42">
        <v>0.08472222222222223</v>
      </c>
      <c r="V323" s="45">
        <v>-0.041666666666666664</v>
      </c>
      <c r="W323" s="15">
        <v>-0.041666666666666664</v>
      </c>
      <c r="X323" s="14" t="str">
        <f>+0.11</f>
        <v>#ERROR!</v>
      </c>
      <c r="Y323" s="16" t="s">
        <v>3805</v>
      </c>
    </row>
    <row r="324">
      <c r="A324" s="6">
        <v>311.0</v>
      </c>
      <c r="B324" s="7" t="s">
        <v>3806</v>
      </c>
      <c r="C324" s="8" t="s">
        <v>3807</v>
      </c>
      <c r="D324" s="9" t="s">
        <v>284</v>
      </c>
      <c r="E324" s="7" t="s">
        <v>3808</v>
      </c>
      <c r="F324" s="9">
        <v>25.0</v>
      </c>
      <c r="G324" s="9">
        <v>1998.0</v>
      </c>
      <c r="H324" s="10">
        <v>18.0</v>
      </c>
      <c r="I324" s="11">
        <v>1.477</v>
      </c>
      <c r="J324" s="11">
        <v>82.0</v>
      </c>
      <c r="K324" s="11" t="s">
        <v>27</v>
      </c>
      <c r="L324" s="11" t="s">
        <v>28</v>
      </c>
      <c r="M324" s="41">
        <v>0.044444444444444446</v>
      </c>
      <c r="N324" s="11">
        <v>85.0</v>
      </c>
      <c r="O324" s="42">
        <v>0.05486111111111111</v>
      </c>
      <c r="P324" s="41">
        <v>0.004166666666666667</v>
      </c>
      <c r="Q324" s="11">
        <v>32.0</v>
      </c>
      <c r="R324" s="42">
        <v>0.004166666666666667</v>
      </c>
      <c r="S324" s="13">
        <v>0.05763888888888889</v>
      </c>
      <c r="T324" s="42">
        <v>0.050694444444444445</v>
      </c>
      <c r="U324" s="42">
        <v>0.07777777777777778</v>
      </c>
      <c r="V324" s="45">
        <v>-0.05486111111111111</v>
      </c>
      <c r="W324" s="15">
        <v>-0.05486111111111111</v>
      </c>
      <c r="X324" s="15">
        <v>-0.034722222222222224</v>
      </c>
      <c r="Y324" s="16" t="s">
        <v>3809</v>
      </c>
    </row>
    <row r="325">
      <c r="A325" s="6">
        <v>312.0</v>
      </c>
      <c r="B325" s="7" t="s">
        <v>3810</v>
      </c>
      <c r="C325" s="8" t="s">
        <v>3811</v>
      </c>
      <c r="D325" s="9" t="s">
        <v>52</v>
      </c>
      <c r="E325" s="7" t="s">
        <v>3812</v>
      </c>
      <c r="F325" s="9">
        <v>19.0</v>
      </c>
      <c r="G325" s="9">
        <v>2004.0</v>
      </c>
      <c r="H325" s="10">
        <v>11.0</v>
      </c>
      <c r="I325" s="11">
        <v>242.0</v>
      </c>
      <c r="J325" s="11">
        <v>22.0</v>
      </c>
      <c r="K325" s="11" t="s">
        <v>674</v>
      </c>
      <c r="L325" s="11" t="s">
        <v>618</v>
      </c>
      <c r="M325" s="41">
        <v>0.025694444444444443</v>
      </c>
      <c r="N325" s="11">
        <v>71.0</v>
      </c>
      <c r="O325" s="43">
        <v>0.0</v>
      </c>
      <c r="P325" s="41">
        <v>0.1736111111111111</v>
      </c>
      <c r="Q325" s="11">
        <v>17.0</v>
      </c>
      <c r="R325" s="42">
        <v>0.075</v>
      </c>
      <c r="S325" s="13">
        <v>0.041666666666666664</v>
      </c>
      <c r="T325" s="42">
        <v>0.05138888888888889</v>
      </c>
      <c r="U325" s="42">
        <v>0.05138888888888889</v>
      </c>
      <c r="V325" s="43">
        <v>0.0</v>
      </c>
      <c r="W325" s="21">
        <v>0.0</v>
      </c>
      <c r="X325" s="14" t="str">
        <f>+0.62</f>
        <v>#ERROR!</v>
      </c>
      <c r="Y325" s="16" t="s">
        <v>3813</v>
      </c>
    </row>
    <row r="326">
      <c r="A326" s="6">
        <v>313.0</v>
      </c>
      <c r="B326" s="7" t="s">
        <v>3814</v>
      </c>
      <c r="C326" s="8" t="s">
        <v>3815</v>
      </c>
      <c r="D326" s="9" t="s">
        <v>66</v>
      </c>
      <c r="E326" s="7" t="s">
        <v>3816</v>
      </c>
      <c r="F326" s="9">
        <v>19.0</v>
      </c>
      <c r="G326" s="9">
        <v>2005.0</v>
      </c>
      <c r="H326" s="10">
        <v>11.0</v>
      </c>
      <c r="I326" s="11">
        <v>535.0</v>
      </c>
      <c r="J326" s="11">
        <v>49.0</v>
      </c>
      <c r="K326" s="11" t="s">
        <v>1602</v>
      </c>
      <c r="L326" s="11" t="s">
        <v>1603</v>
      </c>
      <c r="M326" s="41">
        <v>0.043055555555555555</v>
      </c>
      <c r="N326" s="11">
        <v>80.0</v>
      </c>
      <c r="O326" s="42">
        <v>0.035416666666666666</v>
      </c>
      <c r="P326" s="41">
        <v>0.059027777777777776</v>
      </c>
      <c r="Q326" s="11">
        <v>12.0</v>
      </c>
      <c r="R326" s="42">
        <v>0.14444444444444443</v>
      </c>
      <c r="S326" s="13">
        <v>0.10486111111111111</v>
      </c>
      <c r="T326" s="42">
        <v>0.07847222222222222</v>
      </c>
      <c r="U326" s="42">
        <v>0.06666666666666667</v>
      </c>
      <c r="V326" s="44">
        <v>0.011805555555555555</v>
      </c>
      <c r="W326" s="14" t="str">
        <f>+0.17</f>
        <v>#ERROR!</v>
      </c>
      <c r="X326" s="15">
        <v>-0.07916666666666666</v>
      </c>
      <c r="Y326" s="16" t="s">
        <v>3817</v>
      </c>
    </row>
    <row r="327">
      <c r="A327" s="6">
        <v>314.0</v>
      </c>
      <c r="B327" s="7" t="s">
        <v>3818</v>
      </c>
      <c r="C327" s="8" t="s">
        <v>3819</v>
      </c>
      <c r="D327" s="9" t="s">
        <v>66</v>
      </c>
      <c r="E327" s="7" t="s">
        <v>3820</v>
      </c>
      <c r="F327" s="9">
        <v>18.0</v>
      </c>
      <c r="G327" s="9">
        <v>2005.0</v>
      </c>
      <c r="H327" s="18">
        <v>0.0</v>
      </c>
      <c r="I327" s="19"/>
      <c r="J327" s="19"/>
      <c r="K327" s="19"/>
      <c r="L327" s="19"/>
      <c r="M327" s="18">
        <v>0.0</v>
      </c>
      <c r="N327" s="19"/>
      <c r="O327" s="12">
        <v>0.0</v>
      </c>
      <c r="P327" s="18">
        <v>0.0</v>
      </c>
      <c r="Q327" s="19"/>
      <c r="R327" s="11">
        <v>2.0</v>
      </c>
      <c r="S327" s="24"/>
      <c r="T327" s="19"/>
      <c r="U327" s="19"/>
      <c r="V327" s="19"/>
      <c r="W327" s="19"/>
      <c r="X327" s="19"/>
      <c r="Y327" s="16" t="s">
        <v>3821</v>
      </c>
    </row>
    <row r="328">
      <c r="A328" s="6">
        <v>315.0</v>
      </c>
      <c r="B328" s="7" t="s">
        <v>3822</v>
      </c>
      <c r="C328" s="8" t="s">
        <v>3823</v>
      </c>
      <c r="D328" s="9" t="s">
        <v>66</v>
      </c>
      <c r="E328" s="7" t="s">
        <v>3824</v>
      </c>
      <c r="F328" s="9">
        <v>21.0</v>
      </c>
      <c r="G328" s="9">
        <v>2002.0</v>
      </c>
      <c r="H328" s="10">
        <v>6.0</v>
      </c>
      <c r="I328" s="11">
        <v>211.0</v>
      </c>
      <c r="J328" s="11">
        <v>35.0</v>
      </c>
      <c r="K328" s="11" t="s">
        <v>1196</v>
      </c>
      <c r="L328" s="11" t="s">
        <v>207</v>
      </c>
      <c r="M328" s="41">
        <v>0.06041666666666667</v>
      </c>
      <c r="N328" s="11">
        <v>68.0</v>
      </c>
      <c r="O328" s="42">
        <v>0.029861111111111113</v>
      </c>
      <c r="P328" s="41">
        <v>0.09305555555555556</v>
      </c>
      <c r="Q328" s="11">
        <v>19.0</v>
      </c>
      <c r="R328" s="42">
        <v>0.09305555555555556</v>
      </c>
      <c r="S328" s="13">
        <v>0.04652777777777778</v>
      </c>
      <c r="T328" s="42">
        <v>0.06041666666666667</v>
      </c>
      <c r="U328" s="42">
        <v>0.09513888888888888</v>
      </c>
      <c r="V328" s="45">
        <v>-0.0625</v>
      </c>
      <c r="W328" s="15">
        <v>-0.06111111111111111</v>
      </c>
      <c r="X328" s="15">
        <v>-0.07083333333333333</v>
      </c>
      <c r="Y328" s="16" t="s">
        <v>3825</v>
      </c>
    </row>
    <row r="329">
      <c r="A329" s="6">
        <v>316.0</v>
      </c>
      <c r="B329" s="7" t="s">
        <v>3826</v>
      </c>
      <c r="C329" s="8" t="s">
        <v>3827</v>
      </c>
      <c r="D329" s="9" t="s">
        <v>32</v>
      </c>
      <c r="E329" s="7" t="s">
        <v>3828</v>
      </c>
      <c r="F329" s="9">
        <v>19.0</v>
      </c>
      <c r="G329" s="9">
        <v>2004.0</v>
      </c>
      <c r="H329" s="10">
        <v>21.0</v>
      </c>
      <c r="I329" s="11">
        <v>745.0</v>
      </c>
      <c r="J329" s="11">
        <v>35.0</v>
      </c>
      <c r="K329" s="11" t="s">
        <v>286</v>
      </c>
      <c r="L329" s="11" t="s">
        <v>287</v>
      </c>
      <c r="M329" s="41">
        <v>0.06666666666666667</v>
      </c>
      <c r="N329" s="11">
        <v>65.0</v>
      </c>
      <c r="O329" s="43">
        <v>0.0</v>
      </c>
      <c r="P329" s="41">
        <v>0.08125</v>
      </c>
      <c r="Q329" s="11">
        <v>18.0</v>
      </c>
      <c r="R329" s="42">
        <v>0.03333333333333333</v>
      </c>
      <c r="S329" s="13">
        <v>0.08819444444444445</v>
      </c>
      <c r="T329" s="42">
        <v>0.04722222222222222</v>
      </c>
      <c r="U329" s="42">
        <v>0.058333333333333334</v>
      </c>
      <c r="V329" s="44">
        <v>0.016666666666666666</v>
      </c>
      <c r="W329" s="14" t="str">
        <f>+0.24</f>
        <v>#ERROR!</v>
      </c>
      <c r="X329" s="15">
        <v>-0.005555555555555556</v>
      </c>
      <c r="Y329" s="16" t="s">
        <v>3829</v>
      </c>
    </row>
    <row r="330">
      <c r="A330" s="6">
        <v>317.0</v>
      </c>
      <c r="B330" s="7" t="s">
        <v>3830</v>
      </c>
      <c r="C330" s="8" t="s">
        <v>3831</v>
      </c>
      <c r="D330" s="9" t="s">
        <v>66</v>
      </c>
      <c r="E330" s="7" t="s">
        <v>3832</v>
      </c>
      <c r="F330" s="9">
        <v>22.0</v>
      </c>
      <c r="G330" s="9">
        <v>2001.0</v>
      </c>
      <c r="H330" s="10">
        <v>14.0</v>
      </c>
      <c r="I330" s="11">
        <v>1.006</v>
      </c>
      <c r="J330" s="11">
        <v>72.0</v>
      </c>
      <c r="K330" s="11" t="s">
        <v>1217</v>
      </c>
      <c r="L330" s="11" t="s">
        <v>1218</v>
      </c>
      <c r="M330" s="41">
        <v>0.06805555555555555</v>
      </c>
      <c r="N330" s="11">
        <v>87.0</v>
      </c>
      <c r="O330" s="42">
        <v>0.06180555555555556</v>
      </c>
      <c r="P330" s="41">
        <v>0.01875</v>
      </c>
      <c r="Q330" s="11">
        <v>16.0</v>
      </c>
      <c r="R330" s="42">
        <v>0.00625</v>
      </c>
      <c r="S330" s="13">
        <v>0.059722222222222225</v>
      </c>
      <c r="T330" s="42">
        <v>0.05555555555555555</v>
      </c>
      <c r="U330" s="42">
        <v>0.05277777777777778</v>
      </c>
      <c r="V330" s="45">
        <v>-0.025</v>
      </c>
      <c r="W330" s="15">
        <v>-0.025</v>
      </c>
      <c r="X330" s="14" t="str">
        <f>+0.33</f>
        <v>#ERROR!</v>
      </c>
      <c r="Y330" s="16" t="s">
        <v>3833</v>
      </c>
    </row>
    <row r="331">
      <c r="A331" s="6">
        <v>318.0</v>
      </c>
      <c r="B331" s="7" t="s">
        <v>3834</v>
      </c>
      <c r="C331" s="8" t="s">
        <v>3835</v>
      </c>
      <c r="D331" s="9" t="s">
        <v>52</v>
      </c>
      <c r="E331" s="7" t="s">
        <v>3836</v>
      </c>
      <c r="F331" s="9">
        <v>23.0</v>
      </c>
      <c r="G331" s="9">
        <v>2000.0</v>
      </c>
      <c r="H331" s="10">
        <v>4.0</v>
      </c>
      <c r="I331" s="11">
        <v>22.0</v>
      </c>
      <c r="J331" s="11">
        <v>6.0</v>
      </c>
      <c r="K331" s="11" t="s">
        <v>245</v>
      </c>
      <c r="L331" s="11" t="s">
        <v>48</v>
      </c>
      <c r="M331" s="46">
        <v>0.0</v>
      </c>
      <c r="N331" s="19"/>
      <c r="O331" s="43">
        <v>0.0</v>
      </c>
      <c r="P331" s="47" t="s">
        <v>654</v>
      </c>
      <c r="Q331" s="11">
        <v>6.0</v>
      </c>
      <c r="R331" s="48" t="s">
        <v>75</v>
      </c>
      <c r="S331" s="13">
        <v>0.0763888888888889</v>
      </c>
      <c r="T331" s="42">
        <v>0.20833333333333334</v>
      </c>
      <c r="U331" s="48" t="s">
        <v>268</v>
      </c>
      <c r="V331" s="45">
        <v>-0.20833333333333334</v>
      </c>
      <c r="W331" s="15">
        <v>-0.17291666666666666</v>
      </c>
      <c r="X331" s="15">
        <v>-0.17777777777777778</v>
      </c>
      <c r="Y331" s="16" t="s">
        <v>3837</v>
      </c>
    </row>
    <row r="332">
      <c r="A332" s="6">
        <v>319.0</v>
      </c>
      <c r="B332" s="7" t="s">
        <v>3838</v>
      </c>
      <c r="C332" s="8" t="s">
        <v>3839</v>
      </c>
      <c r="D332" s="9" t="s">
        <v>25</v>
      </c>
      <c r="E332" s="7" t="s">
        <v>3840</v>
      </c>
      <c r="F332" s="9">
        <v>32.0</v>
      </c>
      <c r="G332" s="9">
        <v>1992.0</v>
      </c>
      <c r="H332" s="10">
        <v>9.0</v>
      </c>
      <c r="I332" s="11">
        <v>770.0</v>
      </c>
      <c r="J332" s="11">
        <v>86.0</v>
      </c>
      <c r="K332" s="11" t="s">
        <v>1628</v>
      </c>
      <c r="L332" s="11" t="s">
        <v>1629</v>
      </c>
      <c r="M332" s="41">
        <v>0.04513888888888889</v>
      </c>
      <c r="N332" s="11">
        <v>86.0</v>
      </c>
      <c r="O332" s="42">
        <v>0.04861111111111111</v>
      </c>
      <c r="P332" s="46">
        <v>0.0</v>
      </c>
      <c r="Q332" s="19"/>
      <c r="R332" s="43">
        <v>0.0</v>
      </c>
      <c r="S332" s="13">
        <v>0.041666666666666664</v>
      </c>
      <c r="T332" s="42">
        <v>0.05277777777777778</v>
      </c>
      <c r="U332" s="42">
        <v>0.06944444444444445</v>
      </c>
      <c r="V332" s="45">
        <v>-0.01597222222222222</v>
      </c>
      <c r="W332" s="15">
        <v>-0.01597222222222222</v>
      </c>
      <c r="X332" s="21">
        <v>0.0</v>
      </c>
      <c r="Y332" s="16" t="s">
        <v>3841</v>
      </c>
    </row>
    <row r="333">
      <c r="A333" s="6">
        <v>320.0</v>
      </c>
      <c r="B333" s="7" t="s">
        <v>3842</v>
      </c>
      <c r="C333" s="8" t="s">
        <v>3843</v>
      </c>
      <c r="D333" s="9" t="s">
        <v>73</v>
      </c>
      <c r="E333" s="7" t="s">
        <v>3844</v>
      </c>
      <c r="F333" s="9">
        <v>25.0</v>
      </c>
      <c r="G333" s="9">
        <v>1998.0</v>
      </c>
      <c r="H333" s="18">
        <v>0.0</v>
      </c>
      <c r="I333" s="19"/>
      <c r="J333" s="19"/>
      <c r="K333" s="19"/>
      <c r="L333" s="19"/>
      <c r="M333" s="18">
        <v>0.0</v>
      </c>
      <c r="N333" s="19"/>
      <c r="O333" s="12">
        <v>0.0</v>
      </c>
      <c r="P333" s="18">
        <v>0.0</v>
      </c>
      <c r="Q333" s="19"/>
      <c r="R333" s="11">
        <v>6.0</v>
      </c>
      <c r="S333" s="24"/>
      <c r="T333" s="19"/>
      <c r="U333" s="19"/>
      <c r="V333" s="19"/>
      <c r="W333" s="19"/>
      <c r="X333" s="19"/>
      <c r="Y333" s="16" t="s">
        <v>3845</v>
      </c>
    </row>
    <row r="334">
      <c r="A334" s="6">
        <v>321.0</v>
      </c>
      <c r="B334" s="7" t="s">
        <v>3846</v>
      </c>
      <c r="C334" s="8" t="s">
        <v>3847</v>
      </c>
      <c r="D334" s="9" t="s">
        <v>59</v>
      </c>
      <c r="E334" s="7" t="s">
        <v>3848</v>
      </c>
      <c r="F334" s="9">
        <v>21.0</v>
      </c>
      <c r="G334" s="9">
        <v>2002.0</v>
      </c>
      <c r="H334" s="10">
        <v>29.0</v>
      </c>
      <c r="I334" s="11">
        <v>2.036</v>
      </c>
      <c r="J334" s="11">
        <v>70.0</v>
      </c>
      <c r="K334" s="11" t="s">
        <v>1638</v>
      </c>
      <c r="L334" s="11" t="s">
        <v>969</v>
      </c>
      <c r="M334" s="41">
        <v>0.05486111111111111</v>
      </c>
      <c r="N334" s="11">
        <v>74.0</v>
      </c>
      <c r="O334" s="42">
        <v>0.0125</v>
      </c>
      <c r="P334" s="41">
        <v>0.00625</v>
      </c>
      <c r="Q334" s="11">
        <v>20.0</v>
      </c>
      <c r="R334" s="42">
        <v>0.002777777777777778</v>
      </c>
      <c r="S334" s="13">
        <v>0.06319444444444444</v>
      </c>
      <c r="T334" s="42">
        <v>0.07361111111111111</v>
      </c>
      <c r="U334" s="42">
        <v>0.07361111111111111</v>
      </c>
      <c r="V334" s="43">
        <v>0.0</v>
      </c>
      <c r="W334" s="21">
        <v>0.0</v>
      </c>
      <c r="X334" s="15">
        <v>-0.009722222222222222</v>
      </c>
      <c r="Y334" s="16" t="s">
        <v>3849</v>
      </c>
    </row>
    <row r="335">
      <c r="A335" s="6">
        <v>322.0</v>
      </c>
      <c r="B335" s="7" t="s">
        <v>3850</v>
      </c>
      <c r="C335" s="8" t="s">
        <v>3851</v>
      </c>
      <c r="D335" s="9" t="s">
        <v>66</v>
      </c>
      <c r="E335" s="7" t="s">
        <v>3852</v>
      </c>
      <c r="F335" s="9">
        <v>32.0</v>
      </c>
      <c r="G335" s="9">
        <v>1992.0</v>
      </c>
      <c r="H335" s="10">
        <v>15.0</v>
      </c>
      <c r="I335" s="11">
        <v>1.014</v>
      </c>
      <c r="J335" s="11">
        <v>68.0</v>
      </c>
      <c r="K335" s="11" t="s">
        <v>1643</v>
      </c>
      <c r="L335" s="11" t="s">
        <v>111</v>
      </c>
      <c r="M335" s="41">
        <v>0.06736111111111111</v>
      </c>
      <c r="N335" s="11">
        <v>89.0</v>
      </c>
      <c r="O335" s="42">
        <v>0.06111111111111111</v>
      </c>
      <c r="P335" s="41">
        <v>0.024305555555555556</v>
      </c>
      <c r="Q335" s="11">
        <v>8.0</v>
      </c>
      <c r="R335" s="43">
        <v>0.0</v>
      </c>
      <c r="S335" s="13">
        <v>0.10208333333333333</v>
      </c>
      <c r="T335" s="42">
        <v>0.06736111111111111</v>
      </c>
      <c r="U335" s="42">
        <v>0.06736111111111111</v>
      </c>
      <c r="V335" s="43">
        <v>0.0</v>
      </c>
      <c r="W335" s="21">
        <v>0.0</v>
      </c>
      <c r="X335" s="15">
        <v>-0.01875</v>
      </c>
      <c r="Y335" s="16" t="s">
        <v>3853</v>
      </c>
    </row>
    <row r="336">
      <c r="A336" s="6">
        <v>323.0</v>
      </c>
      <c r="B336" s="7" t="s">
        <v>3854</v>
      </c>
      <c r="C336" s="8" t="s">
        <v>3855</v>
      </c>
      <c r="D336" s="9" t="s">
        <v>52</v>
      </c>
      <c r="E336" s="7" t="s">
        <v>3856</v>
      </c>
      <c r="F336" s="9">
        <v>21.0</v>
      </c>
      <c r="G336" s="9">
        <v>2002.0</v>
      </c>
      <c r="H336" s="10">
        <v>25.0</v>
      </c>
      <c r="I336" s="11">
        <v>1.896</v>
      </c>
      <c r="J336" s="11">
        <v>76.0</v>
      </c>
      <c r="K336" s="11" t="s">
        <v>1648</v>
      </c>
      <c r="L336" s="11" t="s">
        <v>100</v>
      </c>
      <c r="M336" s="41">
        <v>0.041666666666666664</v>
      </c>
      <c r="N336" s="11">
        <v>84.0</v>
      </c>
      <c r="O336" s="42">
        <v>0.03958333333333333</v>
      </c>
      <c r="P336" s="41">
        <v>0.013194444444444444</v>
      </c>
      <c r="Q336" s="11">
        <v>33.0</v>
      </c>
      <c r="R336" s="43">
        <v>0.0</v>
      </c>
      <c r="S336" s="13">
        <v>0.09444444444444444</v>
      </c>
      <c r="T336" s="42">
        <v>0.05763888888888889</v>
      </c>
      <c r="U336" s="42">
        <v>0.059027777777777776</v>
      </c>
      <c r="V336" s="44">
        <v>0.02638888888888889</v>
      </c>
      <c r="W336" s="14" t="str">
        <f>+0.38</f>
        <v>#ERROR!</v>
      </c>
      <c r="X336" s="14" t="str">
        <f>+1.05</f>
        <v>#ERROR!</v>
      </c>
      <c r="Y336" s="16" t="s">
        <v>3857</v>
      </c>
    </row>
    <row r="337">
      <c r="A337" s="6">
        <v>324.0</v>
      </c>
      <c r="B337" s="7" t="s">
        <v>3858</v>
      </c>
      <c r="C337" s="8" t="s">
        <v>3859</v>
      </c>
      <c r="D337" s="9" t="s">
        <v>73</v>
      </c>
      <c r="E337" s="7" t="s">
        <v>3860</v>
      </c>
      <c r="F337" s="9">
        <v>33.0</v>
      </c>
      <c r="G337" s="9">
        <v>1991.0</v>
      </c>
      <c r="H337" s="10">
        <v>18.0</v>
      </c>
      <c r="I337" s="11">
        <v>1.62</v>
      </c>
      <c r="J337" s="11">
        <v>90.0</v>
      </c>
      <c r="K337" s="11" t="s">
        <v>1505</v>
      </c>
      <c r="L337" s="11" t="s">
        <v>1506</v>
      </c>
      <c r="M337" s="41">
        <v>0.041666666666666664</v>
      </c>
      <c r="N337" s="11">
        <v>90.0</v>
      </c>
      <c r="O337" s="42">
        <v>0.041666666666666664</v>
      </c>
      <c r="P337" s="46">
        <v>0.0</v>
      </c>
      <c r="Q337" s="19"/>
      <c r="R337" s="43">
        <v>0.0</v>
      </c>
      <c r="S337" s="13">
        <v>0.06111111111111111</v>
      </c>
      <c r="T337" s="42">
        <v>0.05347222222222222</v>
      </c>
      <c r="U337" s="42">
        <v>0.06875</v>
      </c>
      <c r="V337" s="45">
        <v>-0.015277777777777777</v>
      </c>
      <c r="W337" s="15">
        <v>-0.015277777777777777</v>
      </c>
      <c r="X337" s="14" t="str">
        <f>+1.19</f>
        <v>#ERROR!</v>
      </c>
      <c r="Y337" s="16" t="s">
        <v>3861</v>
      </c>
    </row>
    <row r="338">
      <c r="A338" s="6">
        <v>325.0</v>
      </c>
      <c r="B338" s="7" t="s">
        <v>3862</v>
      </c>
      <c r="C338" s="8" t="s">
        <v>3863</v>
      </c>
      <c r="D338" s="9" t="s">
        <v>73</v>
      </c>
      <c r="E338" s="7" t="s">
        <v>3864</v>
      </c>
      <c r="F338" s="9">
        <v>33.0</v>
      </c>
      <c r="G338" s="9">
        <v>1991.0</v>
      </c>
      <c r="H338" s="10">
        <v>7.0</v>
      </c>
      <c r="I338" s="11">
        <v>630.0</v>
      </c>
      <c r="J338" s="11">
        <v>90.0</v>
      </c>
      <c r="K338" s="11" t="s">
        <v>280</v>
      </c>
      <c r="L338" s="11" t="s">
        <v>1049</v>
      </c>
      <c r="M338" s="41">
        <v>0.041666666666666664</v>
      </c>
      <c r="N338" s="11">
        <v>90.0</v>
      </c>
      <c r="O338" s="42">
        <v>0.041666666666666664</v>
      </c>
      <c r="P338" s="46">
        <v>0.0</v>
      </c>
      <c r="Q338" s="19"/>
      <c r="R338" s="42">
        <v>0.029861111111111113</v>
      </c>
      <c r="S338" s="13">
        <v>0.08125</v>
      </c>
      <c r="T338" s="42">
        <v>0.07152777777777777</v>
      </c>
      <c r="U338" s="42">
        <v>0.06180555555555556</v>
      </c>
      <c r="V338" s="44">
        <v>0.009722222222222222</v>
      </c>
      <c r="W338" s="14" t="str">
        <f>+0.14</f>
        <v>#ERROR!</v>
      </c>
      <c r="X338" s="14" t="str">
        <f>+0.14</f>
        <v>#ERROR!</v>
      </c>
      <c r="Y338" s="16" t="s">
        <v>3865</v>
      </c>
    </row>
    <row r="339">
      <c r="A339" s="25" t="s">
        <v>0</v>
      </c>
      <c r="B339" s="26" t="s">
        <v>1</v>
      </c>
      <c r="C339" s="27" t="s">
        <v>2</v>
      </c>
      <c r="D339" s="27" t="s">
        <v>3</v>
      </c>
      <c r="E339" s="27" t="s">
        <v>4</v>
      </c>
      <c r="F339" s="27" t="s">
        <v>5</v>
      </c>
      <c r="G339" s="27" t="s">
        <v>6</v>
      </c>
      <c r="H339" s="28" t="s">
        <v>7</v>
      </c>
      <c r="I339" s="27" t="s">
        <v>8</v>
      </c>
      <c r="J339" s="27" t="s">
        <v>9</v>
      </c>
      <c r="K339" s="27" t="s">
        <v>10</v>
      </c>
      <c r="L339" s="27" t="s">
        <v>11</v>
      </c>
      <c r="M339" s="28" t="s">
        <v>12</v>
      </c>
      <c r="N339" s="27" t="s">
        <v>13</v>
      </c>
      <c r="O339" s="27" t="s">
        <v>14</v>
      </c>
      <c r="P339" s="28" t="s">
        <v>15</v>
      </c>
      <c r="Q339" s="27" t="s">
        <v>16</v>
      </c>
      <c r="R339" s="27" t="s">
        <v>17</v>
      </c>
      <c r="S339" s="28" t="s">
        <v>18</v>
      </c>
      <c r="T339" s="27" t="s">
        <v>19</v>
      </c>
      <c r="U339" s="27" t="s">
        <v>20</v>
      </c>
      <c r="V339" s="29" t="str">
        <f>+/-</f>
        <v>#ERROR!</v>
      </c>
      <c r="W339" s="29" t="str">
        <f>+/-90</f>
        <v>#ERROR!</v>
      </c>
      <c r="X339" s="27" t="s">
        <v>21</v>
      </c>
      <c r="Y339" s="28" t="s">
        <v>22</v>
      </c>
    </row>
    <row r="340">
      <c r="A340" s="6">
        <v>326.0</v>
      </c>
      <c r="B340" s="7" t="s">
        <v>3866</v>
      </c>
      <c r="C340" s="8" t="s">
        <v>3867</v>
      </c>
      <c r="D340" s="9" t="s">
        <v>52</v>
      </c>
      <c r="E340" s="7" t="s">
        <v>3868</v>
      </c>
      <c r="F340" s="9">
        <v>29.0</v>
      </c>
      <c r="G340" s="9">
        <v>1994.0</v>
      </c>
      <c r="H340" s="10">
        <v>9.0</v>
      </c>
      <c r="I340" s="11">
        <v>429.0</v>
      </c>
      <c r="J340" s="11">
        <v>48.0</v>
      </c>
      <c r="K340" s="11" t="s">
        <v>1661</v>
      </c>
      <c r="L340" s="11" t="s">
        <v>522</v>
      </c>
      <c r="M340" s="41">
        <v>0.04375</v>
      </c>
      <c r="N340" s="11">
        <v>78.0</v>
      </c>
      <c r="O340" s="43">
        <v>0.0</v>
      </c>
      <c r="P340" s="41">
        <v>0.059027777777777776</v>
      </c>
      <c r="Q340" s="11">
        <v>32.0</v>
      </c>
      <c r="R340" s="43">
        <v>0.0</v>
      </c>
      <c r="S340" s="13">
        <v>0.049305555555555554</v>
      </c>
      <c r="T340" s="42">
        <v>0.10277777777777777</v>
      </c>
      <c r="U340" s="42">
        <v>0.044444444444444446</v>
      </c>
      <c r="V340" s="44">
        <v>0.05763888888888889</v>
      </c>
      <c r="W340" s="14" t="str">
        <f>+0.84</f>
        <v>#ERROR!</v>
      </c>
      <c r="X340" s="14" t="str">
        <f>+1.83</f>
        <v>#ERROR!</v>
      </c>
      <c r="Y340" s="16" t="s">
        <v>3869</v>
      </c>
    </row>
    <row r="341">
      <c r="A341" s="6">
        <v>327.0</v>
      </c>
      <c r="B341" s="7" t="s">
        <v>3870</v>
      </c>
      <c r="C341" s="8" t="s">
        <v>3871</v>
      </c>
      <c r="D341" s="9" t="s">
        <v>25</v>
      </c>
      <c r="E341" s="7" t="s">
        <v>3872</v>
      </c>
      <c r="F341" s="9">
        <v>24.0</v>
      </c>
      <c r="G341" s="9">
        <v>1999.0</v>
      </c>
      <c r="H341" s="10">
        <v>20.0</v>
      </c>
      <c r="I341" s="11">
        <v>1.713</v>
      </c>
      <c r="J341" s="11">
        <v>86.0</v>
      </c>
      <c r="K341" s="11" t="s">
        <v>1666</v>
      </c>
      <c r="L341" s="11" t="s">
        <v>1667</v>
      </c>
      <c r="M341" s="41">
        <v>0.041666666666666664</v>
      </c>
      <c r="N341" s="11">
        <v>88.0</v>
      </c>
      <c r="O341" s="42">
        <v>0.06180555555555556</v>
      </c>
      <c r="P341" s="41">
        <v>0.003472222222222222</v>
      </c>
      <c r="Q341" s="11">
        <v>45.0</v>
      </c>
      <c r="R341" s="43">
        <v>0.0</v>
      </c>
      <c r="S341" s="13">
        <v>0.08333333333333333</v>
      </c>
      <c r="T341" s="42">
        <v>0.09305555555555556</v>
      </c>
      <c r="U341" s="42">
        <v>0.08888888888888889</v>
      </c>
      <c r="V341" s="44">
        <v>0.003472222222222222</v>
      </c>
      <c r="W341" s="14" t="str">
        <f>+0.05</f>
        <v>#ERROR!</v>
      </c>
      <c r="X341" s="15">
        <v>-0.021527777777777778</v>
      </c>
      <c r="Y341" s="16" t="s">
        <v>3873</v>
      </c>
    </row>
    <row r="342">
      <c r="A342" s="6">
        <v>328.0</v>
      </c>
      <c r="B342" s="7" t="s">
        <v>3874</v>
      </c>
      <c r="C342" s="8" t="s">
        <v>3875</v>
      </c>
      <c r="D342" s="9" t="s">
        <v>32</v>
      </c>
      <c r="E342" s="7" t="s">
        <v>3876</v>
      </c>
      <c r="F342" s="9">
        <v>27.0</v>
      </c>
      <c r="G342" s="9">
        <v>1996.0</v>
      </c>
      <c r="H342" s="10">
        <v>13.0</v>
      </c>
      <c r="I342" s="11">
        <v>934.0</v>
      </c>
      <c r="J342" s="11">
        <v>72.0</v>
      </c>
      <c r="K342" s="11" t="s">
        <v>1672</v>
      </c>
      <c r="L342" s="11" t="s">
        <v>461</v>
      </c>
      <c r="M342" s="41">
        <v>0.059027777777777776</v>
      </c>
      <c r="N342" s="11">
        <v>72.0</v>
      </c>
      <c r="O342" s="42">
        <v>0.013194444444444444</v>
      </c>
      <c r="P342" s="46">
        <v>0.0</v>
      </c>
      <c r="Q342" s="19"/>
      <c r="R342" s="43">
        <v>0.0</v>
      </c>
      <c r="S342" s="13">
        <v>0.06805555555555555</v>
      </c>
      <c r="T342" s="42">
        <v>0.07916666666666666</v>
      </c>
      <c r="U342" s="42">
        <v>0.07222222222222222</v>
      </c>
      <c r="V342" s="44">
        <v>0.006944444444444444</v>
      </c>
      <c r="W342" s="14" t="str">
        <f>+0.10</f>
        <v>#ERROR!</v>
      </c>
      <c r="X342" s="14" t="str">
        <f>+1.06</f>
        <v>#ERROR!</v>
      </c>
      <c r="Y342" s="16" t="s">
        <v>3877</v>
      </c>
    </row>
    <row r="343">
      <c r="A343" s="6">
        <v>329.0</v>
      </c>
      <c r="B343" s="7" t="s">
        <v>3878</v>
      </c>
      <c r="C343" s="8" t="s">
        <v>3879</v>
      </c>
      <c r="D343" s="9" t="s">
        <v>66</v>
      </c>
      <c r="E343" s="7" t="s">
        <v>3880</v>
      </c>
      <c r="F343" s="9">
        <v>38.0</v>
      </c>
      <c r="G343" s="9">
        <v>1985.0</v>
      </c>
      <c r="H343" s="10">
        <v>2.0</v>
      </c>
      <c r="I343" s="11">
        <v>94.0</v>
      </c>
      <c r="J343" s="11">
        <v>47.0</v>
      </c>
      <c r="K343" s="11" t="s">
        <v>340</v>
      </c>
      <c r="L343" s="11" t="s">
        <v>577</v>
      </c>
      <c r="M343" s="41">
        <v>0.041666666666666664</v>
      </c>
      <c r="N343" s="11">
        <v>75.0</v>
      </c>
      <c r="O343" s="43">
        <v>0.0</v>
      </c>
      <c r="P343" s="41">
        <v>0.041666666666666664</v>
      </c>
      <c r="Q343" s="11">
        <v>19.0</v>
      </c>
      <c r="R343" s="43">
        <v>0.0</v>
      </c>
      <c r="S343" s="13">
        <v>0.0763888888888889</v>
      </c>
      <c r="T343" s="42">
        <v>0.125</v>
      </c>
      <c r="U343" s="42">
        <v>0.08333333333333333</v>
      </c>
      <c r="V343" s="44">
        <v>0.041666666666666664</v>
      </c>
      <c r="W343" s="14" t="str">
        <f>+0.96</f>
        <v>#ERROR!</v>
      </c>
      <c r="X343" s="15">
        <v>-0.03194444444444444</v>
      </c>
      <c r="Y343" s="16" t="s">
        <v>3881</v>
      </c>
    </row>
    <row r="344">
      <c r="A344" s="6">
        <v>330.0</v>
      </c>
      <c r="B344" s="7" t="s">
        <v>3882</v>
      </c>
      <c r="C344" s="8" t="s">
        <v>3883</v>
      </c>
      <c r="D344" s="9" t="s">
        <v>284</v>
      </c>
      <c r="E344" s="7" t="s">
        <v>3884</v>
      </c>
      <c r="F344" s="9">
        <v>20.0</v>
      </c>
      <c r="G344" s="9">
        <v>2003.0</v>
      </c>
      <c r="H344" s="10">
        <v>23.0</v>
      </c>
      <c r="I344" s="11">
        <v>1.367</v>
      </c>
      <c r="J344" s="11">
        <v>59.0</v>
      </c>
      <c r="K344" s="11" t="s">
        <v>1681</v>
      </c>
      <c r="L344" s="11" t="s">
        <v>790</v>
      </c>
      <c r="M344" s="41">
        <v>0.06875</v>
      </c>
      <c r="N344" s="11">
        <v>82.0</v>
      </c>
      <c r="O344" s="42">
        <v>0.04097222222222222</v>
      </c>
      <c r="P344" s="41">
        <v>0.03680555555555556</v>
      </c>
      <c r="Q344" s="11">
        <v>18.0</v>
      </c>
      <c r="R344" s="42">
        <v>0.03194444444444444</v>
      </c>
      <c r="S344" s="13">
        <v>0.05416666666666667</v>
      </c>
      <c r="T344" s="42">
        <v>0.07708333333333334</v>
      </c>
      <c r="U344" s="42">
        <v>0.10486111111111111</v>
      </c>
      <c r="V344" s="45">
        <v>-0.027083333333333334</v>
      </c>
      <c r="W344" s="15">
        <v>-0.027777777777777776</v>
      </c>
      <c r="X344" s="14" t="str">
        <f>+0.55</f>
        <v>#ERROR!</v>
      </c>
      <c r="Y344" s="16" t="s">
        <v>3885</v>
      </c>
    </row>
    <row r="345">
      <c r="A345" s="6">
        <v>331.0</v>
      </c>
      <c r="B345" s="7" t="s">
        <v>3886</v>
      </c>
      <c r="C345" s="8" t="s">
        <v>3887</v>
      </c>
      <c r="D345" s="9" t="s">
        <v>73</v>
      </c>
      <c r="E345" s="7" t="s">
        <v>3888</v>
      </c>
      <c r="F345" s="9">
        <v>20.0</v>
      </c>
      <c r="G345" s="9">
        <v>2003.0</v>
      </c>
      <c r="H345" s="10">
        <v>5.0</v>
      </c>
      <c r="I345" s="11">
        <v>450.0</v>
      </c>
      <c r="J345" s="11">
        <v>90.0</v>
      </c>
      <c r="K345" s="11" t="s">
        <v>293</v>
      </c>
      <c r="L345" s="11" t="s">
        <v>1063</v>
      </c>
      <c r="M345" s="41">
        <v>0.041666666666666664</v>
      </c>
      <c r="N345" s="11">
        <v>90.0</v>
      </c>
      <c r="O345" s="42">
        <v>0.041666666666666664</v>
      </c>
      <c r="P345" s="46">
        <v>0.0</v>
      </c>
      <c r="Q345" s="19"/>
      <c r="R345" s="42">
        <v>0.08333333333333333</v>
      </c>
      <c r="S345" s="13">
        <v>0.06944444444444445</v>
      </c>
      <c r="T345" s="42">
        <v>0.125</v>
      </c>
      <c r="U345" s="42">
        <v>0.1111111111111111</v>
      </c>
      <c r="V345" s="44">
        <v>0.013888888888888888</v>
      </c>
      <c r="W345" s="14" t="str">
        <f>+0.20</f>
        <v>#ERROR!</v>
      </c>
      <c r="X345" s="14" t="str">
        <f>+0.52</f>
        <v>#ERROR!</v>
      </c>
      <c r="Y345" s="16" t="s">
        <v>3889</v>
      </c>
    </row>
    <row r="346">
      <c r="A346" s="6">
        <v>332.0</v>
      </c>
      <c r="B346" s="7" t="s">
        <v>3890</v>
      </c>
      <c r="C346" s="8" t="s">
        <v>3891</v>
      </c>
      <c r="D346" s="9" t="s">
        <v>45</v>
      </c>
      <c r="E346" s="7" t="s">
        <v>3892</v>
      </c>
      <c r="F346" s="9">
        <v>24.0</v>
      </c>
      <c r="G346" s="9">
        <v>1999.0</v>
      </c>
      <c r="H346" s="10">
        <v>13.0</v>
      </c>
      <c r="I346" s="11">
        <v>1.001</v>
      </c>
      <c r="J346" s="11">
        <v>77.0</v>
      </c>
      <c r="K346" s="11" t="s">
        <v>1690</v>
      </c>
      <c r="L346" s="11" t="s">
        <v>1691</v>
      </c>
      <c r="M346" s="41">
        <v>0.05347222222222222</v>
      </c>
      <c r="N346" s="11">
        <v>77.0</v>
      </c>
      <c r="O346" s="42">
        <v>0.03125</v>
      </c>
      <c r="P346" s="46">
        <v>0.0</v>
      </c>
      <c r="Q346" s="19"/>
      <c r="R346" s="43">
        <v>0.0</v>
      </c>
      <c r="S346" s="13">
        <v>0.05347222222222222</v>
      </c>
      <c r="T346" s="42">
        <v>0.05</v>
      </c>
      <c r="U346" s="42">
        <v>0.09097222222222222</v>
      </c>
      <c r="V346" s="45">
        <v>-0.06875</v>
      </c>
      <c r="W346" s="15">
        <v>-0.06875</v>
      </c>
      <c r="X346" s="15">
        <v>-0.044444444444444446</v>
      </c>
      <c r="Y346" s="16" t="s">
        <v>3893</v>
      </c>
    </row>
    <row r="347">
      <c r="A347" s="6">
        <v>333.0</v>
      </c>
      <c r="B347" s="7" t="s">
        <v>3894</v>
      </c>
      <c r="C347" s="8" t="s">
        <v>3895</v>
      </c>
      <c r="D347" s="9" t="s">
        <v>66</v>
      </c>
      <c r="E347" s="7" t="s">
        <v>3896</v>
      </c>
      <c r="F347" s="9">
        <v>25.0</v>
      </c>
      <c r="G347" s="9">
        <v>1998.0</v>
      </c>
      <c r="H347" s="10">
        <v>16.0</v>
      </c>
      <c r="I347" s="11">
        <v>441.0</v>
      </c>
      <c r="J347" s="11">
        <v>28.0</v>
      </c>
      <c r="K347" s="11" t="s">
        <v>1696</v>
      </c>
      <c r="L347" s="11" t="s">
        <v>1697</v>
      </c>
      <c r="M347" s="41">
        <v>0.04236111111111111</v>
      </c>
      <c r="N347" s="11">
        <v>90.0</v>
      </c>
      <c r="O347" s="42">
        <v>0.04236111111111111</v>
      </c>
      <c r="P347" s="41">
        <v>0.1284722222222222</v>
      </c>
      <c r="Q347" s="11">
        <v>13.0</v>
      </c>
      <c r="R347" s="42">
        <v>0.08611111111111111</v>
      </c>
      <c r="S347" s="13">
        <v>0.07222222222222222</v>
      </c>
      <c r="T347" s="42">
        <v>0.07152777777777777</v>
      </c>
      <c r="U347" s="42">
        <v>0.11458333333333333</v>
      </c>
      <c r="V347" s="45">
        <v>-0.043055555555555555</v>
      </c>
      <c r="W347" s="15">
        <v>-0.043055555555555555</v>
      </c>
      <c r="X347" s="15">
        <v>-0.059722222222222225</v>
      </c>
      <c r="Y347" s="16" t="s">
        <v>3897</v>
      </c>
    </row>
    <row r="348">
      <c r="A348" s="6">
        <v>334.0</v>
      </c>
      <c r="B348" s="7" t="s">
        <v>3898</v>
      </c>
      <c r="C348" s="8" t="s">
        <v>3899</v>
      </c>
      <c r="D348" s="9" t="s">
        <v>52</v>
      </c>
      <c r="E348" s="7" t="s">
        <v>3900</v>
      </c>
      <c r="F348" s="9">
        <v>21.0</v>
      </c>
      <c r="G348" s="9">
        <v>2002.0</v>
      </c>
      <c r="H348" s="10">
        <v>17.0</v>
      </c>
      <c r="I348" s="11">
        <v>1.331</v>
      </c>
      <c r="J348" s="11">
        <v>78.0</v>
      </c>
      <c r="K348" s="11" t="s">
        <v>1702</v>
      </c>
      <c r="L348" s="11" t="s">
        <v>1703</v>
      </c>
      <c r="M348" s="41">
        <v>0.04722222222222222</v>
      </c>
      <c r="N348" s="11">
        <v>81.0</v>
      </c>
      <c r="O348" s="42">
        <v>0.02847222222222222</v>
      </c>
      <c r="P348" s="41">
        <v>0.004861111111111111</v>
      </c>
      <c r="Q348" s="11">
        <v>29.0</v>
      </c>
      <c r="R348" s="43">
        <v>0.0</v>
      </c>
      <c r="S348" s="13">
        <v>0.1</v>
      </c>
      <c r="T348" s="42">
        <v>0.12777777777777777</v>
      </c>
      <c r="U348" s="42">
        <v>0.05625</v>
      </c>
      <c r="V348" s="44">
        <v>0.09861111111111111</v>
      </c>
      <c r="W348" s="14" t="str">
        <f>+1.83</f>
        <v>#ERROR!</v>
      </c>
      <c r="X348" s="14" t="str">
        <f>+0.84</f>
        <v>#ERROR!</v>
      </c>
      <c r="Y348" s="16" t="s">
        <v>3901</v>
      </c>
    </row>
    <row r="349">
      <c r="A349" s="6">
        <v>335.0</v>
      </c>
      <c r="B349" s="7" t="s">
        <v>3902</v>
      </c>
      <c r="C349" s="8" t="s">
        <v>3903</v>
      </c>
      <c r="D349" s="9" t="s">
        <v>52</v>
      </c>
      <c r="E349" s="7" t="s">
        <v>3904</v>
      </c>
      <c r="F349" s="9">
        <v>29.0</v>
      </c>
      <c r="G349" s="9">
        <v>1994.0</v>
      </c>
      <c r="H349" s="10">
        <v>24.0</v>
      </c>
      <c r="I349" s="11">
        <v>1.246</v>
      </c>
      <c r="J349" s="11">
        <v>52.0</v>
      </c>
      <c r="K349" s="11" t="s">
        <v>1708</v>
      </c>
      <c r="L349" s="11" t="s">
        <v>1709</v>
      </c>
      <c r="M349" s="41">
        <v>0.06527777777777778</v>
      </c>
      <c r="N349" s="11">
        <v>74.0</v>
      </c>
      <c r="O349" s="42">
        <v>0.029861111111111113</v>
      </c>
      <c r="P349" s="41">
        <v>0.05555555555555555</v>
      </c>
      <c r="Q349" s="11">
        <v>25.0</v>
      </c>
      <c r="R349" s="42">
        <v>0.025</v>
      </c>
      <c r="S349" s="13">
        <v>0.050694444444444445</v>
      </c>
      <c r="T349" s="42">
        <v>0.04791666666666667</v>
      </c>
      <c r="U349" s="42">
        <v>0.08263888888888889</v>
      </c>
      <c r="V349" s="45">
        <v>-0.035416666666666666</v>
      </c>
      <c r="W349" s="15">
        <v>-0.035416666666666666</v>
      </c>
      <c r="X349" s="15">
        <v>-0.022222222222222223</v>
      </c>
      <c r="Y349" s="16" t="s">
        <v>3905</v>
      </c>
    </row>
    <row r="350">
      <c r="A350" s="6">
        <v>336.0</v>
      </c>
      <c r="B350" s="7" t="s">
        <v>3906</v>
      </c>
      <c r="C350" s="8" t="s">
        <v>3907</v>
      </c>
      <c r="D350" s="9" t="s">
        <v>52</v>
      </c>
      <c r="E350" s="7" t="s">
        <v>3908</v>
      </c>
      <c r="F350" s="9">
        <v>19.0</v>
      </c>
      <c r="G350" s="9">
        <v>2004.0</v>
      </c>
      <c r="H350" s="10">
        <v>16.0</v>
      </c>
      <c r="I350" s="11">
        <v>1.344</v>
      </c>
      <c r="J350" s="11">
        <v>84.0</v>
      </c>
      <c r="K350" s="11" t="s">
        <v>1714</v>
      </c>
      <c r="L350" s="11" t="s">
        <v>1715</v>
      </c>
      <c r="M350" s="41">
        <v>0.04652777777777778</v>
      </c>
      <c r="N350" s="11">
        <v>84.0</v>
      </c>
      <c r="O350" s="42">
        <v>0.03263888888888889</v>
      </c>
      <c r="P350" s="46">
        <v>0.0</v>
      </c>
      <c r="Q350" s="19"/>
      <c r="R350" s="42">
        <v>0.013888888888888888</v>
      </c>
      <c r="S350" s="13">
        <v>0.07222222222222222</v>
      </c>
      <c r="T350" s="42">
        <v>0.05625</v>
      </c>
      <c r="U350" s="42">
        <v>0.05138888888888889</v>
      </c>
      <c r="V350" s="44">
        <v>0.004861111111111111</v>
      </c>
      <c r="W350" s="14" t="str">
        <f>+0.07</f>
        <v>#ERROR!</v>
      </c>
      <c r="X350" s="14" t="str">
        <f>+1.53</f>
        <v>#ERROR!</v>
      </c>
      <c r="Y350" s="16" t="s">
        <v>3909</v>
      </c>
    </row>
    <row r="351">
      <c r="A351" s="6">
        <v>337.0</v>
      </c>
      <c r="B351" s="7" t="s">
        <v>3910</v>
      </c>
      <c r="C351" s="22"/>
      <c r="D351" s="9" t="s">
        <v>52</v>
      </c>
      <c r="E351" s="7" t="s">
        <v>3911</v>
      </c>
      <c r="F351" s="23"/>
      <c r="G351" s="23"/>
      <c r="H351" s="18">
        <v>0.0</v>
      </c>
      <c r="I351" s="19"/>
      <c r="J351" s="19"/>
      <c r="K351" s="19"/>
      <c r="L351" s="19"/>
      <c r="M351" s="18">
        <v>0.0</v>
      </c>
      <c r="N351" s="19"/>
      <c r="O351" s="12">
        <v>0.0</v>
      </c>
      <c r="P351" s="18">
        <v>0.0</v>
      </c>
      <c r="Q351" s="19"/>
      <c r="R351" s="11">
        <v>2.0</v>
      </c>
      <c r="S351" s="24"/>
      <c r="T351" s="19"/>
      <c r="U351" s="19"/>
      <c r="V351" s="19"/>
      <c r="W351" s="19"/>
      <c r="X351" s="19"/>
      <c r="Y351" s="16" t="s">
        <v>3912</v>
      </c>
    </row>
    <row r="352">
      <c r="A352" s="6">
        <v>338.0</v>
      </c>
      <c r="B352" s="7" t="s">
        <v>3913</v>
      </c>
      <c r="C352" s="8" t="s">
        <v>3914</v>
      </c>
      <c r="D352" s="9" t="s">
        <v>52</v>
      </c>
      <c r="E352" s="7" t="s">
        <v>3915</v>
      </c>
      <c r="F352" s="9">
        <v>17.0</v>
      </c>
      <c r="G352" s="9">
        <v>2006.0</v>
      </c>
      <c r="H352" s="10">
        <v>1.0</v>
      </c>
      <c r="I352" s="11">
        <v>3.0</v>
      </c>
      <c r="J352" s="11">
        <v>3.0</v>
      </c>
      <c r="K352" s="11" t="s">
        <v>155</v>
      </c>
      <c r="L352" s="12" t="s">
        <v>470</v>
      </c>
      <c r="M352" s="18">
        <v>0.0</v>
      </c>
      <c r="N352" s="19"/>
      <c r="O352" s="12">
        <v>0.0</v>
      </c>
      <c r="P352" s="10">
        <v>1.0</v>
      </c>
      <c r="Q352" s="11">
        <v>3.0</v>
      </c>
      <c r="R352" s="11">
        <v>13.0</v>
      </c>
      <c r="S352" s="13">
        <v>0.125</v>
      </c>
      <c r="T352" s="12">
        <v>0.0</v>
      </c>
      <c r="U352" s="12">
        <v>0.0</v>
      </c>
      <c r="V352" s="12">
        <v>0.0</v>
      </c>
      <c r="W352" s="21">
        <v>0.0</v>
      </c>
      <c r="X352" s="15">
        <v>-0.020833333333333332</v>
      </c>
      <c r="Y352" s="16" t="s">
        <v>3916</v>
      </c>
    </row>
    <row r="353">
      <c r="A353" s="6">
        <v>339.0</v>
      </c>
      <c r="B353" s="7" t="s">
        <v>3917</v>
      </c>
      <c r="C353" s="8" t="s">
        <v>3918</v>
      </c>
      <c r="D353" s="9" t="s">
        <v>52</v>
      </c>
      <c r="E353" s="7" t="s">
        <v>3919</v>
      </c>
      <c r="F353" s="9">
        <v>30.0</v>
      </c>
      <c r="G353" s="9">
        <v>1993.0</v>
      </c>
      <c r="H353" s="10">
        <v>22.0</v>
      </c>
      <c r="I353" s="11">
        <v>1.176</v>
      </c>
      <c r="J353" s="11">
        <v>53.0</v>
      </c>
      <c r="K353" s="11" t="s">
        <v>816</v>
      </c>
      <c r="L353" s="11" t="s">
        <v>817</v>
      </c>
      <c r="M353" s="41">
        <v>0.04652777777777778</v>
      </c>
      <c r="N353" s="11">
        <v>71.0</v>
      </c>
      <c r="O353" s="42">
        <v>0.021527777777777778</v>
      </c>
      <c r="P353" s="41">
        <v>0.04236111111111111</v>
      </c>
      <c r="Q353" s="11">
        <v>23.0</v>
      </c>
      <c r="R353" s="42">
        <v>0.010416666666666666</v>
      </c>
      <c r="S353" s="13">
        <v>0.0763888888888889</v>
      </c>
      <c r="T353" s="42">
        <v>0.09444444444444444</v>
      </c>
      <c r="U353" s="42">
        <v>0.07291666666666667</v>
      </c>
      <c r="V353" s="44">
        <v>0.021527777777777778</v>
      </c>
      <c r="W353" s="14" t="str">
        <f>+0.31</f>
        <v>#ERROR!</v>
      </c>
      <c r="X353" s="15">
        <v>-0.003472222222222222</v>
      </c>
      <c r="Y353" s="16" t="s">
        <v>3920</v>
      </c>
    </row>
    <row r="354">
      <c r="A354" s="6">
        <v>340.0</v>
      </c>
      <c r="B354" s="7" t="s">
        <v>3921</v>
      </c>
      <c r="C354" s="8" t="s">
        <v>3922</v>
      </c>
      <c r="D354" s="9" t="s">
        <v>73</v>
      </c>
      <c r="E354" s="7" t="s">
        <v>3923</v>
      </c>
      <c r="F354" s="9">
        <v>19.0</v>
      </c>
      <c r="G354" s="9">
        <v>2004.0</v>
      </c>
      <c r="H354" s="18">
        <v>0.0</v>
      </c>
      <c r="I354" s="19"/>
      <c r="J354" s="19"/>
      <c r="K354" s="19"/>
      <c r="L354" s="19"/>
      <c r="M354" s="18">
        <v>0.0</v>
      </c>
      <c r="N354" s="19"/>
      <c r="O354" s="12">
        <v>0.0</v>
      </c>
      <c r="P354" s="18">
        <v>0.0</v>
      </c>
      <c r="Q354" s="19"/>
      <c r="R354" s="11">
        <v>12.0</v>
      </c>
      <c r="S354" s="24"/>
      <c r="T354" s="19"/>
      <c r="U354" s="19"/>
      <c r="V354" s="19"/>
      <c r="W354" s="19"/>
      <c r="X354" s="19"/>
      <c r="Y354" s="16" t="s">
        <v>3924</v>
      </c>
    </row>
    <row r="355">
      <c r="A355" s="6">
        <v>341.0</v>
      </c>
      <c r="B355" s="7" t="s">
        <v>3925</v>
      </c>
      <c r="C355" s="8" t="s">
        <v>3926</v>
      </c>
      <c r="D355" s="9" t="s">
        <v>66</v>
      </c>
      <c r="E355" s="7" t="s">
        <v>3927</v>
      </c>
      <c r="F355" s="9">
        <v>17.0</v>
      </c>
      <c r="G355" s="9">
        <v>2006.0</v>
      </c>
      <c r="H355" s="18">
        <v>0.0</v>
      </c>
      <c r="I355" s="19"/>
      <c r="J355" s="19"/>
      <c r="K355" s="19"/>
      <c r="L355" s="19"/>
      <c r="M355" s="18">
        <v>0.0</v>
      </c>
      <c r="N355" s="19"/>
      <c r="O355" s="12">
        <v>0.0</v>
      </c>
      <c r="P355" s="18">
        <v>0.0</v>
      </c>
      <c r="Q355" s="19"/>
      <c r="R355" s="11">
        <v>1.0</v>
      </c>
      <c r="S355" s="24"/>
      <c r="T355" s="19"/>
      <c r="U355" s="19"/>
      <c r="V355" s="19"/>
      <c r="W355" s="19"/>
      <c r="X355" s="19"/>
      <c r="Y355" s="16" t="s">
        <v>3928</v>
      </c>
    </row>
    <row r="356">
      <c r="A356" s="6">
        <v>342.0</v>
      </c>
      <c r="B356" s="7" t="s">
        <v>3929</v>
      </c>
      <c r="C356" s="8" t="s">
        <v>3930</v>
      </c>
      <c r="D356" s="9" t="s">
        <v>73</v>
      </c>
      <c r="E356" s="7" t="s">
        <v>3931</v>
      </c>
      <c r="F356" s="9">
        <v>30.0</v>
      </c>
      <c r="G356" s="9">
        <v>1993.0</v>
      </c>
      <c r="H356" s="10">
        <v>1.0</v>
      </c>
      <c r="I356" s="11">
        <v>56.0</v>
      </c>
      <c r="J356" s="11">
        <v>56.0</v>
      </c>
      <c r="K356" s="11" t="s">
        <v>801</v>
      </c>
      <c r="L356" s="11" t="s">
        <v>47</v>
      </c>
      <c r="M356" s="41">
        <v>0.08819444444444445</v>
      </c>
      <c r="N356" s="11">
        <v>56.0</v>
      </c>
      <c r="O356" s="43">
        <v>0.0</v>
      </c>
      <c r="P356" s="46">
        <v>0.0</v>
      </c>
      <c r="Q356" s="19"/>
      <c r="R356" s="48" t="s">
        <v>974</v>
      </c>
      <c r="S356" s="20">
        <v>0.0</v>
      </c>
      <c r="T356" s="43">
        <v>0.0</v>
      </c>
      <c r="U356" s="42">
        <v>0.08819444444444445</v>
      </c>
      <c r="V356" s="45">
        <v>-0.08819444444444445</v>
      </c>
      <c r="W356" s="15">
        <v>-0.08402777777777778</v>
      </c>
      <c r="X356" s="15">
        <v>-0.10972222222222222</v>
      </c>
      <c r="Y356" s="16" t="s">
        <v>3932</v>
      </c>
    </row>
    <row r="357">
      <c r="A357" s="6">
        <v>343.0</v>
      </c>
      <c r="B357" s="7" t="s">
        <v>3933</v>
      </c>
      <c r="C357" s="8" t="s">
        <v>3934</v>
      </c>
      <c r="D357" s="9" t="s">
        <v>32</v>
      </c>
      <c r="E357" s="7" t="s">
        <v>3935</v>
      </c>
      <c r="F357" s="9">
        <v>19.0</v>
      </c>
      <c r="G357" s="9">
        <v>2004.0</v>
      </c>
      <c r="H357" s="10">
        <v>1.0</v>
      </c>
      <c r="I357" s="11">
        <v>7.0</v>
      </c>
      <c r="J357" s="11">
        <v>7.0</v>
      </c>
      <c r="K357" s="11" t="s">
        <v>195</v>
      </c>
      <c r="L357" s="11" t="s">
        <v>155</v>
      </c>
      <c r="M357" s="46">
        <v>0.0</v>
      </c>
      <c r="N357" s="19"/>
      <c r="O357" s="43">
        <v>0.0</v>
      </c>
      <c r="P357" s="47" t="s">
        <v>268</v>
      </c>
      <c r="Q357" s="11">
        <v>7.0</v>
      </c>
      <c r="R357" s="48" t="s">
        <v>268</v>
      </c>
      <c r="S357" s="13">
        <v>0.125</v>
      </c>
      <c r="T357" s="43">
        <v>0.0</v>
      </c>
      <c r="U357" s="43">
        <v>0.0</v>
      </c>
      <c r="V357" s="43">
        <v>0.0</v>
      </c>
      <c r="W357" s="21">
        <v>0.0</v>
      </c>
      <c r="X357" s="14" t="str">
        <f>+0.67</f>
        <v>#ERROR!</v>
      </c>
      <c r="Y357" s="16" t="s">
        <v>3936</v>
      </c>
    </row>
    <row r="358">
      <c r="A358" s="6">
        <v>344.0</v>
      </c>
      <c r="B358" s="7" t="s">
        <v>3937</v>
      </c>
      <c r="C358" s="8" t="s">
        <v>3938</v>
      </c>
      <c r="D358" s="9" t="s">
        <v>32</v>
      </c>
      <c r="E358" s="7" t="s">
        <v>3939</v>
      </c>
      <c r="F358" s="9">
        <v>18.0</v>
      </c>
      <c r="G358" s="9">
        <v>2005.0</v>
      </c>
      <c r="H358" s="10">
        <v>6.0</v>
      </c>
      <c r="I358" s="11">
        <v>124.0</v>
      </c>
      <c r="J358" s="11">
        <v>21.0</v>
      </c>
      <c r="K358" s="11" t="s">
        <v>303</v>
      </c>
      <c r="L358" s="11" t="s">
        <v>941</v>
      </c>
      <c r="M358" s="46">
        <v>0.0</v>
      </c>
      <c r="N358" s="19"/>
      <c r="O358" s="43">
        <v>0.0</v>
      </c>
      <c r="P358" s="41">
        <v>0.18680555555555556</v>
      </c>
      <c r="Q358" s="11">
        <v>21.0</v>
      </c>
      <c r="R358" s="42">
        <v>0.35138888888888886</v>
      </c>
      <c r="S358" s="13">
        <v>0.08819444444444445</v>
      </c>
      <c r="T358" s="42">
        <v>0.14305555555555555</v>
      </c>
      <c r="U358" s="42">
        <v>0.09305555555555556</v>
      </c>
      <c r="V358" s="44">
        <v>0.049305555555555554</v>
      </c>
      <c r="W358" s="14" t="str">
        <f>+0.73</f>
        <v>#ERROR!</v>
      </c>
      <c r="X358" s="14" t="str">
        <f>+0.66</f>
        <v>#ERROR!</v>
      </c>
      <c r="Y358" s="16" t="s">
        <v>3940</v>
      </c>
    </row>
    <row r="359">
      <c r="A359" s="6">
        <v>345.0</v>
      </c>
      <c r="B359" s="7" t="s">
        <v>3941</v>
      </c>
      <c r="C359" s="8" t="s">
        <v>3942</v>
      </c>
      <c r="D359" s="9" t="s">
        <v>284</v>
      </c>
      <c r="E359" s="7" t="s">
        <v>3943</v>
      </c>
      <c r="F359" s="9">
        <v>22.0</v>
      </c>
      <c r="G359" s="9">
        <v>2001.0</v>
      </c>
      <c r="H359" s="10">
        <v>29.0</v>
      </c>
      <c r="I359" s="11">
        <v>2.546</v>
      </c>
      <c r="J359" s="11">
        <v>88.0</v>
      </c>
      <c r="K359" s="11" t="s">
        <v>1751</v>
      </c>
      <c r="L359" s="11" t="s">
        <v>1452</v>
      </c>
      <c r="M359" s="41">
        <v>0.043055555555555555</v>
      </c>
      <c r="N359" s="11">
        <v>88.0</v>
      </c>
      <c r="O359" s="42">
        <v>0.05625</v>
      </c>
      <c r="P359" s="46">
        <v>0.0</v>
      </c>
      <c r="Q359" s="19"/>
      <c r="R359" s="43">
        <v>0.0</v>
      </c>
      <c r="S359" s="13">
        <v>0.05138888888888889</v>
      </c>
      <c r="T359" s="42">
        <v>0.04861111111111111</v>
      </c>
      <c r="U359" s="42">
        <v>0.09027777777777778</v>
      </c>
      <c r="V359" s="45">
        <v>-0.041666666666666664</v>
      </c>
      <c r="W359" s="15">
        <v>-0.041666666666666664</v>
      </c>
      <c r="X359" s="15">
        <v>-0.001388888888888889</v>
      </c>
      <c r="Y359" s="16" t="s">
        <v>3944</v>
      </c>
    </row>
    <row r="360">
      <c r="A360" s="6">
        <v>346.0</v>
      </c>
      <c r="B360" s="7" t="s">
        <v>3945</v>
      </c>
      <c r="C360" s="8" t="s">
        <v>3946</v>
      </c>
      <c r="D360" s="9" t="s">
        <v>73</v>
      </c>
      <c r="E360" s="7" t="s">
        <v>3947</v>
      </c>
      <c r="F360" s="9">
        <v>34.0</v>
      </c>
      <c r="G360" s="9">
        <v>1989.0</v>
      </c>
      <c r="H360" s="10">
        <v>28.0</v>
      </c>
      <c r="I360" s="11">
        <v>2.503</v>
      </c>
      <c r="J360" s="11">
        <v>89.0</v>
      </c>
      <c r="K360" s="11" t="s">
        <v>1756</v>
      </c>
      <c r="L360" s="11" t="s">
        <v>1757</v>
      </c>
      <c r="M360" s="41">
        <v>0.04236111111111111</v>
      </c>
      <c r="N360" s="11">
        <v>89.0</v>
      </c>
      <c r="O360" s="42">
        <v>0.06736111111111111</v>
      </c>
      <c r="P360" s="46">
        <v>0.0</v>
      </c>
      <c r="Q360" s="19"/>
      <c r="R360" s="42">
        <v>0.002777777777777778</v>
      </c>
      <c r="S360" s="13">
        <v>0.09861111111111111</v>
      </c>
      <c r="T360" s="42">
        <v>0.08194444444444444</v>
      </c>
      <c r="U360" s="42">
        <v>0.059722222222222225</v>
      </c>
      <c r="V360" s="44">
        <v>0.022222222222222223</v>
      </c>
      <c r="W360" s="14" t="str">
        <f>+0.32</f>
        <v>#ERROR!</v>
      </c>
      <c r="X360" s="14" t="str">
        <f>+2.15</f>
        <v>#ERROR!</v>
      </c>
      <c r="Y360" s="16" t="s">
        <v>3948</v>
      </c>
    </row>
    <row r="361">
      <c r="A361" s="6">
        <v>347.0</v>
      </c>
      <c r="B361" s="7" t="s">
        <v>3949</v>
      </c>
      <c r="C361" s="8" t="s">
        <v>3950</v>
      </c>
      <c r="D361" s="9" t="s">
        <v>66</v>
      </c>
      <c r="E361" s="7" t="s">
        <v>3951</v>
      </c>
      <c r="F361" s="9">
        <v>24.0</v>
      </c>
      <c r="G361" s="9">
        <v>1999.0</v>
      </c>
      <c r="H361" s="10">
        <v>27.0</v>
      </c>
      <c r="I361" s="11">
        <v>2.258</v>
      </c>
      <c r="J361" s="11">
        <v>84.0</v>
      </c>
      <c r="K361" s="11" t="s">
        <v>1762</v>
      </c>
      <c r="L361" s="11" t="s">
        <v>1763</v>
      </c>
      <c r="M361" s="41">
        <v>0.041666666666666664</v>
      </c>
      <c r="N361" s="11">
        <v>89.0</v>
      </c>
      <c r="O361" s="42">
        <v>0.06388888888888888</v>
      </c>
      <c r="P361" s="41">
        <v>0.005555555555555556</v>
      </c>
      <c r="Q361" s="11">
        <v>12.0</v>
      </c>
      <c r="R361" s="42">
        <v>0.005555555555555556</v>
      </c>
      <c r="S361" s="13">
        <v>0.08819444444444445</v>
      </c>
      <c r="T361" s="42">
        <v>0.05555555555555555</v>
      </c>
      <c r="U361" s="42">
        <v>0.04722222222222222</v>
      </c>
      <c r="V361" s="44">
        <v>0.008333333333333333</v>
      </c>
      <c r="W361" s="14" t="str">
        <f>+0.12</f>
        <v>#ERROR!</v>
      </c>
      <c r="X361" s="14" t="str">
        <f>+0.32</f>
        <v>#ERROR!</v>
      </c>
      <c r="Y361" s="16" t="s">
        <v>3952</v>
      </c>
    </row>
    <row r="362">
      <c r="A362" s="6">
        <v>348.0</v>
      </c>
      <c r="B362" s="7" t="s">
        <v>3953</v>
      </c>
      <c r="C362" s="8" t="s">
        <v>3954</v>
      </c>
      <c r="D362" s="9" t="s">
        <v>59</v>
      </c>
      <c r="E362" s="7" t="s">
        <v>3955</v>
      </c>
      <c r="F362" s="9">
        <v>27.0</v>
      </c>
      <c r="G362" s="9">
        <v>1997.0</v>
      </c>
      <c r="H362" s="10">
        <v>26.0</v>
      </c>
      <c r="I362" s="11">
        <v>1.52</v>
      </c>
      <c r="J362" s="11">
        <v>58.0</v>
      </c>
      <c r="K362" s="11" t="s">
        <v>1768</v>
      </c>
      <c r="L362" s="11" t="s">
        <v>168</v>
      </c>
      <c r="M362" s="41">
        <v>0.06597222222222222</v>
      </c>
      <c r="N362" s="11">
        <v>83.0</v>
      </c>
      <c r="O362" s="42">
        <v>0.03263888888888889</v>
      </c>
      <c r="P362" s="41">
        <v>0.04097222222222222</v>
      </c>
      <c r="Q362" s="11">
        <v>20.0</v>
      </c>
      <c r="R362" s="42">
        <v>0.0125</v>
      </c>
      <c r="S362" s="13">
        <v>0.044444444444444446</v>
      </c>
      <c r="T362" s="42">
        <v>0.04652777777777778</v>
      </c>
      <c r="U362" s="42">
        <v>0.08333333333333333</v>
      </c>
      <c r="V362" s="45">
        <v>-0.03680555555555556</v>
      </c>
      <c r="W362" s="15">
        <v>-0.03680555555555556</v>
      </c>
      <c r="X362" s="15">
        <v>-0.03194444444444444</v>
      </c>
      <c r="Y362" s="16" t="s">
        <v>3956</v>
      </c>
    </row>
    <row r="363">
      <c r="A363" s="6">
        <v>349.0</v>
      </c>
      <c r="B363" s="7" t="s">
        <v>3957</v>
      </c>
      <c r="C363" s="8" t="s">
        <v>3958</v>
      </c>
      <c r="D363" s="9" t="s">
        <v>66</v>
      </c>
      <c r="E363" s="7" t="s">
        <v>3959</v>
      </c>
      <c r="F363" s="9">
        <v>28.0</v>
      </c>
      <c r="G363" s="9">
        <v>1995.0</v>
      </c>
      <c r="H363" s="10">
        <v>26.0</v>
      </c>
      <c r="I363" s="11">
        <v>2.313</v>
      </c>
      <c r="J363" s="11">
        <v>89.0</v>
      </c>
      <c r="K363" s="11" t="s">
        <v>1773</v>
      </c>
      <c r="L363" s="11" t="s">
        <v>1774</v>
      </c>
      <c r="M363" s="41">
        <v>0.04236111111111111</v>
      </c>
      <c r="N363" s="11">
        <v>89.0</v>
      </c>
      <c r="O363" s="42">
        <v>0.06458333333333334</v>
      </c>
      <c r="P363" s="46">
        <v>0.0</v>
      </c>
      <c r="Q363" s="19"/>
      <c r="R363" s="43">
        <v>0.0</v>
      </c>
      <c r="S363" s="13">
        <v>0.06111111111111111</v>
      </c>
      <c r="T363" s="42">
        <v>0.04236111111111111</v>
      </c>
      <c r="U363" s="42">
        <v>0.06388888888888888</v>
      </c>
      <c r="V363" s="45">
        <v>-0.021527777777777778</v>
      </c>
      <c r="W363" s="15">
        <v>-0.021527777777777778</v>
      </c>
      <c r="X363" s="14" t="str">
        <f>+1.78</f>
        <v>#ERROR!</v>
      </c>
      <c r="Y363" s="16" t="s">
        <v>3960</v>
      </c>
    </row>
    <row r="364">
      <c r="A364" s="6">
        <v>350.0</v>
      </c>
      <c r="B364" s="7" t="s">
        <v>3961</v>
      </c>
      <c r="C364" s="8" t="s">
        <v>3962</v>
      </c>
      <c r="D364" s="9" t="s">
        <v>66</v>
      </c>
      <c r="E364" s="7" t="s">
        <v>3963</v>
      </c>
      <c r="F364" s="9">
        <v>25.0</v>
      </c>
      <c r="G364" s="9">
        <v>1998.0</v>
      </c>
      <c r="H364" s="10">
        <v>22.0</v>
      </c>
      <c r="I364" s="11">
        <v>1.522</v>
      </c>
      <c r="J364" s="11">
        <v>69.0</v>
      </c>
      <c r="K364" s="11" t="s">
        <v>1779</v>
      </c>
      <c r="L364" s="11" t="s">
        <v>168</v>
      </c>
      <c r="M364" s="41">
        <v>0.06597222222222222</v>
      </c>
      <c r="N364" s="11">
        <v>88.0</v>
      </c>
      <c r="O364" s="42">
        <v>0.049305555555555554</v>
      </c>
      <c r="P364" s="41">
        <v>0.025</v>
      </c>
      <c r="Q364" s="11">
        <v>19.0</v>
      </c>
      <c r="R364" s="42">
        <v>0.016666666666666666</v>
      </c>
      <c r="S364" s="13">
        <v>0.05763888888888889</v>
      </c>
      <c r="T364" s="42">
        <v>0.09583333333333334</v>
      </c>
      <c r="U364" s="42">
        <v>0.10347222222222222</v>
      </c>
      <c r="V364" s="45">
        <v>-0.008333333333333333</v>
      </c>
      <c r="W364" s="15">
        <v>-0.008333333333333333</v>
      </c>
      <c r="X364" s="15">
        <v>-0.024305555555555556</v>
      </c>
      <c r="Y364" s="16" t="s">
        <v>3964</v>
      </c>
    </row>
    <row r="365">
      <c r="A365" s="25" t="s">
        <v>0</v>
      </c>
      <c r="B365" s="26" t="s">
        <v>1</v>
      </c>
      <c r="C365" s="27" t="s">
        <v>2</v>
      </c>
      <c r="D365" s="27" t="s">
        <v>3</v>
      </c>
      <c r="E365" s="27" t="s">
        <v>4</v>
      </c>
      <c r="F365" s="27" t="s">
        <v>5</v>
      </c>
      <c r="G365" s="27" t="s">
        <v>6</v>
      </c>
      <c r="H365" s="28" t="s">
        <v>7</v>
      </c>
      <c r="I365" s="27" t="s">
        <v>8</v>
      </c>
      <c r="J365" s="27" t="s">
        <v>9</v>
      </c>
      <c r="K365" s="27" t="s">
        <v>10</v>
      </c>
      <c r="L365" s="27" t="s">
        <v>11</v>
      </c>
      <c r="M365" s="28" t="s">
        <v>12</v>
      </c>
      <c r="N365" s="27" t="s">
        <v>13</v>
      </c>
      <c r="O365" s="27" t="s">
        <v>14</v>
      </c>
      <c r="P365" s="28" t="s">
        <v>15</v>
      </c>
      <c r="Q365" s="27" t="s">
        <v>16</v>
      </c>
      <c r="R365" s="27" t="s">
        <v>17</v>
      </c>
      <c r="S365" s="28" t="s">
        <v>18</v>
      </c>
      <c r="T365" s="27" t="s">
        <v>19</v>
      </c>
      <c r="U365" s="27" t="s">
        <v>20</v>
      </c>
      <c r="V365" s="29" t="str">
        <f>+/-</f>
        <v>#ERROR!</v>
      </c>
      <c r="W365" s="29" t="str">
        <f>+/-90</f>
        <v>#ERROR!</v>
      </c>
      <c r="X365" s="27" t="s">
        <v>21</v>
      </c>
      <c r="Y365" s="28" t="s">
        <v>22</v>
      </c>
    </row>
    <row r="366">
      <c r="A366" s="6">
        <v>351.0</v>
      </c>
      <c r="B366" s="7" t="s">
        <v>3965</v>
      </c>
      <c r="C366" s="8" t="s">
        <v>3966</v>
      </c>
      <c r="D366" s="9" t="s">
        <v>32</v>
      </c>
      <c r="E366" s="7" t="s">
        <v>3967</v>
      </c>
      <c r="F366" s="9">
        <v>20.0</v>
      </c>
      <c r="G366" s="9">
        <v>2003.0</v>
      </c>
      <c r="H366" s="10">
        <v>11.0</v>
      </c>
      <c r="I366" s="11">
        <v>299.0</v>
      </c>
      <c r="J366" s="11">
        <v>27.0</v>
      </c>
      <c r="K366" s="11" t="s">
        <v>1691</v>
      </c>
      <c r="L366" s="11" t="s">
        <v>576</v>
      </c>
      <c r="M366" s="41">
        <v>0.06319444444444444</v>
      </c>
      <c r="N366" s="11">
        <v>58.0</v>
      </c>
      <c r="O366" s="43">
        <v>0.0</v>
      </c>
      <c r="P366" s="41">
        <v>0.1125</v>
      </c>
      <c r="Q366" s="11">
        <v>16.0</v>
      </c>
      <c r="R366" s="42">
        <v>0.09166666666666666</v>
      </c>
      <c r="S366" s="13">
        <v>0.05416666666666667</v>
      </c>
      <c r="T366" s="42">
        <v>0.07777777777777778</v>
      </c>
      <c r="U366" s="42">
        <v>0.09861111111111111</v>
      </c>
      <c r="V366" s="45">
        <v>-0.020833333333333332</v>
      </c>
      <c r="W366" s="15">
        <v>-0.020833333333333332</v>
      </c>
      <c r="X366" s="15">
        <v>-0.04722222222222222</v>
      </c>
      <c r="Y366" s="16" t="s">
        <v>3968</v>
      </c>
    </row>
    <row r="367">
      <c r="A367" s="6">
        <v>352.0</v>
      </c>
      <c r="B367" s="7" t="s">
        <v>3969</v>
      </c>
      <c r="C367" s="8" t="s">
        <v>3970</v>
      </c>
      <c r="D367" s="9" t="s">
        <v>32</v>
      </c>
      <c r="E367" s="7" t="s">
        <v>3971</v>
      </c>
      <c r="F367" s="9">
        <v>31.0</v>
      </c>
      <c r="G367" s="9">
        <v>1992.0</v>
      </c>
      <c r="H367" s="10">
        <v>25.0</v>
      </c>
      <c r="I367" s="11">
        <v>2.043</v>
      </c>
      <c r="J367" s="11">
        <v>82.0</v>
      </c>
      <c r="K367" s="11" t="s">
        <v>1788</v>
      </c>
      <c r="L367" s="11" t="s">
        <v>1564</v>
      </c>
      <c r="M367" s="41">
        <v>0.04583333333333333</v>
      </c>
      <c r="N367" s="11">
        <v>84.0</v>
      </c>
      <c r="O367" s="42">
        <v>0.04583333333333333</v>
      </c>
      <c r="P367" s="41">
        <v>0.002777777777777778</v>
      </c>
      <c r="Q367" s="11">
        <v>20.0</v>
      </c>
      <c r="R367" s="42">
        <v>0.002777777777777778</v>
      </c>
      <c r="S367" s="13">
        <v>0.05277777777777778</v>
      </c>
      <c r="T367" s="42">
        <v>0.06736111111111111</v>
      </c>
      <c r="U367" s="42">
        <v>0.10694444444444444</v>
      </c>
      <c r="V367" s="45">
        <v>-0.03958333333333333</v>
      </c>
      <c r="W367" s="15">
        <v>-0.03958333333333333</v>
      </c>
      <c r="X367" s="14" t="str">
        <f>+0.52</f>
        <v>#ERROR!</v>
      </c>
      <c r="Y367" s="16" t="s">
        <v>3972</v>
      </c>
    </row>
    <row r="368">
      <c r="A368" s="6">
        <v>353.0</v>
      </c>
      <c r="B368" s="7" t="s">
        <v>3973</v>
      </c>
      <c r="C368" s="8" t="s">
        <v>3974</v>
      </c>
      <c r="D368" s="9" t="s">
        <v>52</v>
      </c>
      <c r="E368" s="7" t="s">
        <v>3975</v>
      </c>
      <c r="F368" s="9">
        <v>19.0</v>
      </c>
      <c r="G368" s="9">
        <v>2004.0</v>
      </c>
      <c r="H368" s="10">
        <v>28.0</v>
      </c>
      <c r="I368" s="11">
        <v>2.124</v>
      </c>
      <c r="J368" s="11">
        <v>76.0</v>
      </c>
      <c r="K368" s="11" t="s">
        <v>1793</v>
      </c>
      <c r="L368" s="11" t="s">
        <v>1794</v>
      </c>
      <c r="M368" s="41">
        <v>0.04861111111111111</v>
      </c>
      <c r="N368" s="11">
        <v>80.0</v>
      </c>
      <c r="O368" s="42">
        <v>0.02638888888888889</v>
      </c>
      <c r="P368" s="41">
        <v>0.005555555555555556</v>
      </c>
      <c r="Q368" s="11">
        <v>17.0</v>
      </c>
      <c r="R368" s="43">
        <v>0.0</v>
      </c>
      <c r="S368" s="13">
        <v>0.04652777777777778</v>
      </c>
      <c r="T368" s="42">
        <v>0.075</v>
      </c>
      <c r="U368" s="42">
        <v>0.09861111111111111</v>
      </c>
      <c r="V368" s="45">
        <v>-0.02361111111111111</v>
      </c>
      <c r="W368" s="15">
        <v>-0.02361111111111111</v>
      </c>
      <c r="X368" s="15">
        <v>-0.034722222222222224</v>
      </c>
      <c r="Y368" s="16" t="s">
        <v>3976</v>
      </c>
    </row>
    <row r="369">
      <c r="A369" s="6">
        <v>354.0</v>
      </c>
      <c r="B369" s="7" t="s">
        <v>3977</v>
      </c>
      <c r="C369" s="8" t="s">
        <v>3978</v>
      </c>
      <c r="D369" s="9" t="s">
        <v>32</v>
      </c>
      <c r="E369" s="7" t="s">
        <v>3979</v>
      </c>
      <c r="F369" s="9">
        <v>24.0</v>
      </c>
      <c r="G369" s="9">
        <v>1999.0</v>
      </c>
      <c r="H369" s="10">
        <v>17.0</v>
      </c>
      <c r="I369" s="11">
        <v>523.0</v>
      </c>
      <c r="J369" s="11">
        <v>31.0</v>
      </c>
      <c r="K369" s="11" t="s">
        <v>1799</v>
      </c>
      <c r="L369" s="11" t="s">
        <v>1800</v>
      </c>
      <c r="M369" s="41">
        <v>0.04375</v>
      </c>
      <c r="N369" s="11">
        <v>61.0</v>
      </c>
      <c r="O369" s="43">
        <v>0.0</v>
      </c>
      <c r="P369" s="41">
        <v>0.10416666666666667</v>
      </c>
      <c r="Q369" s="11">
        <v>14.0</v>
      </c>
      <c r="R369" s="42">
        <v>0.059722222222222225</v>
      </c>
      <c r="S369" s="13">
        <v>0.05694444444444444</v>
      </c>
      <c r="T369" s="42">
        <v>0.04791666666666667</v>
      </c>
      <c r="U369" s="42">
        <v>0.04375</v>
      </c>
      <c r="V369" s="45">
        <v>-0.02361111111111111</v>
      </c>
      <c r="W369" s="15">
        <v>-0.02361111111111111</v>
      </c>
      <c r="X369" s="14" t="str">
        <f>+0.28</f>
        <v>#ERROR!</v>
      </c>
      <c r="Y369" s="16" t="s">
        <v>3980</v>
      </c>
    </row>
    <row r="370">
      <c r="A370" s="6">
        <v>355.0</v>
      </c>
      <c r="B370" s="7" t="s">
        <v>3981</v>
      </c>
      <c r="C370" s="8" t="s">
        <v>3982</v>
      </c>
      <c r="D370" s="9" t="s">
        <v>66</v>
      </c>
      <c r="E370" s="7" t="s">
        <v>3983</v>
      </c>
      <c r="F370" s="9">
        <v>32.0</v>
      </c>
      <c r="G370" s="9">
        <v>1991.0</v>
      </c>
      <c r="H370" s="10">
        <v>12.0</v>
      </c>
      <c r="I370" s="11">
        <v>1.08</v>
      </c>
      <c r="J370" s="11">
        <v>90.0</v>
      </c>
      <c r="K370" s="11" t="s">
        <v>75</v>
      </c>
      <c r="L370" s="11" t="s">
        <v>76</v>
      </c>
      <c r="M370" s="41">
        <v>0.041666666666666664</v>
      </c>
      <c r="N370" s="11">
        <v>90.0</v>
      </c>
      <c r="O370" s="42">
        <v>0.041666666666666664</v>
      </c>
      <c r="P370" s="46">
        <v>0.0</v>
      </c>
      <c r="Q370" s="19"/>
      <c r="R370" s="43">
        <v>0.0</v>
      </c>
      <c r="S370" s="13">
        <v>0.0763888888888889</v>
      </c>
      <c r="T370" s="42">
        <v>0.07083333333333333</v>
      </c>
      <c r="U370" s="42">
        <v>0.08194444444444444</v>
      </c>
      <c r="V370" s="45">
        <v>-0.011805555555555555</v>
      </c>
      <c r="W370" s="15">
        <v>-0.011805555555555555</v>
      </c>
      <c r="X370" s="14" t="str">
        <f>+0.72</f>
        <v>#ERROR!</v>
      </c>
      <c r="Y370" s="16" t="s">
        <v>3984</v>
      </c>
    </row>
    <row r="371">
      <c r="A371" s="6">
        <v>356.0</v>
      </c>
      <c r="B371" s="7" t="s">
        <v>3985</v>
      </c>
      <c r="C371" s="8" t="s">
        <v>3986</v>
      </c>
      <c r="D371" s="9" t="s">
        <v>284</v>
      </c>
      <c r="E371" s="7" t="s">
        <v>3987</v>
      </c>
      <c r="F371" s="9">
        <v>30.0</v>
      </c>
      <c r="G371" s="9">
        <v>1993.0</v>
      </c>
      <c r="H371" s="10">
        <v>26.0</v>
      </c>
      <c r="I371" s="11">
        <v>1.648</v>
      </c>
      <c r="J371" s="11">
        <v>63.0</v>
      </c>
      <c r="K371" s="11" t="s">
        <v>1809</v>
      </c>
      <c r="L371" s="11" t="s">
        <v>570</v>
      </c>
      <c r="M371" s="41">
        <v>0.06805555555555555</v>
      </c>
      <c r="N371" s="11">
        <v>81.0</v>
      </c>
      <c r="O371" s="42">
        <v>0.03819444444444445</v>
      </c>
      <c r="P371" s="41">
        <v>0.030555555555555555</v>
      </c>
      <c r="Q371" s="11">
        <v>24.0</v>
      </c>
      <c r="R371" s="42">
        <v>0.003472222222222222</v>
      </c>
      <c r="S371" s="13">
        <v>0.05</v>
      </c>
      <c r="T371" s="42">
        <v>0.04791666666666667</v>
      </c>
      <c r="U371" s="42">
        <v>0.04791666666666667</v>
      </c>
      <c r="V371" s="43">
        <v>0.0</v>
      </c>
      <c r="W371" s="21">
        <v>0.0</v>
      </c>
      <c r="X371" s="14" t="str">
        <f>+0.86</f>
        <v>#ERROR!</v>
      </c>
      <c r="Y371" s="16" t="s">
        <v>3988</v>
      </c>
    </row>
    <row r="372">
      <c r="A372" s="6">
        <v>357.0</v>
      </c>
      <c r="B372" s="7" t="s">
        <v>3989</v>
      </c>
      <c r="C372" s="8" t="s">
        <v>3990</v>
      </c>
      <c r="D372" s="9" t="s">
        <v>66</v>
      </c>
      <c r="E372" s="7" t="s">
        <v>3991</v>
      </c>
      <c r="F372" s="9">
        <v>16.0</v>
      </c>
      <c r="G372" s="9">
        <v>2008.0</v>
      </c>
      <c r="H372" s="10">
        <v>1.0</v>
      </c>
      <c r="I372" s="11">
        <v>26.0</v>
      </c>
      <c r="J372" s="11">
        <v>26.0</v>
      </c>
      <c r="K372" s="11" t="s">
        <v>577</v>
      </c>
      <c r="L372" s="11" t="s">
        <v>195</v>
      </c>
      <c r="M372" s="46">
        <v>0.0</v>
      </c>
      <c r="N372" s="19"/>
      <c r="O372" s="43">
        <v>0.0</v>
      </c>
      <c r="P372" s="41">
        <v>0.14791666666666667</v>
      </c>
      <c r="Q372" s="11">
        <v>26.0</v>
      </c>
      <c r="R372" s="42">
        <v>0.14791666666666667</v>
      </c>
      <c r="S372" s="20">
        <v>0.0</v>
      </c>
      <c r="T372" s="43">
        <v>0.0</v>
      </c>
      <c r="U372" s="43">
        <v>0.0</v>
      </c>
      <c r="V372" s="43">
        <v>0.0</v>
      </c>
      <c r="W372" s="21">
        <v>0.0</v>
      </c>
      <c r="X372" s="15">
        <v>-0.006944444444444444</v>
      </c>
      <c r="Y372" s="16" t="s">
        <v>3992</v>
      </c>
    </row>
    <row r="373">
      <c r="A373" s="6">
        <v>358.0</v>
      </c>
      <c r="B373" s="7" t="s">
        <v>3993</v>
      </c>
      <c r="C373" s="8" t="s">
        <v>3994</v>
      </c>
      <c r="D373" s="9" t="s">
        <v>59</v>
      </c>
      <c r="E373" s="7" t="s">
        <v>3995</v>
      </c>
      <c r="F373" s="9">
        <v>25.0</v>
      </c>
      <c r="G373" s="9">
        <v>1998.0</v>
      </c>
      <c r="H373" s="10">
        <v>11.0</v>
      </c>
      <c r="I373" s="11">
        <v>641.0</v>
      </c>
      <c r="J373" s="11">
        <v>58.0</v>
      </c>
      <c r="K373" s="11" t="s">
        <v>449</v>
      </c>
      <c r="L373" s="11" t="s">
        <v>35</v>
      </c>
      <c r="M373" s="41">
        <v>0.050694444444444445</v>
      </c>
      <c r="N373" s="11">
        <v>72.0</v>
      </c>
      <c r="O373" s="42">
        <v>0.019444444444444445</v>
      </c>
      <c r="P373" s="41">
        <v>0.029166666666666667</v>
      </c>
      <c r="Q373" s="11">
        <v>23.0</v>
      </c>
      <c r="R373" s="43">
        <v>0.0</v>
      </c>
      <c r="S373" s="13">
        <v>0.041666666666666664</v>
      </c>
      <c r="T373" s="42">
        <v>0.059027777777777776</v>
      </c>
      <c r="U373" s="42">
        <v>0.0798611111111111</v>
      </c>
      <c r="V373" s="45">
        <v>-0.04861111111111111</v>
      </c>
      <c r="W373" s="15">
        <v>-0.04861111111111111</v>
      </c>
      <c r="X373" s="15">
        <v>-0.04513888888888889</v>
      </c>
      <c r="Y373" s="16" t="s">
        <v>3996</v>
      </c>
    </row>
    <row r="374">
      <c r="A374" s="6">
        <v>359.0</v>
      </c>
      <c r="B374" s="7" t="s">
        <v>3997</v>
      </c>
      <c r="C374" s="8" t="s">
        <v>3998</v>
      </c>
      <c r="D374" s="9" t="s">
        <v>52</v>
      </c>
      <c r="E374" s="7" t="s">
        <v>3999</v>
      </c>
      <c r="F374" s="9">
        <v>24.0</v>
      </c>
      <c r="G374" s="9">
        <v>1999.0</v>
      </c>
      <c r="H374" s="10">
        <v>15.0</v>
      </c>
      <c r="I374" s="11">
        <v>214.0</v>
      </c>
      <c r="J374" s="11">
        <v>14.0</v>
      </c>
      <c r="K374" s="11" t="s">
        <v>1822</v>
      </c>
      <c r="L374" s="11" t="s">
        <v>129</v>
      </c>
      <c r="M374" s="46">
        <v>0.0</v>
      </c>
      <c r="N374" s="19"/>
      <c r="O374" s="43">
        <v>0.0</v>
      </c>
      <c r="P374" s="41">
        <v>0.2673611111111111</v>
      </c>
      <c r="Q374" s="11">
        <v>14.0</v>
      </c>
      <c r="R374" s="42">
        <v>0.17847222222222223</v>
      </c>
      <c r="S374" s="13">
        <v>0.07430555555555556</v>
      </c>
      <c r="T374" s="42">
        <v>0.08888888888888889</v>
      </c>
      <c r="U374" s="42">
        <v>0.17708333333333334</v>
      </c>
      <c r="V374" s="45">
        <v>-0.08819444444444445</v>
      </c>
      <c r="W374" s="15">
        <v>-0.08888888888888889</v>
      </c>
      <c r="X374" s="15">
        <v>-0.10138888888888889</v>
      </c>
      <c r="Y374" s="16" t="s">
        <v>4000</v>
      </c>
    </row>
    <row r="375">
      <c r="A375" s="6">
        <v>360.0</v>
      </c>
      <c r="B375" s="7" t="s">
        <v>4001</v>
      </c>
      <c r="C375" s="8" t="s">
        <v>4002</v>
      </c>
      <c r="D375" s="9" t="s">
        <v>66</v>
      </c>
      <c r="E375" s="7" t="s">
        <v>4003</v>
      </c>
      <c r="F375" s="9">
        <v>35.0</v>
      </c>
      <c r="G375" s="9">
        <v>1988.0</v>
      </c>
      <c r="H375" s="10">
        <v>22.0</v>
      </c>
      <c r="I375" s="11">
        <v>1.56</v>
      </c>
      <c r="J375" s="11">
        <v>71.0</v>
      </c>
      <c r="K375" s="11" t="s">
        <v>1827</v>
      </c>
      <c r="L375" s="11" t="s">
        <v>776</v>
      </c>
      <c r="M375" s="41">
        <v>0.04861111111111111</v>
      </c>
      <c r="N375" s="11">
        <v>79.0</v>
      </c>
      <c r="O375" s="42">
        <v>0.03194444444444444</v>
      </c>
      <c r="P375" s="41">
        <v>0.011805555555555555</v>
      </c>
      <c r="Q375" s="11">
        <v>19.0</v>
      </c>
      <c r="R375" s="42">
        <v>0.02013888888888889</v>
      </c>
      <c r="S375" s="13">
        <v>0.05763888888888889</v>
      </c>
      <c r="T375" s="42">
        <v>0.05625</v>
      </c>
      <c r="U375" s="42">
        <v>0.09236111111111112</v>
      </c>
      <c r="V375" s="45">
        <v>-0.03611111111111111</v>
      </c>
      <c r="W375" s="15">
        <v>-0.03611111111111111</v>
      </c>
      <c r="X375" s="14" t="str">
        <f>+0.19</f>
        <v>#ERROR!</v>
      </c>
      <c r="Y375" s="16" t="s">
        <v>4004</v>
      </c>
    </row>
    <row r="376">
      <c r="A376" s="6">
        <v>361.0</v>
      </c>
      <c r="B376" s="7" t="s">
        <v>4005</v>
      </c>
      <c r="C376" s="8" t="s">
        <v>4006</v>
      </c>
      <c r="D376" s="9" t="s">
        <v>66</v>
      </c>
      <c r="E376" s="7" t="s">
        <v>4007</v>
      </c>
      <c r="F376" s="9">
        <v>35.0</v>
      </c>
      <c r="G376" s="9">
        <v>1988.0</v>
      </c>
      <c r="H376" s="10">
        <v>15.0</v>
      </c>
      <c r="I376" s="11">
        <v>484.0</v>
      </c>
      <c r="J376" s="11">
        <v>32.0</v>
      </c>
      <c r="K376" s="11" t="s">
        <v>1288</v>
      </c>
      <c r="L376" s="11" t="s">
        <v>1289</v>
      </c>
      <c r="M376" s="41">
        <v>0.06458333333333334</v>
      </c>
      <c r="N376" s="11">
        <v>76.0</v>
      </c>
      <c r="O376" s="42">
        <v>0.013194444444444444</v>
      </c>
      <c r="P376" s="41">
        <v>0.10069444444444445</v>
      </c>
      <c r="Q376" s="11">
        <v>10.0</v>
      </c>
      <c r="R376" s="42">
        <v>0.08819444444444445</v>
      </c>
      <c r="S376" s="13">
        <v>0.10208333333333333</v>
      </c>
      <c r="T376" s="42">
        <v>0.08819444444444445</v>
      </c>
      <c r="U376" s="42">
        <v>0.0625</v>
      </c>
      <c r="V376" s="44">
        <v>0.025694444444444443</v>
      </c>
      <c r="W376" s="14" t="str">
        <f>+0.37</f>
        <v>#ERROR!</v>
      </c>
      <c r="X376" s="15">
        <v>-0.059027777777777776</v>
      </c>
      <c r="Y376" s="16" t="s">
        <v>4008</v>
      </c>
    </row>
    <row r="377">
      <c r="A377" s="6">
        <v>362.0</v>
      </c>
      <c r="B377" s="7" t="s">
        <v>4009</v>
      </c>
      <c r="C377" s="8" t="s">
        <v>4010</v>
      </c>
      <c r="D377" s="9" t="s">
        <v>73</v>
      </c>
      <c r="E377" s="7" t="s">
        <v>4011</v>
      </c>
      <c r="F377" s="9">
        <v>17.0</v>
      </c>
      <c r="G377" s="9">
        <v>2007.0</v>
      </c>
      <c r="H377" s="18">
        <v>0.0</v>
      </c>
      <c r="I377" s="19"/>
      <c r="J377" s="19"/>
      <c r="K377" s="19"/>
      <c r="L377" s="19"/>
      <c r="M377" s="18">
        <v>0.0</v>
      </c>
      <c r="N377" s="19"/>
      <c r="O377" s="12">
        <v>0.0</v>
      </c>
      <c r="P377" s="18">
        <v>0.0</v>
      </c>
      <c r="Q377" s="19"/>
      <c r="R377" s="11">
        <v>1.0</v>
      </c>
      <c r="S377" s="24"/>
      <c r="T377" s="19"/>
      <c r="U377" s="19"/>
      <c r="V377" s="19"/>
      <c r="W377" s="19"/>
      <c r="X377" s="19"/>
      <c r="Y377" s="16" t="s">
        <v>4012</v>
      </c>
    </row>
    <row r="378">
      <c r="A378" s="6">
        <v>363.0</v>
      </c>
      <c r="B378" s="7" t="s">
        <v>4013</v>
      </c>
      <c r="C378" s="8" t="s">
        <v>4014</v>
      </c>
      <c r="D378" s="9" t="s">
        <v>59</v>
      </c>
      <c r="E378" s="7" t="s">
        <v>4015</v>
      </c>
      <c r="F378" s="9">
        <v>25.0</v>
      </c>
      <c r="G378" s="9">
        <v>1998.0</v>
      </c>
      <c r="H378" s="10">
        <v>16.0</v>
      </c>
      <c r="I378" s="11">
        <v>573.0</v>
      </c>
      <c r="J378" s="11">
        <v>36.0</v>
      </c>
      <c r="K378" s="11" t="s">
        <v>664</v>
      </c>
      <c r="L378" s="11" t="s">
        <v>1840</v>
      </c>
      <c r="M378" s="41">
        <v>0.05416666666666667</v>
      </c>
      <c r="N378" s="11">
        <v>69.0</v>
      </c>
      <c r="O378" s="42">
        <v>0.011111111111111112</v>
      </c>
      <c r="P378" s="41">
        <v>0.09166666666666666</v>
      </c>
      <c r="Q378" s="11">
        <v>21.0</v>
      </c>
      <c r="R378" s="42">
        <v>0.05416666666666667</v>
      </c>
      <c r="S378" s="13">
        <v>0.0763888888888889</v>
      </c>
      <c r="T378" s="42">
        <v>0.04375</v>
      </c>
      <c r="U378" s="42">
        <v>0.09166666666666666</v>
      </c>
      <c r="V378" s="45">
        <v>-0.04791666666666667</v>
      </c>
      <c r="W378" s="15">
        <v>-0.04861111111111111</v>
      </c>
      <c r="X378" s="15">
        <v>-0.04861111111111111</v>
      </c>
      <c r="Y378" s="16" t="s">
        <v>4016</v>
      </c>
    </row>
    <row r="379">
      <c r="A379" s="6">
        <v>364.0</v>
      </c>
      <c r="B379" s="7" t="s">
        <v>4017</v>
      </c>
      <c r="C379" s="8" t="s">
        <v>4018</v>
      </c>
      <c r="D379" s="9" t="s">
        <v>52</v>
      </c>
      <c r="E379" s="7" t="s">
        <v>4019</v>
      </c>
      <c r="F379" s="9">
        <v>26.0</v>
      </c>
      <c r="G379" s="9">
        <v>1997.0</v>
      </c>
      <c r="H379" s="10">
        <v>5.0</v>
      </c>
      <c r="I379" s="11">
        <v>241.0</v>
      </c>
      <c r="J379" s="11">
        <v>48.0</v>
      </c>
      <c r="K379" s="11" t="s">
        <v>1152</v>
      </c>
      <c r="L379" s="11" t="s">
        <v>618</v>
      </c>
      <c r="M379" s="41">
        <v>0.075</v>
      </c>
      <c r="N379" s="11">
        <v>60.0</v>
      </c>
      <c r="O379" s="43">
        <v>0.0</v>
      </c>
      <c r="P379" s="41">
        <v>0.025694444444444443</v>
      </c>
      <c r="Q379" s="11">
        <v>3.0</v>
      </c>
      <c r="R379" s="42">
        <v>0.05138888888888889</v>
      </c>
      <c r="S379" s="13">
        <v>0.06944444444444445</v>
      </c>
      <c r="T379" s="42">
        <v>0.049305555555555554</v>
      </c>
      <c r="U379" s="42">
        <v>0.05138888888888889</v>
      </c>
      <c r="V379" s="44">
        <v>0.025694444444444443</v>
      </c>
      <c r="W379" s="14" t="str">
        <f>+0.37</f>
        <v>#ERROR!</v>
      </c>
      <c r="X379" s="14" t="str">
        <f>+1.18</f>
        <v>#ERROR!</v>
      </c>
      <c r="Y379" s="16" t="s">
        <v>4020</v>
      </c>
    </row>
    <row r="380">
      <c r="A380" s="6">
        <v>365.0</v>
      </c>
      <c r="B380" s="7" t="s">
        <v>4021</v>
      </c>
      <c r="C380" s="8" t="s">
        <v>4022</v>
      </c>
      <c r="D380" s="9" t="s">
        <v>32</v>
      </c>
      <c r="E380" s="7" t="s">
        <v>4023</v>
      </c>
      <c r="F380" s="9">
        <v>17.0</v>
      </c>
      <c r="G380" s="9">
        <v>2006.0</v>
      </c>
      <c r="H380" s="10">
        <v>2.0</v>
      </c>
      <c r="I380" s="11">
        <v>26.0</v>
      </c>
      <c r="J380" s="11">
        <v>13.0</v>
      </c>
      <c r="K380" s="11" t="s">
        <v>577</v>
      </c>
      <c r="L380" s="11" t="s">
        <v>195</v>
      </c>
      <c r="M380" s="46">
        <v>0.0</v>
      </c>
      <c r="N380" s="19"/>
      <c r="O380" s="43">
        <v>0.0</v>
      </c>
      <c r="P380" s="41">
        <v>0.2965277777777778</v>
      </c>
      <c r="Q380" s="11">
        <v>13.0</v>
      </c>
      <c r="R380" s="48" t="s">
        <v>293</v>
      </c>
      <c r="S380" s="13">
        <v>0.0763888888888889</v>
      </c>
      <c r="T380" s="42">
        <v>0.14791666666666667</v>
      </c>
      <c r="U380" s="43">
        <v>0.0</v>
      </c>
      <c r="V380" s="44">
        <v>0.14791666666666667</v>
      </c>
      <c r="W380" s="14" t="str">
        <f>+3.46</f>
        <v>#ERROR!</v>
      </c>
      <c r="X380" s="14" t="str">
        <f>+3.23</f>
        <v>#ERROR!</v>
      </c>
      <c r="Y380" s="16" t="s">
        <v>4024</v>
      </c>
    </row>
    <row r="381">
      <c r="A381" s="6">
        <v>366.0</v>
      </c>
      <c r="B381" s="7" t="s">
        <v>4025</v>
      </c>
      <c r="C381" s="8" t="s">
        <v>4026</v>
      </c>
      <c r="D381" s="9" t="s">
        <v>66</v>
      </c>
      <c r="E381" s="7" t="s">
        <v>4027</v>
      </c>
      <c r="F381" s="9">
        <v>17.0</v>
      </c>
      <c r="G381" s="9">
        <v>2006.0</v>
      </c>
      <c r="H381" s="10">
        <v>15.0</v>
      </c>
      <c r="I381" s="11">
        <v>1.238</v>
      </c>
      <c r="J381" s="11">
        <v>83.0</v>
      </c>
      <c r="K381" s="11" t="s">
        <v>1853</v>
      </c>
      <c r="L381" s="11" t="s">
        <v>1709</v>
      </c>
      <c r="M381" s="41">
        <v>0.04791666666666667</v>
      </c>
      <c r="N381" s="11">
        <v>83.0</v>
      </c>
      <c r="O381" s="42">
        <v>0.05555555555555555</v>
      </c>
      <c r="P381" s="46">
        <v>0.0</v>
      </c>
      <c r="Q381" s="19"/>
      <c r="R381" s="42">
        <v>0.009722222222222222</v>
      </c>
      <c r="S381" s="13">
        <v>0.050694444444444445</v>
      </c>
      <c r="T381" s="42">
        <v>0.04236111111111111</v>
      </c>
      <c r="U381" s="42">
        <v>0.09791666666666667</v>
      </c>
      <c r="V381" s="45">
        <v>-0.05555555555555555</v>
      </c>
      <c r="W381" s="15">
        <v>-0.05555555555555555</v>
      </c>
      <c r="X381" s="15">
        <v>-0.017361111111111112</v>
      </c>
      <c r="Y381" s="16" t="s">
        <v>4028</v>
      </c>
    </row>
    <row r="382">
      <c r="A382" s="6">
        <v>367.0</v>
      </c>
      <c r="B382" s="7" t="s">
        <v>4029</v>
      </c>
      <c r="C382" s="8" t="s">
        <v>4030</v>
      </c>
      <c r="D382" s="9" t="s">
        <v>52</v>
      </c>
      <c r="E382" s="7" t="s">
        <v>4031</v>
      </c>
      <c r="F382" s="9">
        <v>19.0</v>
      </c>
      <c r="G382" s="9">
        <v>2004.0</v>
      </c>
      <c r="H382" s="10">
        <v>23.0</v>
      </c>
      <c r="I382" s="11">
        <v>1.428</v>
      </c>
      <c r="J382" s="11">
        <v>62.0</v>
      </c>
      <c r="K382" s="11" t="s">
        <v>1858</v>
      </c>
      <c r="L382" s="11" t="s">
        <v>1661</v>
      </c>
      <c r="M382" s="41">
        <v>0.04652777777777778</v>
      </c>
      <c r="N382" s="11">
        <v>78.0</v>
      </c>
      <c r="O382" s="42">
        <v>0.04791666666666667</v>
      </c>
      <c r="P382" s="41">
        <v>0.02638888888888889</v>
      </c>
      <c r="Q382" s="11">
        <v>18.0</v>
      </c>
      <c r="R382" s="42">
        <v>0.013194444444444444</v>
      </c>
      <c r="S382" s="13">
        <v>0.08402777777777778</v>
      </c>
      <c r="T382" s="42">
        <v>0.08888888888888889</v>
      </c>
      <c r="U382" s="42">
        <v>0.07291666666666667</v>
      </c>
      <c r="V382" s="44">
        <v>0.04375</v>
      </c>
      <c r="W382" s="14" t="str">
        <f>+0.63</f>
        <v>#ERROR!</v>
      </c>
      <c r="X382" s="14" t="str">
        <f>+0.77</f>
        <v>#ERROR!</v>
      </c>
      <c r="Y382" s="16" t="s">
        <v>4032</v>
      </c>
    </row>
    <row r="383">
      <c r="A383" s="6">
        <v>368.0</v>
      </c>
      <c r="B383" s="7" t="s">
        <v>4033</v>
      </c>
      <c r="C383" s="8" t="s">
        <v>4034</v>
      </c>
      <c r="D383" s="9" t="s">
        <v>66</v>
      </c>
      <c r="E383" s="7" t="s">
        <v>4035</v>
      </c>
      <c r="F383" s="9">
        <v>33.0</v>
      </c>
      <c r="G383" s="9">
        <v>1990.0</v>
      </c>
      <c r="H383" s="10">
        <v>25.0</v>
      </c>
      <c r="I383" s="11">
        <v>2.077</v>
      </c>
      <c r="J383" s="11">
        <v>83.0</v>
      </c>
      <c r="K383" s="11" t="s">
        <v>1863</v>
      </c>
      <c r="L383" s="11" t="s">
        <v>1864</v>
      </c>
      <c r="M383" s="41">
        <v>0.041666666666666664</v>
      </c>
      <c r="N383" s="11">
        <v>88.0</v>
      </c>
      <c r="O383" s="42">
        <v>0.06041666666666667</v>
      </c>
      <c r="P383" s="41">
        <v>0.00625</v>
      </c>
      <c r="Q383" s="11">
        <v>24.0</v>
      </c>
      <c r="R383" s="42">
        <v>0.002777777777777778</v>
      </c>
      <c r="S383" s="13">
        <v>0.09722222222222222</v>
      </c>
      <c r="T383" s="42">
        <v>0.07777777777777778</v>
      </c>
      <c r="U383" s="42">
        <v>0.06875</v>
      </c>
      <c r="V383" s="44">
        <v>0.009027777777777777</v>
      </c>
      <c r="W383" s="14" t="str">
        <f>+0.13</f>
        <v>#ERROR!</v>
      </c>
      <c r="X383" s="15">
        <v>-0.011111111111111112</v>
      </c>
      <c r="Y383" s="16" t="s">
        <v>4036</v>
      </c>
    </row>
    <row r="384">
      <c r="A384" s="6">
        <v>369.0</v>
      </c>
      <c r="B384" s="7" t="s">
        <v>4037</v>
      </c>
      <c r="C384" s="8" t="s">
        <v>4038</v>
      </c>
      <c r="D384" s="9" t="s">
        <v>32</v>
      </c>
      <c r="E384" s="7" t="s">
        <v>4039</v>
      </c>
      <c r="F384" s="9">
        <v>18.0</v>
      </c>
      <c r="G384" s="9">
        <v>2005.0</v>
      </c>
      <c r="H384" s="10">
        <v>2.0</v>
      </c>
      <c r="I384" s="11">
        <v>15.0</v>
      </c>
      <c r="J384" s="11">
        <v>8.0</v>
      </c>
      <c r="K384" s="11" t="s">
        <v>47</v>
      </c>
      <c r="L384" s="11" t="s">
        <v>48</v>
      </c>
      <c r="M384" s="46">
        <v>0.0</v>
      </c>
      <c r="N384" s="19"/>
      <c r="O384" s="43">
        <v>0.0</v>
      </c>
      <c r="P384" s="47" t="s">
        <v>268</v>
      </c>
      <c r="Q384" s="11">
        <v>8.0</v>
      </c>
      <c r="R384" s="48" t="s">
        <v>175</v>
      </c>
      <c r="S384" s="20">
        <v>0.0</v>
      </c>
      <c r="T384" s="43">
        <v>0.0</v>
      </c>
      <c r="U384" s="43">
        <v>0.0</v>
      </c>
      <c r="V384" s="43">
        <v>0.0</v>
      </c>
      <c r="W384" s="21">
        <v>0.0</v>
      </c>
      <c r="X384" s="15">
        <v>-0.006944444444444444</v>
      </c>
      <c r="Y384" s="16" t="s">
        <v>4040</v>
      </c>
    </row>
    <row r="385">
      <c r="A385" s="6">
        <v>370.0</v>
      </c>
      <c r="B385" s="7" t="s">
        <v>4041</v>
      </c>
      <c r="C385" s="8" t="s">
        <v>4042</v>
      </c>
      <c r="D385" s="9" t="s">
        <v>52</v>
      </c>
      <c r="E385" s="7" t="s">
        <v>4043</v>
      </c>
      <c r="F385" s="9">
        <v>28.0</v>
      </c>
      <c r="G385" s="9">
        <v>1995.0</v>
      </c>
      <c r="H385" s="10">
        <v>21.0</v>
      </c>
      <c r="I385" s="11">
        <v>1.441</v>
      </c>
      <c r="J385" s="11">
        <v>69.0</v>
      </c>
      <c r="K385" s="11" t="s">
        <v>1873</v>
      </c>
      <c r="L385" s="11" t="s">
        <v>1191</v>
      </c>
      <c r="M385" s="41">
        <v>0.050694444444444445</v>
      </c>
      <c r="N385" s="11">
        <v>76.0</v>
      </c>
      <c r="O385" s="42">
        <v>0.017361111111111112</v>
      </c>
      <c r="P385" s="41">
        <v>0.013194444444444444</v>
      </c>
      <c r="Q385" s="11">
        <v>22.0</v>
      </c>
      <c r="R385" s="42">
        <v>0.013194444444444444</v>
      </c>
      <c r="S385" s="13">
        <v>0.1</v>
      </c>
      <c r="T385" s="42">
        <v>0.0875</v>
      </c>
      <c r="U385" s="42">
        <v>0.052083333333333336</v>
      </c>
      <c r="V385" s="44">
        <v>0.06319444444444444</v>
      </c>
      <c r="W385" s="14" t="str">
        <f>+1.31</f>
        <v>#ERROR!</v>
      </c>
      <c r="X385" s="15">
        <v>-0.013194444444444444</v>
      </c>
      <c r="Y385" s="16" t="s">
        <v>4044</v>
      </c>
    </row>
    <row r="386">
      <c r="A386" s="6">
        <v>371.0</v>
      </c>
      <c r="B386" s="7" t="s">
        <v>4045</v>
      </c>
      <c r="C386" s="8" t="s">
        <v>4046</v>
      </c>
      <c r="D386" s="9" t="s">
        <v>66</v>
      </c>
      <c r="E386" s="7" t="s">
        <v>4047</v>
      </c>
      <c r="F386" s="9">
        <v>20.0</v>
      </c>
      <c r="G386" s="9">
        <v>2003.0</v>
      </c>
      <c r="H386" s="18">
        <v>0.0</v>
      </c>
      <c r="I386" s="19"/>
      <c r="J386" s="19"/>
      <c r="K386" s="19"/>
      <c r="L386" s="19"/>
      <c r="M386" s="18">
        <v>0.0</v>
      </c>
      <c r="N386" s="19"/>
      <c r="O386" s="12">
        <v>0.0</v>
      </c>
      <c r="P386" s="18">
        <v>0.0</v>
      </c>
      <c r="Q386" s="19"/>
      <c r="R386" s="11">
        <v>4.0</v>
      </c>
      <c r="S386" s="24"/>
      <c r="T386" s="19"/>
      <c r="U386" s="19"/>
      <c r="V386" s="19"/>
      <c r="W386" s="19"/>
      <c r="X386" s="19"/>
      <c r="Y386" s="16" t="s">
        <v>4048</v>
      </c>
    </row>
    <row r="387">
      <c r="A387" s="6">
        <v>372.0</v>
      </c>
      <c r="B387" s="7" t="s">
        <v>4049</v>
      </c>
      <c r="C387" s="8" t="s">
        <v>4050</v>
      </c>
      <c r="D387" s="9" t="s">
        <v>59</v>
      </c>
      <c r="E387" s="7" t="s">
        <v>4051</v>
      </c>
      <c r="F387" s="9">
        <v>21.0</v>
      </c>
      <c r="G387" s="9">
        <v>2002.0</v>
      </c>
      <c r="H387" s="10">
        <v>19.0</v>
      </c>
      <c r="I387" s="11">
        <v>1.336</v>
      </c>
      <c r="J387" s="11">
        <v>70.0</v>
      </c>
      <c r="K387" s="11" t="s">
        <v>1882</v>
      </c>
      <c r="L387" s="11" t="s">
        <v>1703</v>
      </c>
      <c r="M387" s="41">
        <v>0.04722222222222222</v>
      </c>
      <c r="N387" s="11">
        <v>78.0</v>
      </c>
      <c r="O387" s="42">
        <v>0.01875</v>
      </c>
      <c r="P387" s="41">
        <v>0.013888888888888888</v>
      </c>
      <c r="Q387" s="11">
        <v>28.0</v>
      </c>
      <c r="R387" s="43">
        <v>0.0</v>
      </c>
      <c r="S387" s="13">
        <v>0.07847222222222222</v>
      </c>
      <c r="T387" s="42">
        <v>0.08958333333333333</v>
      </c>
      <c r="U387" s="42">
        <v>0.07083333333333333</v>
      </c>
      <c r="V387" s="44">
        <v>0.01875</v>
      </c>
      <c r="W387" s="14" t="str">
        <f>+0.27</f>
        <v>#ERROR!</v>
      </c>
      <c r="X387" s="14" t="str">
        <f>+0.47</f>
        <v>#ERROR!</v>
      </c>
      <c r="Y387" s="16" t="s">
        <v>4052</v>
      </c>
    </row>
    <row r="388">
      <c r="A388" s="6">
        <v>373.0</v>
      </c>
      <c r="B388" s="7" t="s">
        <v>4053</v>
      </c>
      <c r="C388" s="8" t="s">
        <v>4054</v>
      </c>
      <c r="D388" s="9" t="s">
        <v>73</v>
      </c>
      <c r="E388" s="7" t="s">
        <v>4055</v>
      </c>
      <c r="F388" s="9">
        <v>16.0</v>
      </c>
      <c r="G388" s="9">
        <v>2007.0</v>
      </c>
      <c r="H388" s="18">
        <v>0.0</v>
      </c>
      <c r="I388" s="19"/>
      <c r="J388" s="19"/>
      <c r="K388" s="19"/>
      <c r="L388" s="19"/>
      <c r="M388" s="18">
        <v>0.0</v>
      </c>
      <c r="N388" s="19"/>
      <c r="O388" s="12">
        <v>0.0</v>
      </c>
      <c r="P388" s="18">
        <v>0.0</v>
      </c>
      <c r="Q388" s="19"/>
      <c r="R388" s="11">
        <v>7.0</v>
      </c>
      <c r="S388" s="24"/>
      <c r="T388" s="19"/>
      <c r="U388" s="19"/>
      <c r="V388" s="19"/>
      <c r="W388" s="19"/>
      <c r="X388" s="19"/>
      <c r="Y388" s="16" t="s">
        <v>4056</v>
      </c>
    </row>
    <row r="389">
      <c r="A389" s="6">
        <v>374.0</v>
      </c>
      <c r="B389" s="7" t="s">
        <v>4057</v>
      </c>
      <c r="C389" s="8" t="s">
        <v>4058</v>
      </c>
      <c r="D389" s="9" t="s">
        <v>73</v>
      </c>
      <c r="E389" s="7" t="s">
        <v>4059</v>
      </c>
      <c r="F389" s="9">
        <v>26.0</v>
      </c>
      <c r="G389" s="9">
        <v>1997.0</v>
      </c>
      <c r="H389" s="10">
        <v>18.0</v>
      </c>
      <c r="I389" s="11">
        <v>1.575</v>
      </c>
      <c r="J389" s="11">
        <v>88.0</v>
      </c>
      <c r="K389" s="11" t="s">
        <v>1891</v>
      </c>
      <c r="L389" s="11" t="s">
        <v>1519</v>
      </c>
      <c r="M389" s="41">
        <v>0.06736111111111111</v>
      </c>
      <c r="N389" s="11">
        <v>90.0</v>
      </c>
      <c r="O389" s="42">
        <v>0.06736111111111111</v>
      </c>
      <c r="P389" s="41">
        <v>0.004166666666666667</v>
      </c>
      <c r="Q389" s="11">
        <v>45.0</v>
      </c>
      <c r="R389" s="42">
        <v>0.04791666666666667</v>
      </c>
      <c r="S389" s="13">
        <v>0.09166666666666666</v>
      </c>
      <c r="T389" s="42">
        <v>0.0875</v>
      </c>
      <c r="U389" s="42">
        <v>0.0875</v>
      </c>
      <c r="V389" s="44">
        <v>0.027777777777777776</v>
      </c>
      <c r="W389" s="14" t="str">
        <f>+0.40</f>
        <v>#ERROR!</v>
      </c>
      <c r="X389" s="14" t="str">
        <f>+0.32</f>
        <v>#ERROR!</v>
      </c>
      <c r="Y389" s="16" t="s">
        <v>4060</v>
      </c>
    </row>
    <row r="390">
      <c r="A390" s="6">
        <v>375.0</v>
      </c>
      <c r="B390" s="7" t="s">
        <v>4061</v>
      </c>
      <c r="C390" s="8" t="s">
        <v>4062</v>
      </c>
      <c r="D390" s="9" t="s">
        <v>59</v>
      </c>
      <c r="E390" s="7" t="s">
        <v>4063</v>
      </c>
      <c r="F390" s="9">
        <v>23.0</v>
      </c>
      <c r="G390" s="9">
        <v>2000.0</v>
      </c>
      <c r="H390" s="10">
        <v>23.0</v>
      </c>
      <c r="I390" s="11">
        <v>1.051</v>
      </c>
      <c r="J390" s="11">
        <v>46.0</v>
      </c>
      <c r="K390" s="11" t="s">
        <v>1589</v>
      </c>
      <c r="L390" s="11" t="s">
        <v>634</v>
      </c>
      <c r="M390" s="41">
        <v>0.04375</v>
      </c>
      <c r="N390" s="11">
        <v>74.0</v>
      </c>
      <c r="O390" s="42">
        <v>0.00625</v>
      </c>
      <c r="P390" s="41">
        <v>0.06527777777777778</v>
      </c>
      <c r="Q390" s="11">
        <v>15.0</v>
      </c>
      <c r="R390" s="42">
        <v>0.029861111111111113</v>
      </c>
      <c r="S390" s="13">
        <v>0.05694444444444444</v>
      </c>
      <c r="T390" s="42">
        <v>0.06111111111111111</v>
      </c>
      <c r="U390" s="42">
        <v>0.05555555555555555</v>
      </c>
      <c r="V390" s="44">
        <v>0.00625</v>
      </c>
      <c r="W390" s="14" t="str">
        <f>+0.09</f>
        <v>#ERROR!</v>
      </c>
      <c r="X390" s="14" t="str">
        <f>+0.69</f>
        <v>#ERROR!</v>
      </c>
      <c r="Y390" s="16" t="s">
        <v>4064</v>
      </c>
    </row>
    <row r="391">
      <c r="A391" s="25" t="s">
        <v>0</v>
      </c>
      <c r="B391" s="26" t="s">
        <v>1</v>
      </c>
      <c r="C391" s="27" t="s">
        <v>2</v>
      </c>
      <c r="D391" s="27" t="s">
        <v>3</v>
      </c>
      <c r="E391" s="27" t="s">
        <v>4</v>
      </c>
      <c r="F391" s="27" t="s">
        <v>5</v>
      </c>
      <c r="G391" s="27" t="s">
        <v>6</v>
      </c>
      <c r="H391" s="28" t="s">
        <v>7</v>
      </c>
      <c r="I391" s="27" t="s">
        <v>8</v>
      </c>
      <c r="J391" s="27" t="s">
        <v>9</v>
      </c>
      <c r="K391" s="27" t="s">
        <v>10</v>
      </c>
      <c r="L391" s="27" t="s">
        <v>11</v>
      </c>
      <c r="M391" s="28" t="s">
        <v>12</v>
      </c>
      <c r="N391" s="27" t="s">
        <v>13</v>
      </c>
      <c r="O391" s="27" t="s">
        <v>14</v>
      </c>
      <c r="P391" s="28" t="s">
        <v>15</v>
      </c>
      <c r="Q391" s="27" t="s">
        <v>16</v>
      </c>
      <c r="R391" s="27" t="s">
        <v>17</v>
      </c>
      <c r="S391" s="28" t="s">
        <v>18</v>
      </c>
      <c r="T391" s="27" t="s">
        <v>19</v>
      </c>
      <c r="U391" s="27" t="s">
        <v>20</v>
      </c>
      <c r="V391" s="29" t="str">
        <f>+/-</f>
        <v>#ERROR!</v>
      </c>
      <c r="W391" s="29" t="str">
        <f>+/-90</f>
        <v>#ERROR!</v>
      </c>
      <c r="X391" s="27" t="s">
        <v>21</v>
      </c>
      <c r="Y391" s="28" t="s">
        <v>22</v>
      </c>
    </row>
    <row r="392">
      <c r="A392" s="6">
        <v>376.0</v>
      </c>
      <c r="B392" s="7" t="s">
        <v>4065</v>
      </c>
      <c r="C392" s="8" t="s">
        <v>4066</v>
      </c>
      <c r="D392" s="9" t="s">
        <v>66</v>
      </c>
      <c r="E392" s="7" t="s">
        <v>4067</v>
      </c>
      <c r="F392" s="9">
        <v>33.0</v>
      </c>
      <c r="G392" s="9">
        <v>1990.0</v>
      </c>
      <c r="H392" s="10">
        <v>25.0</v>
      </c>
      <c r="I392" s="11">
        <v>1.831</v>
      </c>
      <c r="J392" s="11">
        <v>73.0</v>
      </c>
      <c r="K392" s="11" t="s">
        <v>1900</v>
      </c>
      <c r="L392" s="11" t="s">
        <v>1359</v>
      </c>
      <c r="M392" s="41">
        <v>0.04722222222222222</v>
      </c>
      <c r="N392" s="11">
        <v>81.0</v>
      </c>
      <c r="O392" s="42">
        <v>0.05486111111111111</v>
      </c>
      <c r="P392" s="41">
        <v>0.010416666666666666</v>
      </c>
      <c r="Q392" s="11">
        <v>17.0</v>
      </c>
      <c r="R392" s="43">
        <v>0.0</v>
      </c>
      <c r="S392" s="13">
        <v>0.08333333333333333</v>
      </c>
      <c r="T392" s="42">
        <v>0.06805555555555555</v>
      </c>
      <c r="U392" s="42">
        <v>0.04375</v>
      </c>
      <c r="V392" s="44">
        <v>0.02361111111111111</v>
      </c>
      <c r="W392" s="14" t="str">
        <f>+0.34</f>
        <v>#ERROR!</v>
      </c>
      <c r="X392" s="14" t="str">
        <f>+0.14</f>
        <v>#ERROR!</v>
      </c>
      <c r="Y392" s="16" t="s">
        <v>4068</v>
      </c>
    </row>
    <row r="393">
      <c r="A393" s="6">
        <v>377.0</v>
      </c>
      <c r="B393" s="7" t="s">
        <v>4069</v>
      </c>
      <c r="C393" s="8" t="s">
        <v>4070</v>
      </c>
      <c r="D393" s="9" t="s">
        <v>52</v>
      </c>
      <c r="E393" s="7" t="s">
        <v>4071</v>
      </c>
      <c r="F393" s="9">
        <v>23.0</v>
      </c>
      <c r="G393" s="9">
        <v>2000.0</v>
      </c>
      <c r="H393" s="10">
        <v>16.0</v>
      </c>
      <c r="I393" s="11">
        <v>294.0</v>
      </c>
      <c r="J393" s="11">
        <v>18.0</v>
      </c>
      <c r="K393" s="11" t="s">
        <v>770</v>
      </c>
      <c r="L393" s="11" t="s">
        <v>576</v>
      </c>
      <c r="M393" s="41">
        <v>0.04236111111111111</v>
      </c>
      <c r="N393" s="11">
        <v>68.0</v>
      </c>
      <c r="O393" s="42">
        <v>0.020833333333333332</v>
      </c>
      <c r="P393" s="41">
        <v>0.18333333333333332</v>
      </c>
      <c r="Q393" s="11">
        <v>11.0</v>
      </c>
      <c r="R393" s="42">
        <v>0.1125</v>
      </c>
      <c r="S393" s="13">
        <v>0.050694444444444445</v>
      </c>
      <c r="T393" s="42">
        <v>0.05625</v>
      </c>
      <c r="U393" s="42">
        <v>0.14791666666666667</v>
      </c>
      <c r="V393" s="45">
        <v>-0.09166666666666666</v>
      </c>
      <c r="W393" s="15">
        <v>-0.09305555555555556</v>
      </c>
      <c r="X393" s="15">
        <v>-0.09305555555555556</v>
      </c>
      <c r="Y393" s="16" t="s">
        <v>4072</v>
      </c>
    </row>
    <row r="394">
      <c r="A394" s="6">
        <v>378.0</v>
      </c>
      <c r="B394" s="7" t="s">
        <v>4073</v>
      </c>
      <c r="C394" s="8" t="s">
        <v>4074</v>
      </c>
      <c r="D394" s="9" t="s">
        <v>66</v>
      </c>
      <c r="E394" s="7" t="s">
        <v>4075</v>
      </c>
      <c r="F394" s="9">
        <v>25.0</v>
      </c>
      <c r="G394" s="9">
        <v>1998.0</v>
      </c>
      <c r="H394" s="10">
        <v>28.0</v>
      </c>
      <c r="I394" s="11">
        <v>2.448</v>
      </c>
      <c r="J394" s="11">
        <v>87.0</v>
      </c>
      <c r="K394" s="11" t="s">
        <v>1909</v>
      </c>
      <c r="L394" s="11" t="s">
        <v>1910</v>
      </c>
      <c r="M394" s="41">
        <v>0.04375</v>
      </c>
      <c r="N394" s="11">
        <v>87.0</v>
      </c>
      <c r="O394" s="42">
        <v>0.059027777777777776</v>
      </c>
      <c r="P394" s="46">
        <v>0.0</v>
      </c>
      <c r="Q394" s="19"/>
      <c r="R394" s="43">
        <v>0.0</v>
      </c>
      <c r="S394" s="13">
        <v>0.10347222222222222</v>
      </c>
      <c r="T394" s="42">
        <v>0.08958333333333333</v>
      </c>
      <c r="U394" s="42">
        <v>0.05138888888888889</v>
      </c>
      <c r="V394" s="44">
        <v>0.06666666666666667</v>
      </c>
      <c r="W394" s="14" t="str">
        <f>+0.96</f>
        <v>#ERROR!</v>
      </c>
      <c r="X394" s="14" t="str">
        <f>+2.03</f>
        <v>#ERROR!</v>
      </c>
      <c r="Y394" s="16" t="s">
        <v>4076</v>
      </c>
    </row>
    <row r="395">
      <c r="A395" s="6">
        <v>379.0</v>
      </c>
      <c r="B395" s="7" t="s">
        <v>4077</v>
      </c>
      <c r="C395" s="8" t="s">
        <v>4078</v>
      </c>
      <c r="D395" s="9" t="s">
        <v>32</v>
      </c>
      <c r="E395" s="7" t="s">
        <v>4079</v>
      </c>
      <c r="F395" s="9">
        <v>27.0</v>
      </c>
      <c r="G395" s="9">
        <v>1996.0</v>
      </c>
      <c r="H395" s="10">
        <v>30.0</v>
      </c>
      <c r="I395" s="11">
        <v>2.605</v>
      </c>
      <c r="J395" s="11">
        <v>87.0</v>
      </c>
      <c r="K395" s="11" t="s">
        <v>1915</v>
      </c>
      <c r="L395" s="11" t="s">
        <v>1916</v>
      </c>
      <c r="M395" s="41">
        <v>0.044444444444444446</v>
      </c>
      <c r="N395" s="11">
        <v>87.0</v>
      </c>
      <c r="O395" s="42">
        <v>0.04583333333333333</v>
      </c>
      <c r="P395" s="46">
        <v>0.0</v>
      </c>
      <c r="Q395" s="19"/>
      <c r="R395" s="43">
        <v>0.0</v>
      </c>
      <c r="S395" s="13">
        <v>0.09722222222222222</v>
      </c>
      <c r="T395" s="42">
        <v>0.08055555555555556</v>
      </c>
      <c r="U395" s="42">
        <v>0.06597222222222222</v>
      </c>
      <c r="V395" s="44">
        <v>0.014583333333333334</v>
      </c>
      <c r="W395" s="14" t="str">
        <f>+0.21</f>
        <v>#ERROR!</v>
      </c>
      <c r="X395" s="14" t="str">
        <f>+1.15</f>
        <v>#ERROR!</v>
      </c>
      <c r="Y395" s="16" t="s">
        <v>4080</v>
      </c>
    </row>
    <row r="396">
      <c r="A396" s="6">
        <v>380.0</v>
      </c>
      <c r="B396" s="7" t="s">
        <v>4081</v>
      </c>
      <c r="C396" s="8" t="s">
        <v>4082</v>
      </c>
      <c r="D396" s="9" t="s">
        <v>45</v>
      </c>
      <c r="E396" s="7" t="s">
        <v>4083</v>
      </c>
      <c r="F396" s="9">
        <v>21.0</v>
      </c>
      <c r="G396" s="9">
        <v>2002.0</v>
      </c>
      <c r="H396" s="10">
        <v>26.0</v>
      </c>
      <c r="I396" s="11">
        <v>1.431</v>
      </c>
      <c r="J396" s="11">
        <v>55.0</v>
      </c>
      <c r="K396" s="11" t="s">
        <v>1921</v>
      </c>
      <c r="L396" s="11" t="s">
        <v>1661</v>
      </c>
      <c r="M396" s="41">
        <v>0.06527777777777778</v>
      </c>
      <c r="N396" s="11">
        <v>81.0</v>
      </c>
      <c r="O396" s="42">
        <v>0.02638888888888889</v>
      </c>
      <c r="P396" s="41">
        <v>0.04791666666666667</v>
      </c>
      <c r="Q396" s="11">
        <v>19.0</v>
      </c>
      <c r="R396" s="42">
        <v>0.004166666666666667</v>
      </c>
      <c r="S396" s="13">
        <v>0.044444444444444446</v>
      </c>
      <c r="T396" s="42">
        <v>0.05486111111111111</v>
      </c>
      <c r="U396" s="42">
        <v>0.11458333333333333</v>
      </c>
      <c r="V396" s="45">
        <v>-0.059722222222222225</v>
      </c>
      <c r="W396" s="15">
        <v>-0.059722222222222225</v>
      </c>
      <c r="X396" s="15">
        <v>-0.05486111111111111</v>
      </c>
      <c r="Y396" s="16" t="s">
        <v>4084</v>
      </c>
    </row>
    <row r="397">
      <c r="A397" s="6">
        <v>381.0</v>
      </c>
      <c r="B397" s="7" t="s">
        <v>4085</v>
      </c>
      <c r="C397" s="8" t="s">
        <v>4086</v>
      </c>
      <c r="D397" s="9" t="s">
        <v>32</v>
      </c>
      <c r="E397" s="7" t="s">
        <v>4087</v>
      </c>
      <c r="F397" s="9">
        <v>19.0</v>
      </c>
      <c r="G397" s="9">
        <v>2004.0</v>
      </c>
      <c r="H397" s="10">
        <v>8.0</v>
      </c>
      <c r="I397" s="11">
        <v>459.0</v>
      </c>
      <c r="J397" s="11">
        <v>57.0</v>
      </c>
      <c r="K397" s="11" t="s">
        <v>124</v>
      </c>
      <c r="L397" s="11" t="s">
        <v>169</v>
      </c>
      <c r="M397" s="41">
        <v>0.06805555555555555</v>
      </c>
      <c r="N397" s="11">
        <v>86.0</v>
      </c>
      <c r="O397" s="42">
        <v>0.05416666666666667</v>
      </c>
      <c r="P397" s="41">
        <v>0.04097222222222222</v>
      </c>
      <c r="Q397" s="11">
        <v>9.0</v>
      </c>
      <c r="R397" s="42">
        <v>0.04097222222222222</v>
      </c>
      <c r="S397" s="13">
        <v>0.0763888888888889</v>
      </c>
      <c r="T397" s="42">
        <v>0.05416666666666667</v>
      </c>
      <c r="U397" s="42">
        <v>0.06805555555555555</v>
      </c>
      <c r="V397" s="44">
        <v>0.013888888888888888</v>
      </c>
      <c r="W397" s="14" t="str">
        <f>+0.20</f>
        <v>#ERROR!</v>
      </c>
      <c r="X397" s="15">
        <v>-0.011805555555555555</v>
      </c>
      <c r="Y397" s="16" t="s">
        <v>4088</v>
      </c>
    </row>
    <row r="398">
      <c r="A398" s="6">
        <v>382.0</v>
      </c>
      <c r="B398" s="7" t="s">
        <v>4089</v>
      </c>
      <c r="C398" s="8" t="s">
        <v>4090</v>
      </c>
      <c r="D398" s="9" t="s">
        <v>52</v>
      </c>
      <c r="E398" s="7" t="s">
        <v>4091</v>
      </c>
      <c r="F398" s="9">
        <v>22.0</v>
      </c>
      <c r="G398" s="9">
        <v>2001.0</v>
      </c>
      <c r="H398" s="10">
        <v>10.0</v>
      </c>
      <c r="I398" s="11">
        <v>307.0</v>
      </c>
      <c r="J398" s="11">
        <v>31.0</v>
      </c>
      <c r="K398" s="11" t="s">
        <v>232</v>
      </c>
      <c r="L398" s="11" t="s">
        <v>112</v>
      </c>
      <c r="M398" s="41">
        <v>0.06111111111111111</v>
      </c>
      <c r="N398" s="11">
        <v>72.0</v>
      </c>
      <c r="O398" s="42">
        <v>0.02013888888888889</v>
      </c>
      <c r="P398" s="41">
        <v>0.0875</v>
      </c>
      <c r="Q398" s="11">
        <v>13.0</v>
      </c>
      <c r="R398" s="42">
        <v>0.02013888888888889</v>
      </c>
      <c r="S398" s="13">
        <v>0.041666666666666664</v>
      </c>
      <c r="T398" s="42">
        <v>0.06111111111111111</v>
      </c>
      <c r="U398" s="42">
        <v>0.04097222222222222</v>
      </c>
      <c r="V398" s="44">
        <v>0.02013888888888889</v>
      </c>
      <c r="W398" s="14" t="str">
        <f>+0.29</f>
        <v>#ERROR!</v>
      </c>
      <c r="X398" s="14" t="str">
        <f>+0.29</f>
        <v>#ERROR!</v>
      </c>
      <c r="Y398" s="16" t="s">
        <v>4092</v>
      </c>
    </row>
    <row r="399">
      <c r="A399" s="6">
        <v>383.0</v>
      </c>
      <c r="B399" s="7" t="s">
        <v>4093</v>
      </c>
      <c r="C399" s="8" t="s">
        <v>4094</v>
      </c>
      <c r="D399" s="9" t="s">
        <v>52</v>
      </c>
      <c r="E399" s="7" t="s">
        <v>4095</v>
      </c>
      <c r="F399" s="9">
        <v>22.0</v>
      </c>
      <c r="G399" s="9">
        <v>2001.0</v>
      </c>
      <c r="H399" s="10">
        <v>10.0</v>
      </c>
      <c r="I399" s="11">
        <v>794.0</v>
      </c>
      <c r="J399" s="11">
        <v>79.0</v>
      </c>
      <c r="K399" s="11" t="s">
        <v>1934</v>
      </c>
      <c r="L399" s="11" t="s">
        <v>1935</v>
      </c>
      <c r="M399" s="41">
        <v>0.043055555555555555</v>
      </c>
      <c r="N399" s="11">
        <v>84.0</v>
      </c>
      <c r="O399" s="42">
        <v>0.04722222222222222</v>
      </c>
      <c r="P399" s="41">
        <v>0.007638888888888889</v>
      </c>
      <c r="Q399" s="11">
        <v>36.0</v>
      </c>
      <c r="R399" s="43">
        <v>0.0</v>
      </c>
      <c r="S399" s="13">
        <v>0.04861111111111111</v>
      </c>
      <c r="T399" s="42">
        <v>0.05555555555555555</v>
      </c>
      <c r="U399" s="42">
        <v>0.075</v>
      </c>
      <c r="V399" s="45">
        <v>-0.04722222222222222</v>
      </c>
      <c r="W399" s="15">
        <v>-0.04722222222222222</v>
      </c>
      <c r="X399" s="15">
        <v>-0.034027777777777775</v>
      </c>
      <c r="Y399" s="16" t="s">
        <v>4096</v>
      </c>
    </row>
    <row r="400">
      <c r="A400" s="6">
        <v>384.0</v>
      </c>
      <c r="B400" s="7" t="s">
        <v>4097</v>
      </c>
      <c r="C400" s="8" t="s">
        <v>4098</v>
      </c>
      <c r="D400" s="9" t="s">
        <v>45</v>
      </c>
      <c r="E400" s="7" t="s">
        <v>4099</v>
      </c>
      <c r="F400" s="9">
        <v>20.0</v>
      </c>
      <c r="G400" s="9">
        <v>2003.0</v>
      </c>
      <c r="H400" s="10">
        <v>27.0</v>
      </c>
      <c r="I400" s="11">
        <v>1.743</v>
      </c>
      <c r="J400" s="11">
        <v>65.0</v>
      </c>
      <c r="K400" s="11" t="s">
        <v>1940</v>
      </c>
      <c r="L400" s="11" t="s">
        <v>1799</v>
      </c>
      <c r="M400" s="41">
        <v>0.06458333333333334</v>
      </c>
      <c r="N400" s="11">
        <v>80.0</v>
      </c>
      <c r="O400" s="42">
        <v>0.025</v>
      </c>
      <c r="P400" s="41">
        <v>0.03194444444444444</v>
      </c>
      <c r="Q400" s="11">
        <v>33.0</v>
      </c>
      <c r="R400" s="42">
        <v>0.003472222222222222</v>
      </c>
      <c r="S400" s="13">
        <v>0.075</v>
      </c>
      <c r="T400" s="42">
        <v>0.09027777777777778</v>
      </c>
      <c r="U400" s="42">
        <v>0.07569444444444444</v>
      </c>
      <c r="V400" s="44">
        <v>0.014583333333333334</v>
      </c>
      <c r="W400" s="14" t="str">
        <f>+0.21</f>
        <v>#ERROR!</v>
      </c>
      <c r="X400" s="15">
        <v>-0.011805555555555555</v>
      </c>
      <c r="Y400" s="16" t="s">
        <v>4100</v>
      </c>
    </row>
    <row r="401">
      <c r="A401" s="6">
        <v>385.0</v>
      </c>
      <c r="B401" s="7" t="s">
        <v>4101</v>
      </c>
      <c r="C401" s="8" t="s">
        <v>4102</v>
      </c>
      <c r="D401" s="9" t="s">
        <v>32</v>
      </c>
      <c r="E401" s="7" t="s">
        <v>4103</v>
      </c>
      <c r="F401" s="9">
        <v>21.0</v>
      </c>
      <c r="G401" s="9">
        <v>2002.0</v>
      </c>
      <c r="H401" s="10">
        <v>2.0</v>
      </c>
      <c r="I401" s="11">
        <v>32.0</v>
      </c>
      <c r="J401" s="11">
        <v>16.0</v>
      </c>
      <c r="K401" s="11" t="s">
        <v>118</v>
      </c>
      <c r="L401" s="11" t="s">
        <v>318</v>
      </c>
      <c r="M401" s="46">
        <v>0.0</v>
      </c>
      <c r="N401" s="19"/>
      <c r="O401" s="43">
        <v>0.0</v>
      </c>
      <c r="P401" s="41">
        <v>0.20833333333333334</v>
      </c>
      <c r="Q401" s="11">
        <v>16.0</v>
      </c>
      <c r="R401" s="42">
        <v>0.3263888888888889</v>
      </c>
      <c r="S401" s="13">
        <v>0.125</v>
      </c>
      <c r="T401" s="42">
        <v>0.20833333333333334</v>
      </c>
      <c r="U401" s="42">
        <v>0.11805555555555555</v>
      </c>
      <c r="V401" s="44">
        <v>0.11805555555555555</v>
      </c>
      <c r="W401" s="14" t="str">
        <f>+2.81</f>
        <v>#ERROR!</v>
      </c>
      <c r="X401" s="14" t="str">
        <f>+2.51</f>
        <v>#ERROR!</v>
      </c>
      <c r="Y401" s="16" t="s">
        <v>4104</v>
      </c>
    </row>
    <row r="402">
      <c r="A402" s="6">
        <v>386.0</v>
      </c>
      <c r="B402" s="7" t="s">
        <v>4105</v>
      </c>
      <c r="C402" s="8" t="s">
        <v>4106</v>
      </c>
      <c r="D402" s="9" t="s">
        <v>25</v>
      </c>
      <c r="E402" s="7" t="s">
        <v>4107</v>
      </c>
      <c r="F402" s="9">
        <v>38.0</v>
      </c>
      <c r="G402" s="9">
        <v>1985.0</v>
      </c>
      <c r="H402" s="10">
        <v>17.0</v>
      </c>
      <c r="I402" s="11">
        <v>536.0</v>
      </c>
      <c r="J402" s="11">
        <v>32.0</v>
      </c>
      <c r="K402" s="11" t="s">
        <v>1949</v>
      </c>
      <c r="L402" s="11" t="s">
        <v>1485</v>
      </c>
      <c r="M402" s="41">
        <v>0.04652777777777778</v>
      </c>
      <c r="N402" s="11">
        <v>65.0</v>
      </c>
      <c r="O402" s="42">
        <v>0.011805555555555555</v>
      </c>
      <c r="P402" s="41">
        <v>0.09513888888888888</v>
      </c>
      <c r="Q402" s="11">
        <v>21.0</v>
      </c>
      <c r="R402" s="42">
        <v>0.08819444444444445</v>
      </c>
      <c r="S402" s="13">
        <v>0.07430555555555556</v>
      </c>
      <c r="T402" s="42">
        <v>0.06458333333333334</v>
      </c>
      <c r="U402" s="42">
        <v>0.06458333333333334</v>
      </c>
      <c r="V402" s="43">
        <v>0.0</v>
      </c>
      <c r="W402" s="21">
        <v>0.0</v>
      </c>
      <c r="X402" s="15">
        <v>-0.029166666666666667</v>
      </c>
      <c r="Y402" s="16" t="s">
        <v>4108</v>
      </c>
    </row>
    <row r="403">
      <c r="A403" s="6">
        <v>387.0</v>
      </c>
      <c r="B403" s="7" t="s">
        <v>4109</v>
      </c>
      <c r="C403" s="8" t="s">
        <v>4110</v>
      </c>
      <c r="D403" s="9" t="s">
        <v>52</v>
      </c>
      <c r="E403" s="7" t="s">
        <v>4111</v>
      </c>
      <c r="F403" s="9">
        <v>19.0</v>
      </c>
      <c r="G403" s="9">
        <v>2004.0</v>
      </c>
      <c r="H403" s="10">
        <v>1.0</v>
      </c>
      <c r="I403" s="11">
        <v>15.0</v>
      </c>
      <c r="J403" s="11">
        <v>15.0</v>
      </c>
      <c r="K403" s="11" t="s">
        <v>47</v>
      </c>
      <c r="L403" s="11" t="s">
        <v>48</v>
      </c>
      <c r="M403" s="46">
        <v>0.0</v>
      </c>
      <c r="N403" s="19"/>
      <c r="O403" s="43">
        <v>0.0</v>
      </c>
      <c r="P403" s="41">
        <v>0.20833333333333334</v>
      </c>
      <c r="Q403" s="11">
        <v>15.0</v>
      </c>
      <c r="R403" s="48" t="s">
        <v>654</v>
      </c>
      <c r="S403" s="13">
        <v>0.125</v>
      </c>
      <c r="T403" s="43">
        <v>0.0</v>
      </c>
      <c r="U403" s="43">
        <v>0.0</v>
      </c>
      <c r="V403" s="43">
        <v>0.0</v>
      </c>
      <c r="W403" s="21">
        <v>0.0</v>
      </c>
      <c r="X403" s="15">
        <v>-0.05347222222222222</v>
      </c>
      <c r="Y403" s="16" t="s">
        <v>4112</v>
      </c>
    </row>
    <row r="404">
      <c r="A404" s="6">
        <v>388.0</v>
      </c>
      <c r="B404" s="7" t="s">
        <v>4113</v>
      </c>
      <c r="C404" s="8" t="s">
        <v>4114</v>
      </c>
      <c r="D404" s="9" t="s">
        <v>32</v>
      </c>
      <c r="E404" s="7" t="s">
        <v>4115</v>
      </c>
      <c r="F404" s="9">
        <v>18.0</v>
      </c>
      <c r="G404" s="9">
        <v>2005.0</v>
      </c>
      <c r="H404" s="10">
        <v>6.0</v>
      </c>
      <c r="I404" s="11">
        <v>213.0</v>
      </c>
      <c r="J404" s="11">
        <v>36.0</v>
      </c>
      <c r="K404" s="11" t="s">
        <v>1822</v>
      </c>
      <c r="L404" s="11" t="s">
        <v>129</v>
      </c>
      <c r="M404" s="41">
        <v>0.05763888888888889</v>
      </c>
      <c r="N404" s="11">
        <v>56.0</v>
      </c>
      <c r="O404" s="43">
        <v>0.0</v>
      </c>
      <c r="P404" s="41">
        <v>0.08819444444444445</v>
      </c>
      <c r="Q404" s="11">
        <v>26.0</v>
      </c>
      <c r="R404" s="42">
        <v>0.08819444444444445</v>
      </c>
      <c r="S404" s="13">
        <v>0.06458333333333334</v>
      </c>
      <c r="T404" s="42">
        <v>0.05763888888888889</v>
      </c>
      <c r="U404" s="42">
        <v>0.05763888888888889</v>
      </c>
      <c r="V404" s="43">
        <v>0.0</v>
      </c>
      <c r="W404" s="21">
        <v>0.0</v>
      </c>
      <c r="X404" s="15">
        <v>-0.02013888888888889</v>
      </c>
      <c r="Y404" s="16" t="s">
        <v>4116</v>
      </c>
    </row>
    <row r="405">
      <c r="A405" s="6">
        <v>389.0</v>
      </c>
      <c r="B405" s="7" t="s">
        <v>4117</v>
      </c>
      <c r="C405" s="8" t="s">
        <v>4118</v>
      </c>
      <c r="D405" s="9" t="s">
        <v>66</v>
      </c>
      <c r="E405" s="7" t="s">
        <v>4119</v>
      </c>
      <c r="F405" s="9">
        <v>22.0</v>
      </c>
      <c r="G405" s="9">
        <v>2001.0</v>
      </c>
      <c r="H405" s="10">
        <v>7.0</v>
      </c>
      <c r="I405" s="11">
        <v>263.0</v>
      </c>
      <c r="J405" s="11">
        <v>38.0</v>
      </c>
      <c r="K405" s="11" t="s">
        <v>455</v>
      </c>
      <c r="L405" s="11" t="s">
        <v>362</v>
      </c>
      <c r="M405" s="41">
        <v>0.04375</v>
      </c>
      <c r="N405" s="11">
        <v>79.0</v>
      </c>
      <c r="O405" s="42">
        <v>0.02361111111111111</v>
      </c>
      <c r="P405" s="41">
        <v>0.06805555555555555</v>
      </c>
      <c r="Q405" s="11">
        <v>7.0</v>
      </c>
      <c r="R405" s="42">
        <v>0.35625</v>
      </c>
      <c r="S405" s="13">
        <v>0.05138888888888889</v>
      </c>
      <c r="T405" s="42">
        <v>0.04375</v>
      </c>
      <c r="U405" s="42">
        <v>0.11180555555555556</v>
      </c>
      <c r="V405" s="45">
        <v>-0.06805555555555555</v>
      </c>
      <c r="W405" s="15">
        <v>-0.06736111111111111</v>
      </c>
      <c r="X405" s="15">
        <v>-0.052083333333333336</v>
      </c>
      <c r="Y405" s="16" t="s">
        <v>4120</v>
      </c>
    </row>
    <row r="406">
      <c r="A406" s="6">
        <v>390.0</v>
      </c>
      <c r="B406" s="7" t="s">
        <v>4121</v>
      </c>
      <c r="C406" s="8" t="s">
        <v>4122</v>
      </c>
      <c r="D406" s="9" t="s">
        <v>73</v>
      </c>
      <c r="E406" s="7" t="s">
        <v>4123</v>
      </c>
      <c r="F406" s="9">
        <v>32.0</v>
      </c>
      <c r="G406" s="9">
        <v>1991.0</v>
      </c>
      <c r="H406" s="10">
        <v>15.0</v>
      </c>
      <c r="I406" s="11">
        <v>1.35</v>
      </c>
      <c r="J406" s="11">
        <v>90.0</v>
      </c>
      <c r="K406" s="11" t="s">
        <v>174</v>
      </c>
      <c r="L406" s="11" t="s">
        <v>175</v>
      </c>
      <c r="M406" s="41">
        <v>0.041666666666666664</v>
      </c>
      <c r="N406" s="11">
        <v>90.0</v>
      </c>
      <c r="O406" s="42">
        <v>0.041666666666666664</v>
      </c>
      <c r="P406" s="46">
        <v>0.0</v>
      </c>
      <c r="Q406" s="19"/>
      <c r="R406" s="42">
        <v>0.03680555555555556</v>
      </c>
      <c r="S406" s="13">
        <v>0.041666666666666664</v>
      </c>
      <c r="T406" s="42">
        <v>0.050694444444444445</v>
      </c>
      <c r="U406" s="42">
        <v>0.06944444444444445</v>
      </c>
      <c r="V406" s="45">
        <v>-0.01875</v>
      </c>
      <c r="W406" s="15">
        <v>-0.01875</v>
      </c>
      <c r="X406" s="14" t="str">
        <f>+0.13</f>
        <v>#ERROR!</v>
      </c>
      <c r="Y406" s="16" t="s">
        <v>4124</v>
      </c>
    </row>
    <row r="407">
      <c r="A407" s="6">
        <v>391.0</v>
      </c>
      <c r="B407" s="7" t="s">
        <v>4125</v>
      </c>
      <c r="C407" s="8" t="s">
        <v>4126</v>
      </c>
      <c r="D407" s="9" t="s">
        <v>52</v>
      </c>
      <c r="E407" s="7" t="s">
        <v>4127</v>
      </c>
      <c r="F407" s="9">
        <v>17.0</v>
      </c>
      <c r="G407" s="9">
        <v>2006.0</v>
      </c>
      <c r="H407" s="18">
        <v>0.0</v>
      </c>
      <c r="I407" s="19"/>
      <c r="J407" s="19"/>
      <c r="K407" s="19"/>
      <c r="L407" s="19"/>
      <c r="M407" s="18">
        <v>0.0</v>
      </c>
      <c r="N407" s="19"/>
      <c r="O407" s="12">
        <v>0.0</v>
      </c>
      <c r="P407" s="18">
        <v>0.0</v>
      </c>
      <c r="Q407" s="19"/>
      <c r="R407" s="11">
        <v>6.0</v>
      </c>
      <c r="S407" s="24"/>
      <c r="T407" s="19"/>
      <c r="U407" s="19"/>
      <c r="V407" s="19"/>
      <c r="W407" s="19"/>
      <c r="X407" s="19"/>
      <c r="Y407" s="16" t="s">
        <v>4128</v>
      </c>
    </row>
    <row r="408">
      <c r="A408" s="6">
        <v>392.0</v>
      </c>
      <c r="B408" s="7" t="s">
        <v>4129</v>
      </c>
      <c r="C408" s="8" t="s">
        <v>4130</v>
      </c>
      <c r="D408" s="9" t="s">
        <v>66</v>
      </c>
      <c r="E408" s="7" t="s">
        <v>4131</v>
      </c>
      <c r="F408" s="9">
        <v>15.0</v>
      </c>
      <c r="G408" s="9">
        <v>2008.0</v>
      </c>
      <c r="H408" s="18">
        <v>0.0</v>
      </c>
      <c r="I408" s="19"/>
      <c r="J408" s="19"/>
      <c r="K408" s="19"/>
      <c r="L408" s="19"/>
      <c r="M408" s="18">
        <v>0.0</v>
      </c>
      <c r="N408" s="19"/>
      <c r="O408" s="12">
        <v>0.0</v>
      </c>
      <c r="P408" s="18">
        <v>0.0</v>
      </c>
      <c r="Q408" s="19"/>
      <c r="R408" s="11">
        <v>1.0</v>
      </c>
      <c r="S408" s="24"/>
      <c r="T408" s="19"/>
      <c r="U408" s="19"/>
      <c r="V408" s="19"/>
      <c r="W408" s="19"/>
      <c r="X408" s="19"/>
      <c r="Y408" s="16" t="s">
        <v>4132</v>
      </c>
    </row>
    <row r="409">
      <c r="A409" s="6">
        <v>393.0</v>
      </c>
      <c r="B409" s="7" t="s">
        <v>4133</v>
      </c>
      <c r="C409" s="8" t="s">
        <v>4134</v>
      </c>
      <c r="D409" s="9" t="s">
        <v>52</v>
      </c>
      <c r="E409" s="7" t="s">
        <v>4135</v>
      </c>
      <c r="F409" s="9">
        <v>33.0</v>
      </c>
      <c r="G409" s="9">
        <v>1990.0</v>
      </c>
      <c r="H409" s="10">
        <v>25.0</v>
      </c>
      <c r="I409" s="11">
        <v>402.0</v>
      </c>
      <c r="J409" s="11">
        <v>16.0</v>
      </c>
      <c r="K409" s="11" t="s">
        <v>1715</v>
      </c>
      <c r="L409" s="11" t="s">
        <v>623</v>
      </c>
      <c r="M409" s="41">
        <v>0.030555555555555555</v>
      </c>
      <c r="N409" s="11">
        <v>60.0</v>
      </c>
      <c r="O409" s="43">
        <v>0.0</v>
      </c>
      <c r="P409" s="41">
        <v>0.21597222222222223</v>
      </c>
      <c r="Q409" s="11">
        <v>12.0</v>
      </c>
      <c r="R409" s="42">
        <v>0.030555555555555555</v>
      </c>
      <c r="S409" s="13">
        <v>0.04722222222222222</v>
      </c>
      <c r="T409" s="42">
        <v>0.06458333333333334</v>
      </c>
      <c r="U409" s="42">
        <v>0.049305555555555554</v>
      </c>
      <c r="V409" s="44">
        <v>0.015277777777777777</v>
      </c>
      <c r="W409" s="14" t="str">
        <f>+0.22</f>
        <v>#ERROR!</v>
      </c>
      <c r="X409" s="14" t="str">
        <f>+0.93</f>
        <v>#ERROR!</v>
      </c>
      <c r="Y409" s="16" t="s">
        <v>4136</v>
      </c>
    </row>
    <row r="410">
      <c r="A410" s="6">
        <v>394.0</v>
      </c>
      <c r="B410" s="7" t="s">
        <v>4137</v>
      </c>
      <c r="C410" s="8" t="s">
        <v>4138</v>
      </c>
      <c r="D410" s="9" t="s">
        <v>73</v>
      </c>
      <c r="E410" s="7" t="s">
        <v>4139</v>
      </c>
      <c r="F410" s="9">
        <v>30.0</v>
      </c>
      <c r="G410" s="9">
        <v>1993.0</v>
      </c>
      <c r="H410" s="10">
        <v>10.0</v>
      </c>
      <c r="I410" s="11">
        <v>900.0</v>
      </c>
      <c r="J410" s="11">
        <v>90.0</v>
      </c>
      <c r="K410" s="11" t="s">
        <v>1982</v>
      </c>
      <c r="L410" s="11" t="s">
        <v>268</v>
      </c>
      <c r="M410" s="41">
        <v>0.041666666666666664</v>
      </c>
      <c r="N410" s="11">
        <v>90.0</v>
      </c>
      <c r="O410" s="42">
        <v>0.041666666666666664</v>
      </c>
      <c r="P410" s="46">
        <v>0.0</v>
      </c>
      <c r="Q410" s="19"/>
      <c r="R410" s="42">
        <v>0.08333333333333333</v>
      </c>
      <c r="S410" s="13">
        <v>0.10416666666666667</v>
      </c>
      <c r="T410" s="42">
        <v>0.09027777777777778</v>
      </c>
      <c r="U410" s="42">
        <v>0.04861111111111111</v>
      </c>
      <c r="V410" s="44">
        <v>0.041666666666666664</v>
      </c>
      <c r="W410" s="14" t="str">
        <f>+0.60</f>
        <v>#ERROR!</v>
      </c>
      <c r="X410" s="15">
        <v>-0.05555555555555555</v>
      </c>
      <c r="Y410" s="16" t="s">
        <v>4140</v>
      </c>
    </row>
    <row r="411">
      <c r="A411" s="6">
        <v>395.0</v>
      </c>
      <c r="B411" s="7" t="s">
        <v>4141</v>
      </c>
      <c r="C411" s="8" t="s">
        <v>4142</v>
      </c>
      <c r="D411" s="9" t="s">
        <v>66</v>
      </c>
      <c r="E411" s="7" t="s">
        <v>4143</v>
      </c>
      <c r="F411" s="9">
        <v>18.0</v>
      </c>
      <c r="G411" s="9">
        <v>2005.0</v>
      </c>
      <c r="H411" s="10">
        <v>2.0</v>
      </c>
      <c r="I411" s="11">
        <v>43.0</v>
      </c>
      <c r="J411" s="11">
        <v>22.0</v>
      </c>
      <c r="K411" s="11" t="s">
        <v>1415</v>
      </c>
      <c r="L411" s="11" t="s">
        <v>201</v>
      </c>
      <c r="M411" s="46">
        <v>0.0</v>
      </c>
      <c r="N411" s="19"/>
      <c r="O411" s="43">
        <v>0.0</v>
      </c>
      <c r="P411" s="41">
        <v>0.16666666666666666</v>
      </c>
      <c r="Q411" s="11">
        <v>22.0</v>
      </c>
      <c r="R411" s="42">
        <v>0.16666666666666666</v>
      </c>
      <c r="S411" s="13">
        <v>0.08333333333333333</v>
      </c>
      <c r="T411" s="43">
        <v>0.0</v>
      </c>
      <c r="U411" s="43">
        <v>0.0</v>
      </c>
      <c r="V411" s="43">
        <v>0.0</v>
      </c>
      <c r="W411" s="21">
        <v>0.0</v>
      </c>
      <c r="X411" s="15">
        <v>-0.01875</v>
      </c>
      <c r="Y411" s="16" t="s">
        <v>4144</v>
      </c>
    </row>
    <row r="412">
      <c r="A412" s="6">
        <v>396.0</v>
      </c>
      <c r="B412" s="7" t="s">
        <v>4145</v>
      </c>
      <c r="C412" s="8" t="s">
        <v>4146</v>
      </c>
      <c r="D412" s="9" t="s">
        <v>59</v>
      </c>
      <c r="E412" s="7" t="s">
        <v>4147</v>
      </c>
      <c r="F412" s="9">
        <v>36.0</v>
      </c>
      <c r="G412" s="9">
        <v>1987.0</v>
      </c>
      <c r="H412" s="10">
        <v>20.0</v>
      </c>
      <c r="I412" s="11">
        <v>733.0</v>
      </c>
      <c r="J412" s="11">
        <v>37.0</v>
      </c>
      <c r="K412" s="11" t="s">
        <v>373</v>
      </c>
      <c r="L412" s="11" t="s">
        <v>94</v>
      </c>
      <c r="M412" s="41">
        <v>0.05138888888888889</v>
      </c>
      <c r="N412" s="11">
        <v>69.0</v>
      </c>
      <c r="O412" s="43">
        <v>0.0</v>
      </c>
      <c r="P412" s="41">
        <v>0.09236111111111112</v>
      </c>
      <c r="Q412" s="11">
        <v>23.0</v>
      </c>
      <c r="R412" s="42">
        <v>0.008333333333333333</v>
      </c>
      <c r="S412" s="13">
        <v>0.1076388888888889</v>
      </c>
      <c r="T412" s="42">
        <v>0.11597222222222223</v>
      </c>
      <c r="U412" s="42">
        <v>0.05138888888888889</v>
      </c>
      <c r="V412" s="44">
        <v>0.09236111111111112</v>
      </c>
      <c r="W412" s="14" t="str">
        <f>+1.72</f>
        <v>#ERROR!</v>
      </c>
      <c r="X412" s="14" t="str">
        <f>+0.44</f>
        <v>#ERROR!</v>
      </c>
      <c r="Y412" s="16" t="s">
        <v>4148</v>
      </c>
    </row>
    <row r="413">
      <c r="A413" s="6">
        <v>397.0</v>
      </c>
      <c r="B413" s="7" t="s">
        <v>4149</v>
      </c>
      <c r="C413" s="8" t="s">
        <v>4150</v>
      </c>
      <c r="D413" s="9" t="s">
        <v>52</v>
      </c>
      <c r="E413" s="7" t="s">
        <v>4151</v>
      </c>
      <c r="F413" s="9">
        <v>21.0</v>
      </c>
      <c r="G413" s="9">
        <v>2002.0</v>
      </c>
      <c r="H413" s="10">
        <v>6.0</v>
      </c>
      <c r="I413" s="11">
        <v>133.0</v>
      </c>
      <c r="J413" s="11">
        <v>22.0</v>
      </c>
      <c r="K413" s="11" t="s">
        <v>1697</v>
      </c>
      <c r="L413" s="11" t="s">
        <v>256</v>
      </c>
      <c r="M413" s="41">
        <v>0.04652777777777778</v>
      </c>
      <c r="N413" s="11">
        <v>45.0</v>
      </c>
      <c r="O413" s="43">
        <v>0.0</v>
      </c>
      <c r="P413" s="41">
        <v>0.14791666666666667</v>
      </c>
      <c r="Q413" s="11">
        <v>18.0</v>
      </c>
      <c r="R413" s="42">
        <v>0.3798611111111111</v>
      </c>
      <c r="S413" s="13">
        <v>0.041666666666666664</v>
      </c>
      <c r="T413" s="42">
        <v>0.06458333333333334</v>
      </c>
      <c r="U413" s="42">
        <v>0.08333333333333333</v>
      </c>
      <c r="V413" s="45">
        <v>-0.04652777777777778</v>
      </c>
      <c r="W413" s="15">
        <v>-0.04722222222222222</v>
      </c>
      <c r="X413" s="15">
        <v>-0.06180555555555556</v>
      </c>
      <c r="Y413" s="16" t="s">
        <v>4152</v>
      </c>
    </row>
    <row r="414">
      <c r="A414" s="6">
        <v>398.0</v>
      </c>
      <c r="B414" s="7" t="s">
        <v>4153</v>
      </c>
      <c r="C414" s="8" t="s">
        <v>4154</v>
      </c>
      <c r="D414" s="9" t="s">
        <v>45</v>
      </c>
      <c r="E414" s="7" t="s">
        <v>4155</v>
      </c>
      <c r="F414" s="9">
        <v>32.0</v>
      </c>
      <c r="G414" s="9">
        <v>1991.0</v>
      </c>
      <c r="H414" s="10">
        <v>29.0</v>
      </c>
      <c r="I414" s="11">
        <v>1.929</v>
      </c>
      <c r="J414" s="11">
        <v>67.0</v>
      </c>
      <c r="K414" s="11" t="s">
        <v>1999</v>
      </c>
      <c r="L414" s="11" t="s">
        <v>930</v>
      </c>
      <c r="M414" s="41">
        <v>0.04652777777777778</v>
      </c>
      <c r="N414" s="11">
        <v>76.0</v>
      </c>
      <c r="O414" s="42">
        <v>0.019444444444444445</v>
      </c>
      <c r="P414" s="41">
        <v>0.019444444444444445</v>
      </c>
      <c r="Q414" s="11">
        <v>29.0</v>
      </c>
      <c r="R414" s="43">
        <v>0.0</v>
      </c>
      <c r="S414" s="13">
        <v>0.06458333333333334</v>
      </c>
      <c r="T414" s="42">
        <v>0.05347222222222222</v>
      </c>
      <c r="U414" s="42">
        <v>0.10555555555555556</v>
      </c>
      <c r="V414" s="45">
        <v>-0.052083333333333336</v>
      </c>
      <c r="W414" s="15">
        <v>-0.052083333333333336</v>
      </c>
      <c r="X414" s="15">
        <v>-0.019444444444444445</v>
      </c>
      <c r="Y414" s="16" t="s">
        <v>4156</v>
      </c>
    </row>
    <row r="415">
      <c r="A415" s="6">
        <v>399.0</v>
      </c>
      <c r="B415" s="7" t="s">
        <v>4157</v>
      </c>
      <c r="C415" s="8" t="s">
        <v>4158</v>
      </c>
      <c r="D415" s="9" t="s">
        <v>73</v>
      </c>
      <c r="E415" s="7" t="s">
        <v>4159</v>
      </c>
      <c r="F415" s="9">
        <v>30.0</v>
      </c>
      <c r="G415" s="9">
        <v>1993.0</v>
      </c>
      <c r="H415" s="10">
        <v>9.0</v>
      </c>
      <c r="I415" s="11">
        <v>664.0</v>
      </c>
      <c r="J415" s="11">
        <v>74.0</v>
      </c>
      <c r="K415" s="11" t="s">
        <v>1106</v>
      </c>
      <c r="L415" s="11" t="s">
        <v>251</v>
      </c>
      <c r="M415" s="41">
        <v>0.04722222222222222</v>
      </c>
      <c r="N415" s="11">
        <v>79.0</v>
      </c>
      <c r="O415" s="42">
        <v>0.05625</v>
      </c>
      <c r="P415" s="41">
        <v>0.009722222222222222</v>
      </c>
      <c r="Q415" s="11">
        <v>34.0</v>
      </c>
      <c r="R415" s="42">
        <v>0.01875</v>
      </c>
      <c r="S415" s="13">
        <v>0.05694444444444444</v>
      </c>
      <c r="T415" s="42">
        <v>0.04722222222222222</v>
      </c>
      <c r="U415" s="42">
        <v>0.09444444444444444</v>
      </c>
      <c r="V415" s="45">
        <v>-0.04722222222222222</v>
      </c>
      <c r="W415" s="15">
        <v>-0.04722222222222222</v>
      </c>
      <c r="X415" s="15">
        <v>-0.10277777777777777</v>
      </c>
      <c r="Y415" s="16" t="s">
        <v>4160</v>
      </c>
    </row>
    <row r="416">
      <c r="A416" s="6">
        <v>400.0</v>
      </c>
      <c r="B416" s="7" t="s">
        <v>4161</v>
      </c>
      <c r="C416" s="8" t="s">
        <v>4162</v>
      </c>
      <c r="D416" s="9" t="s">
        <v>52</v>
      </c>
      <c r="E416" s="7" t="s">
        <v>4163</v>
      </c>
      <c r="F416" s="9">
        <v>38.0</v>
      </c>
      <c r="G416" s="9">
        <v>1985.0</v>
      </c>
      <c r="H416" s="10">
        <v>29.0</v>
      </c>
      <c r="I416" s="11">
        <v>1.864</v>
      </c>
      <c r="J416" s="11">
        <v>64.0</v>
      </c>
      <c r="K416" s="11" t="s">
        <v>2008</v>
      </c>
      <c r="L416" s="11" t="s">
        <v>2009</v>
      </c>
      <c r="M416" s="41">
        <v>0.06736111111111111</v>
      </c>
      <c r="N416" s="11">
        <v>81.0</v>
      </c>
      <c r="O416" s="42">
        <v>0.03680555555555556</v>
      </c>
      <c r="P416" s="41">
        <v>0.029861111111111113</v>
      </c>
      <c r="Q416" s="11">
        <v>27.0</v>
      </c>
      <c r="R416" s="43">
        <v>0.0</v>
      </c>
      <c r="S416" s="13">
        <v>0.06458333333333334</v>
      </c>
      <c r="T416" s="42">
        <v>0.0625</v>
      </c>
      <c r="U416" s="42">
        <v>0.08888888888888889</v>
      </c>
      <c r="V416" s="45">
        <v>-0.05347222222222222</v>
      </c>
      <c r="W416" s="15">
        <v>-0.05347222222222222</v>
      </c>
      <c r="X416" s="15">
        <v>-0.02361111111111111</v>
      </c>
      <c r="Y416" s="16" t="s">
        <v>4164</v>
      </c>
    </row>
    <row r="417">
      <c r="A417" s="25" t="s">
        <v>0</v>
      </c>
      <c r="B417" s="26" t="s">
        <v>1</v>
      </c>
      <c r="C417" s="27" t="s">
        <v>2</v>
      </c>
      <c r="D417" s="27" t="s">
        <v>3</v>
      </c>
      <c r="E417" s="27" t="s">
        <v>4</v>
      </c>
      <c r="F417" s="27" t="s">
        <v>5</v>
      </c>
      <c r="G417" s="27" t="s">
        <v>6</v>
      </c>
      <c r="H417" s="28" t="s">
        <v>7</v>
      </c>
      <c r="I417" s="27" t="s">
        <v>8</v>
      </c>
      <c r="J417" s="27" t="s">
        <v>9</v>
      </c>
      <c r="K417" s="27" t="s">
        <v>10</v>
      </c>
      <c r="L417" s="27" t="s">
        <v>11</v>
      </c>
      <c r="M417" s="28" t="s">
        <v>12</v>
      </c>
      <c r="N417" s="27" t="s">
        <v>13</v>
      </c>
      <c r="O417" s="27" t="s">
        <v>14</v>
      </c>
      <c r="P417" s="28" t="s">
        <v>15</v>
      </c>
      <c r="Q417" s="27" t="s">
        <v>16</v>
      </c>
      <c r="R417" s="27" t="s">
        <v>17</v>
      </c>
      <c r="S417" s="28" t="s">
        <v>18</v>
      </c>
      <c r="T417" s="27" t="s">
        <v>19</v>
      </c>
      <c r="U417" s="27" t="s">
        <v>20</v>
      </c>
      <c r="V417" s="29" t="str">
        <f>+/-</f>
        <v>#ERROR!</v>
      </c>
      <c r="W417" s="29" t="str">
        <f>+/-90</f>
        <v>#ERROR!</v>
      </c>
      <c r="X417" s="27" t="s">
        <v>21</v>
      </c>
      <c r="Y417" s="28" t="s">
        <v>22</v>
      </c>
    </row>
    <row r="418">
      <c r="A418" s="6">
        <v>401.0</v>
      </c>
      <c r="B418" s="7" t="s">
        <v>4165</v>
      </c>
      <c r="C418" s="8" t="s">
        <v>4166</v>
      </c>
      <c r="D418" s="9" t="s">
        <v>73</v>
      </c>
      <c r="E418" s="7" t="s">
        <v>4167</v>
      </c>
      <c r="F418" s="9">
        <v>24.0</v>
      </c>
      <c r="G418" s="9">
        <v>1999.0</v>
      </c>
      <c r="H418" s="10">
        <v>15.0</v>
      </c>
      <c r="I418" s="11">
        <v>1.35</v>
      </c>
      <c r="J418" s="11">
        <v>90.0</v>
      </c>
      <c r="K418" s="11" t="s">
        <v>174</v>
      </c>
      <c r="L418" s="11" t="s">
        <v>175</v>
      </c>
      <c r="M418" s="41">
        <v>0.041666666666666664</v>
      </c>
      <c r="N418" s="11">
        <v>90.0</v>
      </c>
      <c r="O418" s="42">
        <v>0.041666666666666664</v>
      </c>
      <c r="P418" s="46">
        <v>0.0</v>
      </c>
      <c r="Q418" s="19"/>
      <c r="R418" s="42">
        <v>0.06041666666666667</v>
      </c>
      <c r="S418" s="13">
        <v>0.06944444444444445</v>
      </c>
      <c r="T418" s="42">
        <v>0.05555555555555555</v>
      </c>
      <c r="U418" s="42">
        <v>0.07847222222222222</v>
      </c>
      <c r="V418" s="45">
        <v>-0.022916666666666665</v>
      </c>
      <c r="W418" s="15">
        <v>-0.022916666666666665</v>
      </c>
      <c r="X418" s="14" t="str">
        <f>+0.53</f>
        <v>#ERROR!</v>
      </c>
      <c r="Y418" s="16" t="s">
        <v>4168</v>
      </c>
    </row>
    <row r="419">
      <c r="A419" s="6">
        <v>402.0</v>
      </c>
      <c r="B419" s="7" t="s">
        <v>4169</v>
      </c>
      <c r="C419" s="8" t="s">
        <v>4170</v>
      </c>
      <c r="D419" s="9" t="s">
        <v>73</v>
      </c>
      <c r="E419" s="7" t="s">
        <v>4171</v>
      </c>
      <c r="F419" s="9">
        <v>17.0</v>
      </c>
      <c r="G419" s="9">
        <v>2006.0</v>
      </c>
      <c r="H419" s="18">
        <v>0.0</v>
      </c>
      <c r="I419" s="19"/>
      <c r="J419" s="19"/>
      <c r="K419" s="19"/>
      <c r="L419" s="19"/>
      <c r="M419" s="18">
        <v>0.0</v>
      </c>
      <c r="N419" s="19"/>
      <c r="O419" s="12">
        <v>0.0</v>
      </c>
      <c r="P419" s="18">
        <v>0.0</v>
      </c>
      <c r="Q419" s="19"/>
      <c r="R419" s="11">
        <v>4.0</v>
      </c>
      <c r="S419" s="24"/>
      <c r="T419" s="19"/>
      <c r="U419" s="19"/>
      <c r="V419" s="19"/>
      <c r="W419" s="19"/>
      <c r="X419" s="19"/>
      <c r="Y419" s="16" t="s">
        <v>4172</v>
      </c>
    </row>
    <row r="420">
      <c r="A420" s="6">
        <v>403.0</v>
      </c>
      <c r="B420" s="7" t="s">
        <v>4173</v>
      </c>
      <c r="C420" s="8" t="s">
        <v>4174</v>
      </c>
      <c r="D420" s="9" t="s">
        <v>52</v>
      </c>
      <c r="E420" s="7" t="s">
        <v>4175</v>
      </c>
      <c r="F420" s="9">
        <v>20.0</v>
      </c>
      <c r="G420" s="9">
        <v>2003.0</v>
      </c>
      <c r="H420" s="10">
        <v>26.0</v>
      </c>
      <c r="I420" s="11">
        <v>1.109</v>
      </c>
      <c r="J420" s="11">
        <v>43.0</v>
      </c>
      <c r="K420" s="11" t="s">
        <v>2022</v>
      </c>
      <c r="L420" s="11" t="s">
        <v>225</v>
      </c>
      <c r="M420" s="41">
        <v>0.06805555555555555</v>
      </c>
      <c r="N420" s="11">
        <v>77.0</v>
      </c>
      <c r="O420" s="42">
        <v>0.016666666666666666</v>
      </c>
      <c r="P420" s="41">
        <v>0.05138888888888889</v>
      </c>
      <c r="Q420" s="11">
        <v>13.0</v>
      </c>
      <c r="R420" s="42">
        <v>0.011111111111111112</v>
      </c>
      <c r="S420" s="13">
        <v>0.08611111111111111</v>
      </c>
      <c r="T420" s="42">
        <v>0.09722222222222222</v>
      </c>
      <c r="U420" s="42">
        <v>0.050694444444444445</v>
      </c>
      <c r="V420" s="44">
        <v>0.07361111111111111</v>
      </c>
      <c r="W420" s="14" t="str">
        <f>+1.46</f>
        <v>#ERROR!</v>
      </c>
      <c r="X420" s="14" t="str">
        <f>+0.10</f>
        <v>#ERROR!</v>
      </c>
      <c r="Y420" s="16" t="s">
        <v>4176</v>
      </c>
    </row>
    <row r="421">
      <c r="A421" s="6">
        <v>404.0</v>
      </c>
      <c r="B421" s="7" t="s">
        <v>4177</v>
      </c>
      <c r="C421" s="8" t="s">
        <v>4178</v>
      </c>
      <c r="D421" s="9" t="s">
        <v>66</v>
      </c>
      <c r="E421" s="7" t="s">
        <v>4179</v>
      </c>
      <c r="F421" s="9">
        <v>23.0</v>
      </c>
      <c r="G421" s="9">
        <v>2000.0</v>
      </c>
      <c r="H421" s="10">
        <v>14.0</v>
      </c>
      <c r="I421" s="11">
        <v>1.214</v>
      </c>
      <c r="J421" s="11">
        <v>87.0</v>
      </c>
      <c r="K421" s="11" t="s">
        <v>1377</v>
      </c>
      <c r="L421" s="11" t="s">
        <v>549</v>
      </c>
      <c r="M421" s="41">
        <v>0.044444444444444446</v>
      </c>
      <c r="N421" s="11">
        <v>87.0</v>
      </c>
      <c r="O421" s="42">
        <v>0.06666666666666667</v>
      </c>
      <c r="P421" s="46">
        <v>0.0</v>
      </c>
      <c r="Q421" s="19"/>
      <c r="R421" s="43">
        <v>0.0</v>
      </c>
      <c r="S421" s="13">
        <v>0.09652777777777778</v>
      </c>
      <c r="T421" s="42">
        <v>0.08541666666666667</v>
      </c>
      <c r="U421" s="42">
        <v>0.059722222222222225</v>
      </c>
      <c r="V421" s="44">
        <v>0.025694444444444443</v>
      </c>
      <c r="W421" s="14" t="str">
        <f>+0.37</f>
        <v>#ERROR!</v>
      </c>
      <c r="X421" s="14" t="str">
        <f>+0.13</f>
        <v>#ERROR!</v>
      </c>
      <c r="Y421" s="16" t="s">
        <v>4180</v>
      </c>
    </row>
    <row r="422">
      <c r="A422" s="6">
        <v>405.0</v>
      </c>
      <c r="B422" s="7" t="s">
        <v>4181</v>
      </c>
      <c r="C422" s="8" t="s">
        <v>4182</v>
      </c>
      <c r="D422" s="9" t="s">
        <v>66</v>
      </c>
      <c r="E422" s="7" t="s">
        <v>4183</v>
      </c>
      <c r="F422" s="9">
        <v>23.0</v>
      </c>
      <c r="G422" s="9">
        <v>2000.0</v>
      </c>
      <c r="H422" s="10">
        <v>11.0</v>
      </c>
      <c r="I422" s="11">
        <v>952.0</v>
      </c>
      <c r="J422" s="11">
        <v>87.0</v>
      </c>
      <c r="K422" s="11" t="s">
        <v>2031</v>
      </c>
      <c r="L422" s="11" t="s">
        <v>901</v>
      </c>
      <c r="M422" s="41">
        <v>0.044444444444444446</v>
      </c>
      <c r="N422" s="11">
        <v>87.0</v>
      </c>
      <c r="O422" s="42">
        <v>0.059027777777777776</v>
      </c>
      <c r="P422" s="46">
        <v>0.0</v>
      </c>
      <c r="Q422" s="19"/>
      <c r="R422" s="43">
        <v>0.0</v>
      </c>
      <c r="S422" s="13">
        <v>0.10208333333333333</v>
      </c>
      <c r="T422" s="42">
        <v>0.08888888888888889</v>
      </c>
      <c r="U422" s="42">
        <v>0.052083333333333336</v>
      </c>
      <c r="V422" s="44">
        <v>0.06388888888888888</v>
      </c>
      <c r="W422" s="14" t="str">
        <f>+1.32</f>
        <v>#ERROR!</v>
      </c>
      <c r="X422" s="15">
        <v>-0.008333333333333333</v>
      </c>
      <c r="Y422" s="16" t="s">
        <v>4184</v>
      </c>
    </row>
    <row r="423">
      <c r="A423" s="6">
        <v>406.0</v>
      </c>
      <c r="B423" s="7" t="s">
        <v>4185</v>
      </c>
      <c r="C423" s="8" t="s">
        <v>4186</v>
      </c>
      <c r="D423" s="9" t="s">
        <v>66</v>
      </c>
      <c r="E423" s="7" t="s">
        <v>4187</v>
      </c>
      <c r="F423" s="9">
        <v>17.0</v>
      </c>
      <c r="G423" s="9">
        <v>2006.0</v>
      </c>
      <c r="H423" s="18">
        <v>0.0</v>
      </c>
      <c r="I423" s="19"/>
      <c r="J423" s="19"/>
      <c r="K423" s="19"/>
      <c r="L423" s="19"/>
      <c r="M423" s="18">
        <v>0.0</v>
      </c>
      <c r="N423" s="19"/>
      <c r="O423" s="12">
        <v>0.0</v>
      </c>
      <c r="P423" s="18">
        <v>0.0</v>
      </c>
      <c r="Q423" s="19"/>
      <c r="R423" s="11">
        <v>1.0</v>
      </c>
      <c r="S423" s="24"/>
      <c r="T423" s="19"/>
      <c r="U423" s="19"/>
      <c r="V423" s="19"/>
      <c r="W423" s="19"/>
      <c r="X423" s="19"/>
      <c r="Y423" s="16" t="s">
        <v>4188</v>
      </c>
    </row>
    <row r="424">
      <c r="A424" s="6">
        <v>407.0</v>
      </c>
      <c r="B424" s="7" t="s">
        <v>4189</v>
      </c>
      <c r="C424" s="8" t="s">
        <v>4190</v>
      </c>
      <c r="D424" s="9" t="s">
        <v>52</v>
      </c>
      <c r="E424" s="7" t="s">
        <v>4191</v>
      </c>
      <c r="F424" s="9">
        <v>33.0</v>
      </c>
      <c r="G424" s="9">
        <v>1990.0</v>
      </c>
      <c r="H424" s="10">
        <v>26.0</v>
      </c>
      <c r="I424" s="11">
        <v>1.801</v>
      </c>
      <c r="J424" s="11">
        <v>69.0</v>
      </c>
      <c r="K424" s="11" t="s">
        <v>653</v>
      </c>
      <c r="L424" s="11" t="s">
        <v>654</v>
      </c>
      <c r="M424" s="41">
        <v>0.04513888888888889</v>
      </c>
      <c r="N424" s="11">
        <v>79.0</v>
      </c>
      <c r="O424" s="42">
        <v>0.024305555555555556</v>
      </c>
      <c r="P424" s="41">
        <v>0.017361111111111112</v>
      </c>
      <c r="Q424" s="11">
        <v>30.0</v>
      </c>
      <c r="R424" s="43">
        <v>0.0</v>
      </c>
      <c r="S424" s="13">
        <v>0.07083333333333333</v>
      </c>
      <c r="T424" s="42">
        <v>0.09375</v>
      </c>
      <c r="U424" s="42">
        <v>0.0763888888888889</v>
      </c>
      <c r="V424" s="44">
        <v>0.04513888888888889</v>
      </c>
      <c r="W424" s="14" t="str">
        <f>+0.65</f>
        <v>#ERROR!</v>
      </c>
      <c r="X424" s="14" t="str">
        <f>+1.65</f>
        <v>#ERROR!</v>
      </c>
      <c r="Y424" s="16" t="s">
        <v>4192</v>
      </c>
    </row>
    <row r="425">
      <c r="A425" s="6">
        <v>408.0</v>
      </c>
      <c r="B425" s="7" t="s">
        <v>4193</v>
      </c>
      <c r="C425" s="8" t="s">
        <v>4194</v>
      </c>
      <c r="D425" s="9" t="s">
        <v>52</v>
      </c>
      <c r="E425" s="7" t="s">
        <v>4195</v>
      </c>
      <c r="F425" s="9">
        <v>25.0</v>
      </c>
      <c r="G425" s="9">
        <v>1998.0</v>
      </c>
      <c r="H425" s="10">
        <v>28.0</v>
      </c>
      <c r="I425" s="11">
        <v>2.406</v>
      </c>
      <c r="J425" s="11">
        <v>86.0</v>
      </c>
      <c r="K425" s="11" t="s">
        <v>2044</v>
      </c>
      <c r="L425" s="11" t="s">
        <v>950</v>
      </c>
      <c r="M425" s="41">
        <v>0.04236111111111111</v>
      </c>
      <c r="N425" s="11">
        <v>87.0</v>
      </c>
      <c r="O425" s="42">
        <v>0.059722222222222225</v>
      </c>
      <c r="P425" s="41">
        <v>0.002777777777777778</v>
      </c>
      <c r="Q425" s="11">
        <v>45.0</v>
      </c>
      <c r="R425" s="43">
        <v>0.0</v>
      </c>
      <c r="S425" s="13">
        <v>0.08125</v>
      </c>
      <c r="T425" s="42">
        <v>0.07361111111111111</v>
      </c>
      <c r="U425" s="42">
        <v>0.05555555555555555</v>
      </c>
      <c r="V425" s="44">
        <v>0.018055555555555554</v>
      </c>
      <c r="W425" s="14" t="str">
        <f>+0.26</f>
        <v>#ERROR!</v>
      </c>
      <c r="X425" s="15">
        <v>-0.024305555555555556</v>
      </c>
      <c r="Y425" s="16" t="s">
        <v>4196</v>
      </c>
    </row>
    <row r="426">
      <c r="A426" s="6">
        <v>409.0</v>
      </c>
      <c r="B426" s="7" t="s">
        <v>4197</v>
      </c>
      <c r="C426" s="8" t="s">
        <v>4198</v>
      </c>
      <c r="D426" s="9" t="s">
        <v>52</v>
      </c>
      <c r="E426" s="7" t="s">
        <v>4199</v>
      </c>
      <c r="F426" s="9">
        <v>26.0</v>
      </c>
      <c r="G426" s="9">
        <v>1998.0</v>
      </c>
      <c r="H426" s="10">
        <v>27.0</v>
      </c>
      <c r="I426" s="11">
        <v>1.984</v>
      </c>
      <c r="J426" s="11">
        <v>73.0</v>
      </c>
      <c r="K426" s="11" t="s">
        <v>2049</v>
      </c>
      <c r="L426" s="11" t="s">
        <v>2050</v>
      </c>
      <c r="M426" s="41">
        <v>0.041666666666666664</v>
      </c>
      <c r="N426" s="11">
        <v>82.0</v>
      </c>
      <c r="O426" s="42">
        <v>0.04097222222222222</v>
      </c>
      <c r="P426" s="41">
        <v>0.01597222222222222</v>
      </c>
      <c r="Q426" s="11">
        <v>36.0</v>
      </c>
      <c r="R426" s="43">
        <v>0.0</v>
      </c>
      <c r="S426" s="13">
        <v>0.09027777777777778</v>
      </c>
      <c r="T426" s="42">
        <v>0.08263888888888889</v>
      </c>
      <c r="U426" s="42">
        <v>0.06041666666666667</v>
      </c>
      <c r="V426" s="44">
        <v>0.022222222222222223</v>
      </c>
      <c r="W426" s="14" t="str">
        <f>+0.32</f>
        <v>#ERROR!</v>
      </c>
      <c r="X426" s="15">
        <v>-0.004166666666666667</v>
      </c>
      <c r="Y426" s="16" t="s">
        <v>4200</v>
      </c>
    </row>
    <row r="427">
      <c r="A427" s="6">
        <v>410.0</v>
      </c>
      <c r="B427" s="7" t="s">
        <v>4201</v>
      </c>
      <c r="C427" s="8" t="s">
        <v>4202</v>
      </c>
      <c r="D427" s="9" t="s">
        <v>59</v>
      </c>
      <c r="E427" s="7" t="s">
        <v>4203</v>
      </c>
      <c r="F427" s="9">
        <v>24.0</v>
      </c>
      <c r="G427" s="9">
        <v>1999.0</v>
      </c>
      <c r="H427" s="10">
        <v>10.0</v>
      </c>
      <c r="I427" s="11">
        <v>415.0</v>
      </c>
      <c r="J427" s="11">
        <v>42.0</v>
      </c>
      <c r="K427" s="11" t="s">
        <v>392</v>
      </c>
      <c r="L427" s="11" t="s">
        <v>303</v>
      </c>
      <c r="M427" s="41">
        <v>0.06041666666666667</v>
      </c>
      <c r="N427" s="11">
        <v>74.0</v>
      </c>
      <c r="O427" s="42">
        <v>0.015277777777777777</v>
      </c>
      <c r="P427" s="41">
        <v>0.0625</v>
      </c>
      <c r="Q427" s="11">
        <v>20.0</v>
      </c>
      <c r="R427" s="42">
        <v>0.029861111111111113</v>
      </c>
      <c r="S427" s="13">
        <v>0.09722222222222222</v>
      </c>
      <c r="T427" s="42">
        <v>0.07777777777777778</v>
      </c>
      <c r="U427" s="42">
        <v>0.07777777777777778</v>
      </c>
      <c r="V427" s="43">
        <v>0.0</v>
      </c>
      <c r="W427" s="21">
        <v>0.0</v>
      </c>
      <c r="X427" s="15">
        <v>-0.06319444444444444</v>
      </c>
      <c r="Y427" s="16" t="s">
        <v>4204</v>
      </c>
    </row>
    <row r="428">
      <c r="A428" s="6">
        <v>411.0</v>
      </c>
      <c r="B428" s="7" t="s">
        <v>4205</v>
      </c>
      <c r="C428" s="8" t="s">
        <v>4206</v>
      </c>
      <c r="D428" s="9" t="s">
        <v>45</v>
      </c>
      <c r="E428" s="7" t="s">
        <v>4207</v>
      </c>
      <c r="F428" s="9">
        <v>24.0</v>
      </c>
      <c r="G428" s="9">
        <v>1999.0</v>
      </c>
      <c r="H428" s="10">
        <v>18.0</v>
      </c>
      <c r="I428" s="11">
        <v>1.504</v>
      </c>
      <c r="J428" s="11">
        <v>84.0</v>
      </c>
      <c r="K428" s="11" t="s">
        <v>2059</v>
      </c>
      <c r="L428" s="11" t="s">
        <v>293</v>
      </c>
      <c r="M428" s="41">
        <v>0.043055555555555555</v>
      </c>
      <c r="N428" s="11">
        <v>87.0</v>
      </c>
      <c r="O428" s="42">
        <v>0.041666666666666664</v>
      </c>
      <c r="P428" s="41">
        <v>0.004166666666666667</v>
      </c>
      <c r="Q428" s="11">
        <v>33.0</v>
      </c>
      <c r="R428" s="43">
        <v>0.0</v>
      </c>
      <c r="S428" s="13">
        <v>0.05763888888888889</v>
      </c>
      <c r="T428" s="42">
        <v>0.06666666666666667</v>
      </c>
      <c r="U428" s="42">
        <v>0.0763888888888889</v>
      </c>
      <c r="V428" s="45">
        <v>-0.0375</v>
      </c>
      <c r="W428" s="15">
        <v>-0.0375</v>
      </c>
      <c r="X428" s="14" t="str">
        <f>+0.06</f>
        <v>#ERROR!</v>
      </c>
      <c r="Y428" s="16" t="s">
        <v>4208</v>
      </c>
    </row>
    <row r="429">
      <c r="A429" s="6">
        <v>412.0</v>
      </c>
      <c r="B429" s="7" t="s">
        <v>4209</v>
      </c>
      <c r="C429" s="8" t="s">
        <v>4210</v>
      </c>
      <c r="D429" s="9" t="s">
        <v>52</v>
      </c>
      <c r="E429" s="7" t="s">
        <v>4211</v>
      </c>
      <c r="F429" s="9">
        <v>19.0</v>
      </c>
      <c r="G429" s="9">
        <v>2004.0</v>
      </c>
      <c r="H429" s="18">
        <v>0.0</v>
      </c>
      <c r="I429" s="19"/>
      <c r="J429" s="19"/>
      <c r="K429" s="19"/>
      <c r="L429" s="19"/>
      <c r="M429" s="18">
        <v>0.0</v>
      </c>
      <c r="N429" s="19"/>
      <c r="O429" s="12">
        <v>0.0</v>
      </c>
      <c r="P429" s="18">
        <v>0.0</v>
      </c>
      <c r="Q429" s="19"/>
      <c r="R429" s="11">
        <v>9.0</v>
      </c>
      <c r="S429" s="24"/>
      <c r="T429" s="19"/>
      <c r="U429" s="19"/>
      <c r="V429" s="19"/>
      <c r="W429" s="19"/>
      <c r="X429" s="19"/>
      <c r="Y429" s="16" t="s">
        <v>4212</v>
      </c>
    </row>
    <row r="430">
      <c r="A430" s="6">
        <v>413.0</v>
      </c>
      <c r="B430" s="7" t="s">
        <v>4213</v>
      </c>
      <c r="C430" s="8" t="s">
        <v>4214</v>
      </c>
      <c r="D430" s="9" t="s">
        <v>32</v>
      </c>
      <c r="E430" s="7" t="s">
        <v>4215</v>
      </c>
      <c r="F430" s="9">
        <v>22.0</v>
      </c>
      <c r="G430" s="9">
        <v>2002.0</v>
      </c>
      <c r="H430" s="10">
        <v>27.0</v>
      </c>
      <c r="I430" s="11">
        <v>2.219</v>
      </c>
      <c r="J430" s="11">
        <v>82.0</v>
      </c>
      <c r="K430" s="11" t="s">
        <v>2068</v>
      </c>
      <c r="L430" s="11" t="s">
        <v>250</v>
      </c>
      <c r="M430" s="41">
        <v>0.06736111111111111</v>
      </c>
      <c r="N430" s="11">
        <v>90.0</v>
      </c>
      <c r="O430" s="42">
        <v>0.06458333333333334</v>
      </c>
      <c r="P430" s="41">
        <v>0.008333333333333333</v>
      </c>
      <c r="Q430" s="11">
        <v>23.0</v>
      </c>
      <c r="R430" s="42">
        <v>0.002777777777777778</v>
      </c>
      <c r="S430" s="13">
        <v>0.0625</v>
      </c>
      <c r="T430" s="42">
        <v>0.07083333333333333</v>
      </c>
      <c r="U430" s="42">
        <v>0.08194444444444444</v>
      </c>
      <c r="V430" s="45">
        <v>-0.011111111111111112</v>
      </c>
      <c r="W430" s="15">
        <v>-0.011111111111111112</v>
      </c>
      <c r="X430" s="15">
        <v>-0.04861111111111111</v>
      </c>
      <c r="Y430" s="16" t="s">
        <v>4216</v>
      </c>
    </row>
    <row r="431">
      <c r="A431" s="6">
        <v>414.0</v>
      </c>
      <c r="B431" s="7" t="s">
        <v>4217</v>
      </c>
      <c r="C431" s="8" t="s">
        <v>4218</v>
      </c>
      <c r="D431" s="9" t="s">
        <v>52</v>
      </c>
      <c r="E431" s="7" t="s">
        <v>4219</v>
      </c>
      <c r="F431" s="9">
        <v>27.0</v>
      </c>
      <c r="G431" s="9">
        <v>1996.0</v>
      </c>
      <c r="H431" s="10">
        <v>27.0</v>
      </c>
      <c r="I431" s="11">
        <v>2.327</v>
      </c>
      <c r="J431" s="11">
        <v>86.0</v>
      </c>
      <c r="K431" s="11" t="s">
        <v>2073</v>
      </c>
      <c r="L431" s="11" t="s">
        <v>324</v>
      </c>
      <c r="M431" s="41">
        <v>0.044444444444444446</v>
      </c>
      <c r="N431" s="11">
        <v>86.0</v>
      </c>
      <c r="O431" s="42">
        <v>0.05625</v>
      </c>
      <c r="P431" s="46">
        <v>0.0</v>
      </c>
      <c r="Q431" s="19"/>
      <c r="R431" s="42">
        <v>0.002777777777777778</v>
      </c>
      <c r="S431" s="13">
        <v>0.10347222222222222</v>
      </c>
      <c r="T431" s="42">
        <v>0.07430555555555556</v>
      </c>
      <c r="U431" s="42">
        <v>0.06041666666666667</v>
      </c>
      <c r="V431" s="44">
        <v>0.013194444444444444</v>
      </c>
      <c r="W431" s="14" t="str">
        <f>+0.19</f>
        <v>#ERROR!</v>
      </c>
      <c r="X431" s="14" t="str">
        <f>+0.19</f>
        <v>#ERROR!</v>
      </c>
      <c r="Y431" s="16" t="s">
        <v>4220</v>
      </c>
    </row>
    <row r="432">
      <c r="A432" s="6">
        <v>415.0</v>
      </c>
      <c r="B432" s="7" t="s">
        <v>4221</v>
      </c>
      <c r="C432" s="8" t="s">
        <v>4222</v>
      </c>
      <c r="D432" s="9" t="s">
        <v>284</v>
      </c>
      <c r="E432" s="7" t="s">
        <v>4223</v>
      </c>
      <c r="F432" s="9">
        <v>21.0</v>
      </c>
      <c r="G432" s="9">
        <v>2002.0</v>
      </c>
      <c r="H432" s="10">
        <v>25.0</v>
      </c>
      <c r="I432" s="11">
        <v>1.716</v>
      </c>
      <c r="J432" s="11">
        <v>69.0</v>
      </c>
      <c r="K432" s="11" t="s">
        <v>2078</v>
      </c>
      <c r="L432" s="11" t="s">
        <v>2079</v>
      </c>
      <c r="M432" s="41">
        <v>0.06875</v>
      </c>
      <c r="N432" s="11">
        <v>83.0</v>
      </c>
      <c r="O432" s="42">
        <v>0.029166666666666667</v>
      </c>
      <c r="P432" s="41">
        <v>0.021527777777777778</v>
      </c>
      <c r="Q432" s="11">
        <v>22.0</v>
      </c>
      <c r="R432" s="42">
        <v>0.014583333333333334</v>
      </c>
      <c r="S432" s="13">
        <v>0.05555555555555555</v>
      </c>
      <c r="T432" s="42">
        <v>0.04513888888888889</v>
      </c>
      <c r="U432" s="42">
        <v>0.09930555555555555</v>
      </c>
      <c r="V432" s="45">
        <v>-0.05486111111111111</v>
      </c>
      <c r="W432" s="15">
        <v>-0.05486111111111111</v>
      </c>
      <c r="X432" s="15">
        <v>-0.016666666666666666</v>
      </c>
      <c r="Y432" s="16" t="s">
        <v>4224</v>
      </c>
    </row>
    <row r="433">
      <c r="A433" s="6">
        <v>416.0</v>
      </c>
      <c r="B433" s="7" t="s">
        <v>4225</v>
      </c>
      <c r="C433" s="8" t="s">
        <v>4226</v>
      </c>
      <c r="D433" s="9" t="s">
        <v>59</v>
      </c>
      <c r="E433" s="7" t="s">
        <v>4227</v>
      </c>
      <c r="F433" s="9">
        <v>22.0</v>
      </c>
      <c r="G433" s="9">
        <v>2001.0</v>
      </c>
      <c r="H433" s="10">
        <v>10.0</v>
      </c>
      <c r="I433" s="11">
        <v>393.0</v>
      </c>
      <c r="J433" s="11">
        <v>39.0</v>
      </c>
      <c r="K433" s="11" t="s">
        <v>106</v>
      </c>
      <c r="L433" s="11" t="s">
        <v>2084</v>
      </c>
      <c r="M433" s="41">
        <v>0.06319444444444444</v>
      </c>
      <c r="N433" s="11">
        <v>56.0</v>
      </c>
      <c r="O433" s="43">
        <v>0.0</v>
      </c>
      <c r="P433" s="41">
        <v>0.06666666666666667</v>
      </c>
      <c r="Q433" s="11">
        <v>28.0</v>
      </c>
      <c r="R433" s="42">
        <v>0.09861111111111111</v>
      </c>
      <c r="S433" s="13">
        <v>0.041666666666666664</v>
      </c>
      <c r="T433" s="42">
        <v>0.04722222222222222</v>
      </c>
      <c r="U433" s="42">
        <v>0.09861111111111111</v>
      </c>
      <c r="V433" s="45">
        <v>-0.05138888888888889</v>
      </c>
      <c r="W433" s="15">
        <v>-0.052083333333333336</v>
      </c>
      <c r="X433" s="15">
        <v>-0.06597222222222222</v>
      </c>
      <c r="Y433" s="16" t="s">
        <v>4228</v>
      </c>
    </row>
    <row r="434">
      <c r="A434" s="6">
        <v>417.0</v>
      </c>
      <c r="B434" s="7" t="s">
        <v>4229</v>
      </c>
      <c r="C434" s="8" t="s">
        <v>4230</v>
      </c>
      <c r="D434" s="9" t="s">
        <v>284</v>
      </c>
      <c r="E434" s="7" t="s">
        <v>4231</v>
      </c>
      <c r="F434" s="9">
        <v>34.0</v>
      </c>
      <c r="G434" s="9">
        <v>1989.0</v>
      </c>
      <c r="H434" s="10">
        <v>16.0</v>
      </c>
      <c r="I434" s="11">
        <v>612.0</v>
      </c>
      <c r="J434" s="11">
        <v>38.0</v>
      </c>
      <c r="K434" s="11" t="s">
        <v>1564</v>
      </c>
      <c r="L434" s="11" t="s">
        <v>2089</v>
      </c>
      <c r="M434" s="41">
        <v>0.04097222222222222</v>
      </c>
      <c r="N434" s="11">
        <v>80.0</v>
      </c>
      <c r="O434" s="42">
        <v>0.02013888888888889</v>
      </c>
      <c r="P434" s="41">
        <v>0.09444444444444444</v>
      </c>
      <c r="Q434" s="11">
        <v>24.0</v>
      </c>
      <c r="R434" s="42">
        <v>0.04097222222222222</v>
      </c>
      <c r="S434" s="13">
        <v>0.06111111111111111</v>
      </c>
      <c r="T434" s="42">
        <v>0.06111111111111111</v>
      </c>
      <c r="U434" s="42">
        <v>0.11805555555555555</v>
      </c>
      <c r="V434" s="45">
        <v>-0.08472222222222223</v>
      </c>
      <c r="W434" s="15">
        <v>-0.08472222222222223</v>
      </c>
      <c r="X434" s="15">
        <v>-0.0875</v>
      </c>
      <c r="Y434" s="16" t="s">
        <v>4232</v>
      </c>
    </row>
    <row r="435">
      <c r="A435" s="6">
        <v>418.0</v>
      </c>
      <c r="B435" s="7" t="s">
        <v>4233</v>
      </c>
      <c r="C435" s="8" t="s">
        <v>4234</v>
      </c>
      <c r="D435" s="9" t="s">
        <v>66</v>
      </c>
      <c r="E435" s="7" t="s">
        <v>4235</v>
      </c>
      <c r="F435" s="9">
        <v>29.0</v>
      </c>
      <c r="G435" s="9">
        <v>1994.0</v>
      </c>
      <c r="H435" s="10">
        <v>1.0</v>
      </c>
      <c r="I435" s="11">
        <v>4.0</v>
      </c>
      <c r="J435" s="11">
        <v>4.0</v>
      </c>
      <c r="K435" s="11" t="s">
        <v>155</v>
      </c>
      <c r="L435" s="12" t="s">
        <v>470</v>
      </c>
      <c r="M435" s="18">
        <v>0.0</v>
      </c>
      <c r="N435" s="19"/>
      <c r="O435" s="12">
        <v>0.0</v>
      </c>
      <c r="P435" s="10">
        <v>1.0</v>
      </c>
      <c r="Q435" s="11">
        <v>4.0</v>
      </c>
      <c r="R435" s="11">
        <v>11.0</v>
      </c>
      <c r="S435" s="13">
        <v>0.041666666666666664</v>
      </c>
      <c r="T435" s="12">
        <v>0.0</v>
      </c>
      <c r="U435" s="11">
        <v>2.0</v>
      </c>
      <c r="V435" s="17">
        <v>-2.0</v>
      </c>
      <c r="W435" s="15">
        <v>-1.875</v>
      </c>
      <c r="X435" s="15">
        <v>-1.8868055555555556</v>
      </c>
      <c r="Y435" s="16" t="s">
        <v>4236</v>
      </c>
    </row>
    <row r="436">
      <c r="A436" s="6">
        <v>419.0</v>
      </c>
      <c r="B436" s="7" t="s">
        <v>4237</v>
      </c>
      <c r="C436" s="8" t="s">
        <v>4238</v>
      </c>
      <c r="D436" s="9" t="s">
        <v>52</v>
      </c>
      <c r="E436" s="7" t="s">
        <v>4239</v>
      </c>
      <c r="F436" s="9">
        <v>18.0</v>
      </c>
      <c r="G436" s="9">
        <v>2005.0</v>
      </c>
      <c r="H436" s="10">
        <v>12.0</v>
      </c>
      <c r="I436" s="11">
        <v>377.0</v>
      </c>
      <c r="J436" s="11">
        <v>31.0</v>
      </c>
      <c r="K436" s="11" t="s">
        <v>1335</v>
      </c>
      <c r="L436" s="11" t="s">
        <v>837</v>
      </c>
      <c r="M436" s="41">
        <v>0.049305555555555554</v>
      </c>
      <c r="N436" s="11">
        <v>66.0</v>
      </c>
      <c r="O436" s="43">
        <v>0.0</v>
      </c>
      <c r="P436" s="41">
        <v>0.09305555555555556</v>
      </c>
      <c r="Q436" s="11">
        <v>20.0</v>
      </c>
      <c r="R436" s="42">
        <v>0.14305555555555555</v>
      </c>
      <c r="S436" s="13">
        <v>0.06388888888888888</v>
      </c>
      <c r="T436" s="42">
        <v>0.08819444444444445</v>
      </c>
      <c r="U436" s="42">
        <v>0.14305555555555555</v>
      </c>
      <c r="V436" s="45">
        <v>-0.05486111111111111</v>
      </c>
      <c r="W436" s="15">
        <v>-0.05486111111111111</v>
      </c>
      <c r="X436" s="15">
        <v>-0.03958333333333333</v>
      </c>
      <c r="Y436" s="16" t="s">
        <v>4240</v>
      </c>
    </row>
    <row r="437">
      <c r="A437" s="6">
        <v>420.0</v>
      </c>
      <c r="B437" s="7" t="s">
        <v>4241</v>
      </c>
      <c r="C437" s="8" t="s">
        <v>4242</v>
      </c>
      <c r="D437" s="9" t="s">
        <v>45</v>
      </c>
      <c r="E437" s="7" t="s">
        <v>4243</v>
      </c>
      <c r="F437" s="9">
        <v>25.0</v>
      </c>
      <c r="G437" s="9">
        <v>1998.0</v>
      </c>
      <c r="H437" s="10">
        <v>20.0</v>
      </c>
      <c r="I437" s="11">
        <v>1.685</v>
      </c>
      <c r="J437" s="11">
        <v>84.0</v>
      </c>
      <c r="K437" s="11" t="s">
        <v>2102</v>
      </c>
      <c r="L437" s="11" t="s">
        <v>2103</v>
      </c>
      <c r="M437" s="41">
        <v>0.043055555555555555</v>
      </c>
      <c r="N437" s="11">
        <v>87.0</v>
      </c>
      <c r="O437" s="42">
        <v>0.059722222222222225</v>
      </c>
      <c r="P437" s="41">
        <v>0.003472222222222222</v>
      </c>
      <c r="Q437" s="11">
        <v>29.0</v>
      </c>
      <c r="R437" s="42">
        <v>0.003472222222222222</v>
      </c>
      <c r="S437" s="13">
        <v>0.041666666666666664</v>
      </c>
      <c r="T437" s="42">
        <v>0.04652777777777778</v>
      </c>
      <c r="U437" s="42">
        <v>0.0763888888888889</v>
      </c>
      <c r="V437" s="45">
        <v>-0.029861111111111113</v>
      </c>
      <c r="W437" s="15">
        <v>-0.029861111111111113</v>
      </c>
      <c r="X437" s="15">
        <v>-0.017361111111111112</v>
      </c>
      <c r="Y437" s="16" t="s">
        <v>4244</v>
      </c>
    </row>
    <row r="438">
      <c r="A438" s="6">
        <v>421.0</v>
      </c>
      <c r="B438" s="7" t="s">
        <v>4245</v>
      </c>
      <c r="C438" s="8" t="s">
        <v>4246</v>
      </c>
      <c r="D438" s="9" t="s">
        <v>32</v>
      </c>
      <c r="E438" s="7" t="s">
        <v>4247</v>
      </c>
      <c r="F438" s="9">
        <v>18.0</v>
      </c>
      <c r="G438" s="9">
        <v>2005.0</v>
      </c>
      <c r="H438" s="10">
        <v>6.0</v>
      </c>
      <c r="I438" s="11">
        <v>208.0</v>
      </c>
      <c r="J438" s="11">
        <v>35.0</v>
      </c>
      <c r="K438" s="11" t="s">
        <v>206</v>
      </c>
      <c r="L438" s="11" t="s">
        <v>207</v>
      </c>
      <c r="M438" s="41">
        <v>0.06041666666666667</v>
      </c>
      <c r="N438" s="11">
        <v>81.0</v>
      </c>
      <c r="O438" s="42">
        <v>0.029861111111111113</v>
      </c>
      <c r="P438" s="41">
        <v>0.09305555555555556</v>
      </c>
      <c r="Q438" s="11">
        <v>12.0</v>
      </c>
      <c r="R438" s="42">
        <v>0.029861111111111113</v>
      </c>
      <c r="S438" s="13">
        <v>0.04652777777777778</v>
      </c>
      <c r="T438" s="42">
        <v>0.06041666666666667</v>
      </c>
      <c r="U438" s="42">
        <v>0.06041666666666667</v>
      </c>
      <c r="V438" s="43">
        <v>0.0</v>
      </c>
      <c r="W438" s="21">
        <v>0.0</v>
      </c>
      <c r="X438" s="14" t="str">
        <f>+0.61</f>
        <v>#ERROR!</v>
      </c>
      <c r="Y438" s="16" t="s">
        <v>4248</v>
      </c>
    </row>
    <row r="439">
      <c r="A439" s="6">
        <v>422.0</v>
      </c>
      <c r="B439" s="7" t="s">
        <v>4249</v>
      </c>
      <c r="C439" s="8" t="s">
        <v>4250</v>
      </c>
      <c r="D439" s="9" t="s">
        <v>52</v>
      </c>
      <c r="E439" s="7" t="s">
        <v>4251</v>
      </c>
      <c r="F439" s="9">
        <v>32.0</v>
      </c>
      <c r="G439" s="9">
        <v>1991.0</v>
      </c>
      <c r="H439" s="10">
        <v>14.0</v>
      </c>
      <c r="I439" s="11">
        <v>831.0</v>
      </c>
      <c r="J439" s="11">
        <v>59.0</v>
      </c>
      <c r="K439" s="11" t="s">
        <v>2112</v>
      </c>
      <c r="L439" s="11" t="s">
        <v>2113</v>
      </c>
      <c r="M439" s="41">
        <v>0.0625</v>
      </c>
      <c r="N439" s="11">
        <v>64.0</v>
      </c>
      <c r="O439" s="42">
        <v>0.022916666666666665</v>
      </c>
      <c r="P439" s="41">
        <v>0.015277777777777777</v>
      </c>
      <c r="Q439" s="11">
        <v>30.0</v>
      </c>
      <c r="R439" s="42">
        <v>0.007638888888888889</v>
      </c>
      <c r="S439" s="13">
        <v>0.08125</v>
      </c>
      <c r="T439" s="42">
        <v>0.06805555555555555</v>
      </c>
      <c r="U439" s="42">
        <v>0.08541666666666667</v>
      </c>
      <c r="V439" s="45">
        <v>-0.04513888888888889</v>
      </c>
      <c r="W439" s="15">
        <v>-0.04513888888888889</v>
      </c>
      <c r="X439" s="15">
        <v>-0.07083333333333333</v>
      </c>
      <c r="Y439" s="16" t="s">
        <v>4252</v>
      </c>
    </row>
    <row r="440">
      <c r="A440" s="6">
        <v>423.0</v>
      </c>
      <c r="B440" s="7" t="s">
        <v>4253</v>
      </c>
      <c r="C440" s="8" t="s">
        <v>4254</v>
      </c>
      <c r="D440" s="9" t="s">
        <v>73</v>
      </c>
      <c r="E440" s="7" t="s">
        <v>4255</v>
      </c>
      <c r="F440" s="9">
        <v>21.0</v>
      </c>
      <c r="G440" s="9">
        <v>2003.0</v>
      </c>
      <c r="H440" s="18">
        <v>0.0</v>
      </c>
      <c r="I440" s="19"/>
      <c r="J440" s="19"/>
      <c r="K440" s="19"/>
      <c r="L440" s="19"/>
      <c r="M440" s="18">
        <v>0.0</v>
      </c>
      <c r="N440" s="19"/>
      <c r="O440" s="12">
        <v>0.0</v>
      </c>
      <c r="P440" s="18">
        <v>0.0</v>
      </c>
      <c r="Q440" s="19"/>
      <c r="R440" s="11">
        <v>1.0</v>
      </c>
      <c r="S440" s="24"/>
      <c r="T440" s="19"/>
      <c r="U440" s="19"/>
      <c r="V440" s="19"/>
      <c r="W440" s="19"/>
      <c r="X440" s="19"/>
      <c r="Y440" s="16" t="s">
        <v>4256</v>
      </c>
    </row>
    <row r="441">
      <c r="A441" s="6">
        <v>424.0</v>
      </c>
      <c r="B441" s="7" t="s">
        <v>4257</v>
      </c>
      <c r="C441" s="8" t="s">
        <v>4258</v>
      </c>
      <c r="D441" s="9" t="s">
        <v>52</v>
      </c>
      <c r="E441" s="7" t="s">
        <v>4259</v>
      </c>
      <c r="F441" s="9">
        <v>17.0</v>
      </c>
      <c r="G441" s="9">
        <v>2006.0</v>
      </c>
      <c r="H441" s="10">
        <v>1.0</v>
      </c>
      <c r="I441" s="11">
        <v>6.0</v>
      </c>
      <c r="J441" s="11">
        <v>6.0</v>
      </c>
      <c r="K441" s="11" t="s">
        <v>48</v>
      </c>
      <c r="L441" s="11" t="s">
        <v>155</v>
      </c>
      <c r="M441" s="46">
        <v>0.0</v>
      </c>
      <c r="N441" s="19"/>
      <c r="O441" s="43">
        <v>0.0</v>
      </c>
      <c r="P441" s="47" t="s">
        <v>268</v>
      </c>
      <c r="Q441" s="11">
        <v>6.0</v>
      </c>
      <c r="R441" s="48" t="s">
        <v>654</v>
      </c>
      <c r="S441" s="20">
        <v>0.0</v>
      </c>
      <c r="T441" s="48" t="s">
        <v>268</v>
      </c>
      <c r="U441" s="43">
        <v>0.0</v>
      </c>
      <c r="V441" s="49" t="s">
        <v>268</v>
      </c>
      <c r="W441" s="14" t="str">
        <f>+15.00</f>
        <v>#ERROR!</v>
      </c>
      <c r="X441" s="14" t="str">
        <f>+15.73</f>
        <v>#ERROR!</v>
      </c>
      <c r="Y441" s="16" t="s">
        <v>4260</v>
      </c>
    </row>
    <row r="442">
      <c r="A442" s="6">
        <v>425.0</v>
      </c>
      <c r="B442" s="7" t="s">
        <v>4261</v>
      </c>
      <c r="C442" s="22"/>
      <c r="D442" s="9" t="s">
        <v>32</v>
      </c>
      <c r="E442" s="7" t="s">
        <v>4262</v>
      </c>
      <c r="F442" s="9">
        <v>17.0</v>
      </c>
      <c r="G442" s="9">
        <v>2006.0</v>
      </c>
      <c r="H442" s="10">
        <v>5.0</v>
      </c>
      <c r="I442" s="11">
        <v>150.0</v>
      </c>
      <c r="J442" s="11">
        <v>30.0</v>
      </c>
      <c r="K442" s="11" t="s">
        <v>2125</v>
      </c>
      <c r="L442" s="11" t="s">
        <v>200</v>
      </c>
      <c r="M442" s="41">
        <v>0.04097222222222222</v>
      </c>
      <c r="N442" s="11">
        <v>90.0</v>
      </c>
      <c r="O442" s="42">
        <v>0.04097222222222222</v>
      </c>
      <c r="P442" s="41">
        <v>0.1076388888888889</v>
      </c>
      <c r="Q442" s="11">
        <v>15.0</v>
      </c>
      <c r="R442" s="42">
        <v>0.05416666666666667</v>
      </c>
      <c r="S442" s="13">
        <v>0.013888888888888888</v>
      </c>
      <c r="T442" s="43">
        <v>0.0</v>
      </c>
      <c r="U442" s="42">
        <v>0.05416666666666667</v>
      </c>
      <c r="V442" s="45">
        <v>-0.05416666666666667</v>
      </c>
      <c r="W442" s="15">
        <v>-0.05555555555555555</v>
      </c>
      <c r="X442" s="15">
        <v>-0.043055555555555555</v>
      </c>
      <c r="Y442" s="16" t="s">
        <v>4263</v>
      </c>
    </row>
    <row r="443">
      <c r="A443" s="25" t="s">
        <v>0</v>
      </c>
      <c r="B443" s="26" t="s">
        <v>1</v>
      </c>
      <c r="C443" s="27" t="s">
        <v>2</v>
      </c>
      <c r="D443" s="27" t="s">
        <v>3</v>
      </c>
      <c r="E443" s="27" t="s">
        <v>4</v>
      </c>
      <c r="F443" s="27" t="s">
        <v>5</v>
      </c>
      <c r="G443" s="27" t="s">
        <v>6</v>
      </c>
      <c r="H443" s="28" t="s">
        <v>7</v>
      </c>
      <c r="I443" s="27" t="s">
        <v>8</v>
      </c>
      <c r="J443" s="27" t="s">
        <v>9</v>
      </c>
      <c r="K443" s="27" t="s">
        <v>10</v>
      </c>
      <c r="L443" s="27" t="s">
        <v>11</v>
      </c>
      <c r="M443" s="28" t="s">
        <v>12</v>
      </c>
      <c r="N443" s="27" t="s">
        <v>13</v>
      </c>
      <c r="O443" s="27" t="s">
        <v>14</v>
      </c>
      <c r="P443" s="28" t="s">
        <v>15</v>
      </c>
      <c r="Q443" s="27" t="s">
        <v>16</v>
      </c>
      <c r="R443" s="27" t="s">
        <v>17</v>
      </c>
      <c r="S443" s="28" t="s">
        <v>18</v>
      </c>
      <c r="T443" s="27" t="s">
        <v>19</v>
      </c>
      <c r="U443" s="27" t="s">
        <v>20</v>
      </c>
      <c r="V443" s="29" t="str">
        <f>+/-</f>
        <v>#ERROR!</v>
      </c>
      <c r="W443" s="29" t="str">
        <f>+/-90</f>
        <v>#ERROR!</v>
      </c>
      <c r="X443" s="27" t="s">
        <v>21</v>
      </c>
      <c r="Y443" s="28" t="s">
        <v>22</v>
      </c>
    </row>
    <row r="444">
      <c r="A444" s="6">
        <v>426.0</v>
      </c>
      <c r="B444" s="7" t="s">
        <v>4264</v>
      </c>
      <c r="C444" s="8" t="s">
        <v>4265</v>
      </c>
      <c r="D444" s="9" t="s">
        <v>52</v>
      </c>
      <c r="E444" s="7" t="s">
        <v>4266</v>
      </c>
      <c r="F444" s="9">
        <v>24.0</v>
      </c>
      <c r="G444" s="9">
        <v>1999.0</v>
      </c>
      <c r="H444" s="10">
        <v>16.0</v>
      </c>
      <c r="I444" s="11">
        <v>538.0</v>
      </c>
      <c r="J444" s="11">
        <v>34.0</v>
      </c>
      <c r="K444" s="11" t="s">
        <v>1949</v>
      </c>
      <c r="L444" s="11" t="s">
        <v>1485</v>
      </c>
      <c r="M444" s="41">
        <v>0.041666666666666664</v>
      </c>
      <c r="N444" s="11">
        <v>68.0</v>
      </c>
      <c r="O444" s="43">
        <v>0.0</v>
      </c>
      <c r="P444" s="41">
        <v>0.08819444444444445</v>
      </c>
      <c r="Q444" s="11">
        <v>13.0</v>
      </c>
      <c r="R444" s="42">
        <v>0.08333333333333333</v>
      </c>
      <c r="S444" s="13">
        <v>0.05486111111111111</v>
      </c>
      <c r="T444" s="42">
        <v>0.041666666666666664</v>
      </c>
      <c r="U444" s="42">
        <v>0.08333333333333333</v>
      </c>
      <c r="V444" s="45">
        <v>-0.041666666666666664</v>
      </c>
      <c r="W444" s="15">
        <v>-0.041666666666666664</v>
      </c>
      <c r="X444" s="15">
        <v>-0.02638888888888889</v>
      </c>
      <c r="Y444" s="16" t="s">
        <v>4267</v>
      </c>
    </row>
    <row r="445">
      <c r="A445" s="6">
        <v>427.0</v>
      </c>
      <c r="B445" s="7" t="s">
        <v>4268</v>
      </c>
      <c r="C445" s="8" t="s">
        <v>4269</v>
      </c>
      <c r="D445" s="9" t="s">
        <v>66</v>
      </c>
      <c r="E445" s="7" t="s">
        <v>4270</v>
      </c>
      <c r="F445" s="9">
        <v>20.0</v>
      </c>
      <c r="G445" s="9">
        <v>2003.0</v>
      </c>
      <c r="H445" s="18">
        <v>0.0</v>
      </c>
      <c r="I445" s="19"/>
      <c r="J445" s="19"/>
      <c r="K445" s="19"/>
      <c r="L445" s="19"/>
      <c r="M445" s="18">
        <v>0.0</v>
      </c>
      <c r="N445" s="19"/>
      <c r="O445" s="12">
        <v>0.0</v>
      </c>
      <c r="P445" s="18">
        <v>0.0</v>
      </c>
      <c r="Q445" s="19"/>
      <c r="R445" s="11">
        <v>4.0</v>
      </c>
      <c r="S445" s="24"/>
      <c r="T445" s="19"/>
      <c r="U445" s="19"/>
      <c r="V445" s="19"/>
      <c r="W445" s="19"/>
      <c r="X445" s="19"/>
      <c r="Y445" s="16" t="s">
        <v>4271</v>
      </c>
    </row>
    <row r="446">
      <c r="A446" s="6">
        <v>428.0</v>
      </c>
      <c r="B446" s="7" t="s">
        <v>4272</v>
      </c>
      <c r="C446" s="8" t="s">
        <v>4273</v>
      </c>
      <c r="D446" s="9" t="s">
        <v>73</v>
      </c>
      <c r="E446" s="7" t="s">
        <v>4274</v>
      </c>
      <c r="F446" s="9">
        <v>18.0</v>
      </c>
      <c r="G446" s="9">
        <v>2005.0</v>
      </c>
      <c r="H446" s="10">
        <v>12.0</v>
      </c>
      <c r="I446" s="11">
        <v>1.08</v>
      </c>
      <c r="J446" s="11">
        <v>90.0</v>
      </c>
      <c r="K446" s="11" t="s">
        <v>75</v>
      </c>
      <c r="L446" s="11" t="s">
        <v>76</v>
      </c>
      <c r="M446" s="41">
        <v>0.041666666666666664</v>
      </c>
      <c r="N446" s="11">
        <v>90.0</v>
      </c>
      <c r="O446" s="42">
        <v>0.041666666666666664</v>
      </c>
      <c r="P446" s="46">
        <v>0.0</v>
      </c>
      <c r="Q446" s="19"/>
      <c r="R446" s="42">
        <v>0.022916666666666665</v>
      </c>
      <c r="S446" s="13">
        <v>0.052083333333333336</v>
      </c>
      <c r="T446" s="42">
        <v>0.04722222222222222</v>
      </c>
      <c r="U446" s="42">
        <v>0.09930555555555555</v>
      </c>
      <c r="V446" s="45">
        <v>-0.052083333333333336</v>
      </c>
      <c r="W446" s="15">
        <v>-0.052083333333333336</v>
      </c>
      <c r="X446" s="15">
        <v>-0.059722222222222225</v>
      </c>
      <c r="Y446" s="16" t="s">
        <v>4275</v>
      </c>
    </row>
    <row r="447">
      <c r="A447" s="6">
        <v>429.0</v>
      </c>
      <c r="B447" s="7" t="s">
        <v>4276</v>
      </c>
      <c r="C447" s="8" t="s">
        <v>4277</v>
      </c>
      <c r="D447" s="9" t="s">
        <v>73</v>
      </c>
      <c r="E447" s="7" t="s">
        <v>4278</v>
      </c>
      <c r="F447" s="9">
        <v>20.0</v>
      </c>
      <c r="G447" s="9">
        <v>2003.0</v>
      </c>
      <c r="H447" s="10">
        <v>8.0</v>
      </c>
      <c r="I447" s="11">
        <v>646.0</v>
      </c>
      <c r="J447" s="11">
        <v>81.0</v>
      </c>
      <c r="K447" s="11" t="s">
        <v>135</v>
      </c>
      <c r="L447" s="11" t="s">
        <v>644</v>
      </c>
      <c r="M447" s="41">
        <v>0.06736111111111111</v>
      </c>
      <c r="N447" s="11">
        <v>90.0</v>
      </c>
      <c r="O447" s="42">
        <v>0.05763888888888889</v>
      </c>
      <c r="P447" s="41">
        <v>0.009722222222222222</v>
      </c>
      <c r="Q447" s="11">
        <v>17.0</v>
      </c>
      <c r="R447" s="42">
        <v>0.10833333333333334</v>
      </c>
      <c r="S447" s="13">
        <v>0.08541666666666667</v>
      </c>
      <c r="T447" s="42">
        <v>0.06875</v>
      </c>
      <c r="U447" s="42">
        <v>0.07847222222222222</v>
      </c>
      <c r="V447" s="45">
        <v>-0.009722222222222222</v>
      </c>
      <c r="W447" s="15">
        <v>-0.009722222222222222</v>
      </c>
      <c r="X447" s="15">
        <v>-0.01875</v>
      </c>
      <c r="Y447" s="16" t="s">
        <v>4279</v>
      </c>
    </row>
    <row r="448">
      <c r="A448" s="6">
        <v>430.0</v>
      </c>
      <c r="B448" s="7" t="s">
        <v>4280</v>
      </c>
      <c r="C448" s="8" t="s">
        <v>4281</v>
      </c>
      <c r="D448" s="9" t="s">
        <v>59</v>
      </c>
      <c r="E448" s="7" t="s">
        <v>4282</v>
      </c>
      <c r="F448" s="9">
        <v>22.0</v>
      </c>
      <c r="G448" s="9">
        <v>2001.0</v>
      </c>
      <c r="H448" s="10">
        <v>14.0</v>
      </c>
      <c r="I448" s="11">
        <v>522.0</v>
      </c>
      <c r="J448" s="11">
        <v>37.0</v>
      </c>
      <c r="K448" s="11" t="s">
        <v>2146</v>
      </c>
      <c r="L448" s="11" t="s">
        <v>1800</v>
      </c>
      <c r="M448" s="41">
        <v>0.04791666666666667</v>
      </c>
      <c r="N448" s="11">
        <v>76.0</v>
      </c>
      <c r="O448" s="42">
        <v>0.011805555555555555</v>
      </c>
      <c r="P448" s="41">
        <v>0.09166666666666666</v>
      </c>
      <c r="Q448" s="11">
        <v>22.0</v>
      </c>
      <c r="R448" s="42">
        <v>0.02361111111111111</v>
      </c>
      <c r="S448" s="13">
        <v>0.05625</v>
      </c>
      <c r="T448" s="42">
        <v>0.09166666666666666</v>
      </c>
      <c r="U448" s="42">
        <v>0.05625</v>
      </c>
      <c r="V448" s="44">
        <v>0.03611111111111111</v>
      </c>
      <c r="W448" s="14" t="str">
        <f>+0.52</f>
        <v>#ERROR!</v>
      </c>
      <c r="X448" s="14" t="str">
        <f>+0.60</f>
        <v>#ERROR!</v>
      </c>
      <c r="Y448" s="16" t="s">
        <v>4283</v>
      </c>
    </row>
    <row r="449">
      <c r="A449" s="6">
        <v>431.0</v>
      </c>
      <c r="B449" s="7" t="s">
        <v>4284</v>
      </c>
      <c r="C449" s="8" t="s">
        <v>4285</v>
      </c>
      <c r="D449" s="9" t="s">
        <v>32</v>
      </c>
      <c r="E449" s="7" t="s">
        <v>4286</v>
      </c>
      <c r="F449" s="9">
        <v>17.0</v>
      </c>
      <c r="G449" s="9">
        <v>2006.0</v>
      </c>
      <c r="H449" s="18">
        <v>0.0</v>
      </c>
      <c r="I449" s="19"/>
      <c r="J449" s="19"/>
      <c r="K449" s="19"/>
      <c r="L449" s="19"/>
      <c r="M449" s="18">
        <v>0.0</v>
      </c>
      <c r="N449" s="19"/>
      <c r="O449" s="12">
        <v>0.0</v>
      </c>
      <c r="P449" s="18">
        <v>0.0</v>
      </c>
      <c r="Q449" s="19"/>
      <c r="R449" s="11">
        <v>2.0</v>
      </c>
      <c r="S449" s="24"/>
      <c r="T449" s="19"/>
      <c r="U449" s="19"/>
      <c r="V449" s="19"/>
      <c r="W449" s="19"/>
      <c r="X449" s="19"/>
      <c r="Y449" s="16" t="s">
        <v>4287</v>
      </c>
    </row>
    <row r="450">
      <c r="A450" s="6">
        <v>432.0</v>
      </c>
      <c r="B450" s="7" t="s">
        <v>4288</v>
      </c>
      <c r="C450" s="8" t="s">
        <v>4289</v>
      </c>
      <c r="D450" s="9" t="s">
        <v>66</v>
      </c>
      <c r="E450" s="7" t="s">
        <v>4290</v>
      </c>
      <c r="F450" s="9">
        <v>31.0</v>
      </c>
      <c r="G450" s="9">
        <v>1992.0</v>
      </c>
      <c r="H450" s="10">
        <v>25.0</v>
      </c>
      <c r="I450" s="11">
        <v>1.856</v>
      </c>
      <c r="J450" s="11">
        <v>74.0</v>
      </c>
      <c r="K450" s="11" t="s">
        <v>1402</v>
      </c>
      <c r="L450" s="11" t="s">
        <v>831</v>
      </c>
      <c r="M450" s="41">
        <v>0.06736111111111111</v>
      </c>
      <c r="N450" s="11">
        <v>86.0</v>
      </c>
      <c r="O450" s="42">
        <v>0.05763888888888889</v>
      </c>
      <c r="P450" s="41">
        <v>0.016666666666666666</v>
      </c>
      <c r="Q450" s="11">
        <v>27.0</v>
      </c>
      <c r="R450" s="42">
        <v>0.016666666666666666</v>
      </c>
      <c r="S450" s="13">
        <v>0.044444444444444446</v>
      </c>
      <c r="T450" s="42">
        <v>0.0763888888888889</v>
      </c>
      <c r="U450" s="42">
        <v>0.09305555555555556</v>
      </c>
      <c r="V450" s="45">
        <v>-0.04375</v>
      </c>
      <c r="W450" s="15">
        <v>-0.04375</v>
      </c>
      <c r="X450" s="14" t="str">
        <f>+0.12</f>
        <v>#ERROR!</v>
      </c>
      <c r="Y450" s="16" t="s">
        <v>4291</v>
      </c>
    </row>
    <row r="451">
      <c r="A451" s="6">
        <v>433.0</v>
      </c>
      <c r="B451" s="7" t="s">
        <v>4292</v>
      </c>
      <c r="C451" s="8" t="s">
        <v>4293</v>
      </c>
      <c r="D451" s="9" t="s">
        <v>32</v>
      </c>
      <c r="E451" s="7" t="s">
        <v>4294</v>
      </c>
      <c r="F451" s="9">
        <v>21.0</v>
      </c>
      <c r="G451" s="9">
        <v>2002.0</v>
      </c>
      <c r="H451" s="10">
        <v>19.0</v>
      </c>
      <c r="I451" s="11">
        <v>1.216</v>
      </c>
      <c r="J451" s="11">
        <v>64.0</v>
      </c>
      <c r="K451" s="11" t="s">
        <v>1377</v>
      </c>
      <c r="L451" s="11" t="s">
        <v>549</v>
      </c>
      <c r="M451" s="41">
        <v>0.044444444444444446</v>
      </c>
      <c r="N451" s="11">
        <v>80.0</v>
      </c>
      <c r="O451" s="42">
        <v>0.03611111111111111</v>
      </c>
      <c r="P451" s="41">
        <v>0.025694444444444443</v>
      </c>
      <c r="Q451" s="11">
        <v>19.0</v>
      </c>
      <c r="R451" s="42">
        <v>0.004861111111111111</v>
      </c>
      <c r="S451" s="13">
        <v>0.049305555555555554</v>
      </c>
      <c r="T451" s="42">
        <v>0.059722222222222225</v>
      </c>
      <c r="U451" s="42">
        <v>0.06666666666666667</v>
      </c>
      <c r="V451" s="44">
        <v>0.020833333333333332</v>
      </c>
      <c r="W451" s="14" t="str">
        <f>+0.30</f>
        <v>#ERROR!</v>
      </c>
      <c r="X451" s="14" t="str">
        <f>+1.15</f>
        <v>#ERROR!</v>
      </c>
      <c r="Y451" s="16" t="s">
        <v>4295</v>
      </c>
    </row>
    <row r="452">
      <c r="A452" s="6">
        <v>434.0</v>
      </c>
      <c r="B452" s="7" t="s">
        <v>4296</v>
      </c>
      <c r="C452" s="8" t="s">
        <v>4297</v>
      </c>
      <c r="D452" s="9" t="s">
        <v>66</v>
      </c>
      <c r="E452" s="7" t="s">
        <v>4298</v>
      </c>
      <c r="F452" s="9">
        <v>19.0</v>
      </c>
      <c r="G452" s="9">
        <v>2004.0</v>
      </c>
      <c r="H452" s="10">
        <v>29.0</v>
      </c>
      <c r="I452" s="11">
        <v>2.12</v>
      </c>
      <c r="J452" s="11">
        <v>73.0</v>
      </c>
      <c r="K452" s="11" t="s">
        <v>2163</v>
      </c>
      <c r="L452" s="11" t="s">
        <v>1794</v>
      </c>
      <c r="M452" s="41">
        <v>0.04583333333333333</v>
      </c>
      <c r="N452" s="11">
        <v>81.0</v>
      </c>
      <c r="O452" s="42">
        <v>0.03819444444444445</v>
      </c>
      <c r="P452" s="41">
        <v>0.011805555555555555</v>
      </c>
      <c r="Q452" s="11">
        <v>23.0</v>
      </c>
      <c r="R452" s="43">
        <v>0.0</v>
      </c>
      <c r="S452" s="13">
        <v>0.09444444444444444</v>
      </c>
      <c r="T452" s="42">
        <v>0.08958333333333333</v>
      </c>
      <c r="U452" s="42">
        <v>0.044444444444444446</v>
      </c>
      <c r="V452" s="44">
        <v>0.04583333333333333</v>
      </c>
      <c r="W452" s="14" t="str">
        <f>+1.06</f>
        <v>#ERROR!</v>
      </c>
      <c r="X452" s="14" t="str">
        <f>+1.37</f>
        <v>#ERROR!</v>
      </c>
      <c r="Y452" s="16" t="s">
        <v>4299</v>
      </c>
    </row>
    <row r="453">
      <c r="A453" s="6">
        <v>435.0</v>
      </c>
      <c r="B453" s="7" t="s">
        <v>4300</v>
      </c>
      <c r="C453" s="8" t="s">
        <v>4301</v>
      </c>
      <c r="D453" s="9" t="s">
        <v>25</v>
      </c>
      <c r="E453" s="7" t="s">
        <v>4302</v>
      </c>
      <c r="F453" s="9">
        <v>18.0</v>
      </c>
      <c r="G453" s="9">
        <v>2005.0</v>
      </c>
      <c r="H453" s="10">
        <v>8.0</v>
      </c>
      <c r="I453" s="11">
        <v>341.0</v>
      </c>
      <c r="J453" s="11">
        <v>43.0</v>
      </c>
      <c r="K453" s="11" t="s">
        <v>882</v>
      </c>
      <c r="L453" s="11" t="s">
        <v>2168</v>
      </c>
      <c r="M453" s="41">
        <v>0.04513888888888889</v>
      </c>
      <c r="N453" s="11">
        <v>71.0</v>
      </c>
      <c r="O453" s="42">
        <v>0.018055555555555554</v>
      </c>
      <c r="P453" s="41">
        <v>0.04513888888888889</v>
      </c>
      <c r="Q453" s="11">
        <v>14.0</v>
      </c>
      <c r="R453" s="42">
        <v>0.21805555555555556</v>
      </c>
      <c r="S453" s="13">
        <v>0.11805555555555555</v>
      </c>
      <c r="T453" s="42">
        <v>0.04513888888888889</v>
      </c>
      <c r="U453" s="42">
        <v>0.06388888888888888</v>
      </c>
      <c r="V453" s="45">
        <v>-0.018055555555555554</v>
      </c>
      <c r="W453" s="15">
        <v>-0.018055555555555554</v>
      </c>
      <c r="X453" s="15">
        <v>-0.10416666666666667</v>
      </c>
      <c r="Y453" s="16" t="s">
        <v>4303</v>
      </c>
    </row>
    <row r="454">
      <c r="A454" s="6">
        <v>436.0</v>
      </c>
      <c r="B454" s="7" t="s">
        <v>4304</v>
      </c>
      <c r="C454" s="8" t="s">
        <v>4305</v>
      </c>
      <c r="D454" s="9" t="s">
        <v>59</v>
      </c>
      <c r="E454" s="7" t="s">
        <v>4306</v>
      </c>
      <c r="F454" s="9">
        <v>29.0</v>
      </c>
      <c r="G454" s="9">
        <v>1995.0</v>
      </c>
      <c r="H454" s="10">
        <v>28.0</v>
      </c>
      <c r="I454" s="11">
        <v>2.288</v>
      </c>
      <c r="J454" s="11">
        <v>82.0</v>
      </c>
      <c r="K454" s="11" t="s">
        <v>2173</v>
      </c>
      <c r="L454" s="11" t="s">
        <v>2174</v>
      </c>
      <c r="M454" s="41">
        <v>0.04583333333333333</v>
      </c>
      <c r="N454" s="11">
        <v>83.0</v>
      </c>
      <c r="O454" s="42">
        <v>0.05763888888888889</v>
      </c>
      <c r="P454" s="41">
        <v>0.002777777777777778</v>
      </c>
      <c r="Q454" s="11">
        <v>34.0</v>
      </c>
      <c r="R454" s="43">
        <v>0.0</v>
      </c>
      <c r="S454" s="13">
        <v>0.06666666666666667</v>
      </c>
      <c r="T454" s="42">
        <v>0.06527777777777778</v>
      </c>
      <c r="U454" s="42">
        <v>0.10625</v>
      </c>
      <c r="V454" s="45">
        <v>-0.04097222222222222</v>
      </c>
      <c r="W454" s="15">
        <v>-0.04097222222222222</v>
      </c>
      <c r="X454" s="14" t="str">
        <f>+0.50</f>
        <v>#ERROR!</v>
      </c>
      <c r="Y454" s="16" t="s">
        <v>4307</v>
      </c>
    </row>
    <row r="455">
      <c r="A455" s="6">
        <v>437.0</v>
      </c>
      <c r="B455" s="7" t="s">
        <v>4308</v>
      </c>
      <c r="C455" s="8" t="s">
        <v>4309</v>
      </c>
      <c r="D455" s="9" t="s">
        <v>66</v>
      </c>
      <c r="E455" s="7" t="s">
        <v>4310</v>
      </c>
      <c r="F455" s="9">
        <v>21.0</v>
      </c>
      <c r="G455" s="9">
        <v>2003.0</v>
      </c>
      <c r="H455" s="10">
        <v>6.0</v>
      </c>
      <c r="I455" s="11">
        <v>442.0</v>
      </c>
      <c r="J455" s="11">
        <v>74.0</v>
      </c>
      <c r="K455" s="11" t="s">
        <v>28</v>
      </c>
      <c r="L455" s="11" t="s">
        <v>1697</v>
      </c>
      <c r="M455" s="41">
        <v>0.05694444444444444</v>
      </c>
      <c r="N455" s="11">
        <v>74.0</v>
      </c>
      <c r="O455" s="42">
        <v>0.02847222222222222</v>
      </c>
      <c r="P455" s="46">
        <v>0.0</v>
      </c>
      <c r="Q455" s="19"/>
      <c r="R455" s="42">
        <v>0.043055555555555555</v>
      </c>
      <c r="S455" s="13">
        <v>0.034722222222222224</v>
      </c>
      <c r="T455" s="42">
        <v>0.04236111111111111</v>
      </c>
      <c r="U455" s="42">
        <v>0.08611111111111111</v>
      </c>
      <c r="V455" s="45">
        <v>-0.07152777777777777</v>
      </c>
      <c r="W455" s="15">
        <v>-0.07152777777777777</v>
      </c>
      <c r="X455" s="15">
        <v>-0.04375</v>
      </c>
      <c r="Y455" s="16" t="s">
        <v>4311</v>
      </c>
    </row>
    <row r="456">
      <c r="A456" s="6">
        <v>438.0</v>
      </c>
      <c r="B456" s="7" t="s">
        <v>4312</v>
      </c>
      <c r="C456" s="8" t="s">
        <v>4313</v>
      </c>
      <c r="D456" s="9" t="s">
        <v>284</v>
      </c>
      <c r="E456" s="7" t="s">
        <v>4314</v>
      </c>
      <c r="F456" s="9">
        <v>21.0</v>
      </c>
      <c r="G456" s="9">
        <v>2002.0</v>
      </c>
      <c r="H456" s="10">
        <v>22.0</v>
      </c>
      <c r="I456" s="11">
        <v>1.677</v>
      </c>
      <c r="J456" s="11">
        <v>76.0</v>
      </c>
      <c r="K456" s="11" t="s">
        <v>2183</v>
      </c>
      <c r="L456" s="11" t="s">
        <v>743</v>
      </c>
      <c r="M456" s="41">
        <v>0.04722222222222222</v>
      </c>
      <c r="N456" s="11">
        <v>83.0</v>
      </c>
      <c r="O456" s="42">
        <v>0.052083333333333336</v>
      </c>
      <c r="P456" s="41">
        <v>0.007638888888888889</v>
      </c>
      <c r="Q456" s="11">
        <v>7.0</v>
      </c>
      <c r="R456" s="42">
        <v>0.003472222222222222</v>
      </c>
      <c r="S456" s="13">
        <v>0.08958333333333333</v>
      </c>
      <c r="T456" s="42">
        <v>0.058333333333333334</v>
      </c>
      <c r="U456" s="42">
        <v>0.04513888888888889</v>
      </c>
      <c r="V456" s="44">
        <v>0.04097222222222222</v>
      </c>
      <c r="W456" s="14" t="str">
        <f>+0.59</f>
        <v>#ERROR!</v>
      </c>
      <c r="X456" s="14" t="str">
        <f>+1.12</f>
        <v>#ERROR!</v>
      </c>
      <c r="Y456" s="16" t="s">
        <v>4315</v>
      </c>
    </row>
    <row r="457">
      <c r="A457" s="6">
        <v>439.0</v>
      </c>
      <c r="B457" s="7" t="s">
        <v>4316</v>
      </c>
      <c r="C457" s="8" t="s">
        <v>4317</v>
      </c>
      <c r="D457" s="9" t="s">
        <v>52</v>
      </c>
      <c r="E457" s="7" t="s">
        <v>4318</v>
      </c>
      <c r="F457" s="9">
        <v>22.0</v>
      </c>
      <c r="G457" s="9">
        <v>2001.0</v>
      </c>
      <c r="H457" s="10">
        <v>7.0</v>
      </c>
      <c r="I457" s="11">
        <v>335.0</v>
      </c>
      <c r="J457" s="11">
        <v>48.0</v>
      </c>
      <c r="K457" s="11" t="s">
        <v>2188</v>
      </c>
      <c r="L457" s="11" t="s">
        <v>226</v>
      </c>
      <c r="M457" s="41">
        <v>0.04722222222222222</v>
      </c>
      <c r="N457" s="11">
        <v>74.0</v>
      </c>
      <c r="O457" s="42">
        <v>0.01875</v>
      </c>
      <c r="P457" s="41">
        <v>0.05625</v>
      </c>
      <c r="Q457" s="11">
        <v>14.0</v>
      </c>
      <c r="R457" s="42">
        <v>0.05625</v>
      </c>
      <c r="S457" s="13">
        <v>0.02013888888888889</v>
      </c>
      <c r="T457" s="42">
        <v>0.05625</v>
      </c>
      <c r="U457" s="42">
        <v>0.11319444444444444</v>
      </c>
      <c r="V457" s="45">
        <v>-0.08472222222222223</v>
      </c>
      <c r="W457" s="15">
        <v>-0.08402777777777778</v>
      </c>
      <c r="X457" s="15">
        <v>-0.05277777777777778</v>
      </c>
      <c r="Y457" s="16" t="s">
        <v>4319</v>
      </c>
    </row>
    <row r="458">
      <c r="A458" s="6">
        <v>440.0</v>
      </c>
      <c r="B458" s="7" t="s">
        <v>4320</v>
      </c>
      <c r="C458" s="8" t="s">
        <v>4321</v>
      </c>
      <c r="D458" s="9" t="s">
        <v>52</v>
      </c>
      <c r="E458" s="7" t="s">
        <v>4322</v>
      </c>
      <c r="F458" s="9">
        <v>22.0</v>
      </c>
      <c r="G458" s="9">
        <v>2001.0</v>
      </c>
      <c r="H458" s="10">
        <v>10.0</v>
      </c>
      <c r="I458" s="11">
        <v>458.0</v>
      </c>
      <c r="J458" s="11">
        <v>46.0</v>
      </c>
      <c r="K458" s="11" t="s">
        <v>124</v>
      </c>
      <c r="L458" s="11" t="s">
        <v>169</v>
      </c>
      <c r="M458" s="41">
        <v>0.05416666666666667</v>
      </c>
      <c r="N458" s="11">
        <v>73.0</v>
      </c>
      <c r="O458" s="42">
        <v>0.013888888888888888</v>
      </c>
      <c r="P458" s="41">
        <v>0.05416666666666667</v>
      </c>
      <c r="Q458" s="11">
        <v>28.0</v>
      </c>
      <c r="R458" s="42">
        <v>0.05416666666666667</v>
      </c>
      <c r="S458" s="13">
        <v>0.0625</v>
      </c>
      <c r="T458" s="42">
        <v>0.06736111111111111</v>
      </c>
      <c r="U458" s="42">
        <v>0.08125</v>
      </c>
      <c r="V458" s="45">
        <v>-0.013888888888888888</v>
      </c>
      <c r="W458" s="15">
        <v>-0.013888888888888888</v>
      </c>
      <c r="X458" s="15">
        <v>-0.03888888888888889</v>
      </c>
      <c r="Y458" s="16" t="s">
        <v>4323</v>
      </c>
    </row>
    <row r="459">
      <c r="A459" s="6">
        <v>441.0</v>
      </c>
      <c r="B459" s="7" t="s">
        <v>4324</v>
      </c>
      <c r="C459" s="8" t="s">
        <v>4325</v>
      </c>
      <c r="D459" s="9" t="s">
        <v>25</v>
      </c>
      <c r="E459" s="7" t="s">
        <v>4326</v>
      </c>
      <c r="F459" s="9">
        <v>30.0</v>
      </c>
      <c r="G459" s="9">
        <v>1994.0</v>
      </c>
      <c r="H459" s="10">
        <v>9.0</v>
      </c>
      <c r="I459" s="11">
        <v>376.0</v>
      </c>
      <c r="J459" s="11">
        <v>42.0</v>
      </c>
      <c r="K459" s="11" t="s">
        <v>2197</v>
      </c>
      <c r="L459" s="11" t="s">
        <v>837</v>
      </c>
      <c r="M459" s="41">
        <v>0.06597222222222222</v>
      </c>
      <c r="N459" s="11">
        <v>72.0</v>
      </c>
      <c r="O459" s="43">
        <v>0.0</v>
      </c>
      <c r="P459" s="41">
        <v>0.05486111111111111</v>
      </c>
      <c r="Q459" s="11">
        <v>18.0</v>
      </c>
      <c r="R459" s="43">
        <v>0.0</v>
      </c>
      <c r="S459" s="13">
        <v>0.06180555555555556</v>
      </c>
      <c r="T459" s="42">
        <v>0.10416666666666667</v>
      </c>
      <c r="U459" s="42">
        <v>0.08819444444444445</v>
      </c>
      <c r="V459" s="44">
        <v>0.016666666666666666</v>
      </c>
      <c r="W459" s="14" t="str">
        <f>+0.24</f>
        <v>#ERROR!</v>
      </c>
      <c r="X459" s="14" t="str">
        <f>+0.55</f>
        <v>#ERROR!</v>
      </c>
      <c r="Y459" s="16" t="s">
        <v>4327</v>
      </c>
    </row>
    <row r="460">
      <c r="A460" s="6">
        <v>442.0</v>
      </c>
      <c r="B460" s="7" t="s">
        <v>4328</v>
      </c>
      <c r="C460" s="8" t="s">
        <v>4329</v>
      </c>
      <c r="D460" s="9" t="s">
        <v>66</v>
      </c>
      <c r="E460" s="7" t="s">
        <v>4330</v>
      </c>
      <c r="F460" s="9">
        <v>26.0</v>
      </c>
      <c r="G460" s="9">
        <v>1998.0</v>
      </c>
      <c r="H460" s="10">
        <v>14.0</v>
      </c>
      <c r="I460" s="11">
        <v>930.0</v>
      </c>
      <c r="J460" s="11">
        <v>66.0</v>
      </c>
      <c r="K460" s="11" t="s">
        <v>1424</v>
      </c>
      <c r="L460" s="11" t="s">
        <v>357</v>
      </c>
      <c r="M460" s="41">
        <v>0.04652777777777778</v>
      </c>
      <c r="N460" s="11">
        <v>83.0</v>
      </c>
      <c r="O460" s="42">
        <v>0.06041666666666667</v>
      </c>
      <c r="P460" s="41">
        <v>0.02013888888888889</v>
      </c>
      <c r="Q460" s="11">
        <v>5.0</v>
      </c>
      <c r="R460" s="42">
        <v>0.06666666666666667</v>
      </c>
      <c r="S460" s="13">
        <v>0.07152777777777777</v>
      </c>
      <c r="T460" s="42">
        <v>0.06736111111111111</v>
      </c>
      <c r="U460" s="42">
        <v>0.08680555555555555</v>
      </c>
      <c r="V460" s="45">
        <v>-0.04722222222222222</v>
      </c>
      <c r="W460" s="15">
        <v>-0.04722222222222222</v>
      </c>
      <c r="X460" s="14" t="str">
        <f>+0.03</f>
        <v>#ERROR!</v>
      </c>
      <c r="Y460" s="16" t="s">
        <v>4331</v>
      </c>
    </row>
    <row r="461">
      <c r="A461" s="6">
        <v>443.0</v>
      </c>
      <c r="B461" s="7" t="s">
        <v>4332</v>
      </c>
      <c r="C461" s="8" t="s">
        <v>4333</v>
      </c>
      <c r="D461" s="9" t="s">
        <v>25</v>
      </c>
      <c r="E461" s="7" t="s">
        <v>4334</v>
      </c>
      <c r="F461" s="9">
        <v>27.0</v>
      </c>
      <c r="G461" s="9">
        <v>1996.0</v>
      </c>
      <c r="H461" s="10">
        <v>13.0</v>
      </c>
      <c r="I461" s="11">
        <v>857.0</v>
      </c>
      <c r="J461" s="11">
        <v>66.0</v>
      </c>
      <c r="K461" s="11" t="s">
        <v>974</v>
      </c>
      <c r="L461" s="11" t="s">
        <v>975</v>
      </c>
      <c r="M461" s="41">
        <v>0.05277777777777778</v>
      </c>
      <c r="N461" s="11">
        <v>74.0</v>
      </c>
      <c r="O461" s="42">
        <v>0.03680555555555556</v>
      </c>
      <c r="P461" s="41">
        <v>0.014583333333333334</v>
      </c>
      <c r="Q461" s="11">
        <v>22.0</v>
      </c>
      <c r="R461" s="42">
        <v>0.007638888888888889</v>
      </c>
      <c r="S461" s="13">
        <v>0.06319444444444444</v>
      </c>
      <c r="T461" s="42">
        <v>0.059722222222222225</v>
      </c>
      <c r="U461" s="42">
        <v>0.08333333333333333</v>
      </c>
      <c r="V461" s="45">
        <v>-0.05138888888888889</v>
      </c>
      <c r="W461" s="15">
        <v>-0.05138888888888889</v>
      </c>
      <c r="X461" s="15">
        <v>-0.003472222222222222</v>
      </c>
      <c r="Y461" s="16" t="s">
        <v>4335</v>
      </c>
    </row>
    <row r="462">
      <c r="A462" s="6">
        <v>444.0</v>
      </c>
      <c r="B462" s="7" t="s">
        <v>4336</v>
      </c>
      <c r="C462" s="8" t="s">
        <v>4337</v>
      </c>
      <c r="D462" s="9" t="s">
        <v>66</v>
      </c>
      <c r="E462" s="7" t="s">
        <v>4338</v>
      </c>
      <c r="F462" s="9">
        <v>29.0</v>
      </c>
      <c r="G462" s="9">
        <v>1994.0</v>
      </c>
      <c r="H462" s="10">
        <v>13.0</v>
      </c>
      <c r="I462" s="11">
        <v>1.125</v>
      </c>
      <c r="J462" s="11">
        <v>87.0</v>
      </c>
      <c r="K462" s="11" t="s">
        <v>509</v>
      </c>
      <c r="L462" s="11" t="s">
        <v>510</v>
      </c>
      <c r="M462" s="41">
        <v>0.06666666666666667</v>
      </c>
      <c r="N462" s="11">
        <v>90.0</v>
      </c>
      <c r="O462" s="42">
        <v>0.06666666666666667</v>
      </c>
      <c r="P462" s="41">
        <v>0.005555555555555556</v>
      </c>
      <c r="Q462" s="11">
        <v>45.0</v>
      </c>
      <c r="R462" s="43">
        <v>0.0</v>
      </c>
      <c r="S462" s="13">
        <v>0.07361111111111111</v>
      </c>
      <c r="T462" s="42">
        <v>0.05555555555555555</v>
      </c>
      <c r="U462" s="42">
        <v>0.07777777777777778</v>
      </c>
      <c r="V462" s="45">
        <v>-0.022222222222222223</v>
      </c>
      <c r="W462" s="15">
        <v>-0.022222222222222223</v>
      </c>
      <c r="X462" s="15">
        <v>-0.05</v>
      </c>
      <c r="Y462" s="16" t="s">
        <v>4339</v>
      </c>
    </row>
    <row r="463">
      <c r="A463" s="6">
        <v>445.0</v>
      </c>
      <c r="B463" s="7" t="s">
        <v>4340</v>
      </c>
      <c r="C463" s="8" t="s">
        <v>4341</v>
      </c>
      <c r="D463" s="9" t="s">
        <v>25</v>
      </c>
      <c r="E463" s="7" t="s">
        <v>4342</v>
      </c>
      <c r="F463" s="9">
        <v>29.0</v>
      </c>
      <c r="G463" s="9">
        <v>1994.0</v>
      </c>
      <c r="H463" s="10">
        <v>16.0</v>
      </c>
      <c r="I463" s="11">
        <v>1.371</v>
      </c>
      <c r="J463" s="11">
        <v>86.0</v>
      </c>
      <c r="K463" s="11" t="s">
        <v>2214</v>
      </c>
      <c r="L463" s="11" t="s">
        <v>790</v>
      </c>
      <c r="M463" s="41">
        <v>0.06875</v>
      </c>
      <c r="N463" s="11">
        <v>88.0</v>
      </c>
      <c r="O463" s="42">
        <v>0.059722222222222225</v>
      </c>
      <c r="P463" s="41">
        <v>0.004861111111111111</v>
      </c>
      <c r="Q463" s="11">
        <v>46.0</v>
      </c>
      <c r="R463" s="43">
        <v>0.0</v>
      </c>
      <c r="S463" s="13">
        <v>0.09791666666666667</v>
      </c>
      <c r="T463" s="42">
        <v>0.1</v>
      </c>
      <c r="U463" s="42">
        <v>0.06805555555555555</v>
      </c>
      <c r="V463" s="44">
        <v>0.03194444444444444</v>
      </c>
      <c r="W463" s="14" t="str">
        <f>+0.46</f>
        <v>#ERROR!</v>
      </c>
      <c r="X463" s="14" t="str">
        <f>+0.32</f>
        <v>#ERROR!</v>
      </c>
      <c r="Y463" s="16" t="s">
        <v>4343</v>
      </c>
    </row>
    <row r="464">
      <c r="A464" s="6">
        <v>446.0</v>
      </c>
      <c r="B464" s="7" t="s">
        <v>4344</v>
      </c>
      <c r="C464" s="8" t="s">
        <v>4345</v>
      </c>
      <c r="D464" s="9" t="s">
        <v>25</v>
      </c>
      <c r="E464" s="7" t="s">
        <v>4346</v>
      </c>
      <c r="F464" s="9">
        <v>24.0</v>
      </c>
      <c r="G464" s="9">
        <v>1999.0</v>
      </c>
      <c r="H464" s="10">
        <v>11.0</v>
      </c>
      <c r="I464" s="11">
        <v>600.0</v>
      </c>
      <c r="J464" s="11">
        <v>55.0</v>
      </c>
      <c r="K464" s="11" t="s">
        <v>1580</v>
      </c>
      <c r="L464" s="11" t="s">
        <v>412</v>
      </c>
      <c r="M464" s="41">
        <v>0.0625</v>
      </c>
      <c r="N464" s="11">
        <v>74.0</v>
      </c>
      <c r="O464" s="43">
        <v>0.0</v>
      </c>
      <c r="P464" s="41">
        <v>0.052083333333333336</v>
      </c>
      <c r="Q464" s="11">
        <v>31.0</v>
      </c>
      <c r="R464" s="43">
        <v>0.0</v>
      </c>
      <c r="S464" s="13">
        <v>0.09861111111111111</v>
      </c>
      <c r="T464" s="42">
        <v>0.07569444444444444</v>
      </c>
      <c r="U464" s="42">
        <v>0.041666666666666664</v>
      </c>
      <c r="V464" s="44">
        <v>0.0625</v>
      </c>
      <c r="W464" s="14" t="str">
        <f>+0.90</f>
        <v>#ERROR!</v>
      </c>
      <c r="X464" s="14" t="str">
        <f>+0.77</f>
        <v>#ERROR!</v>
      </c>
      <c r="Y464" s="16" t="s">
        <v>4347</v>
      </c>
    </row>
    <row r="465">
      <c r="A465" s="6">
        <v>447.0</v>
      </c>
      <c r="B465" s="7" t="s">
        <v>4348</v>
      </c>
      <c r="C465" s="8" t="s">
        <v>4349</v>
      </c>
      <c r="D465" s="9" t="s">
        <v>66</v>
      </c>
      <c r="E465" s="7" t="s">
        <v>4350</v>
      </c>
      <c r="F465" s="9">
        <v>23.0</v>
      </c>
      <c r="G465" s="9">
        <v>2000.0</v>
      </c>
      <c r="H465" s="10">
        <v>17.0</v>
      </c>
      <c r="I465" s="11">
        <v>1.407</v>
      </c>
      <c r="J465" s="11">
        <v>83.0</v>
      </c>
      <c r="K465" s="11" t="s">
        <v>219</v>
      </c>
      <c r="L465" s="11" t="s">
        <v>220</v>
      </c>
      <c r="M465" s="41">
        <v>0.04375</v>
      </c>
      <c r="N465" s="11">
        <v>87.0</v>
      </c>
      <c r="O465" s="42">
        <v>0.0625</v>
      </c>
      <c r="P465" s="41">
        <v>0.004166666666666667</v>
      </c>
      <c r="Q465" s="11">
        <v>20.0</v>
      </c>
      <c r="R465" s="43">
        <v>0.0</v>
      </c>
      <c r="S465" s="13">
        <v>0.05694444444444444</v>
      </c>
      <c r="T465" s="42">
        <v>0.049305555555555554</v>
      </c>
      <c r="U465" s="42">
        <v>0.06111111111111111</v>
      </c>
      <c r="V465" s="45">
        <v>-0.04027777777777778</v>
      </c>
      <c r="W465" s="15">
        <v>-0.04027777777777778</v>
      </c>
      <c r="X465" s="15">
        <v>-0.035416666666666666</v>
      </c>
      <c r="Y465" s="16" t="s">
        <v>4351</v>
      </c>
    </row>
    <row r="466">
      <c r="A466" s="6">
        <v>448.0</v>
      </c>
      <c r="B466" s="7" t="s">
        <v>4352</v>
      </c>
      <c r="C466" s="8" t="s">
        <v>4353</v>
      </c>
      <c r="D466" s="9" t="s">
        <v>52</v>
      </c>
      <c r="E466" s="7" t="s">
        <v>4354</v>
      </c>
      <c r="F466" s="9">
        <v>26.0</v>
      </c>
      <c r="G466" s="9">
        <v>1997.0</v>
      </c>
      <c r="H466" s="10">
        <v>15.0</v>
      </c>
      <c r="I466" s="11">
        <v>1.14</v>
      </c>
      <c r="J466" s="11">
        <v>76.0</v>
      </c>
      <c r="K466" s="11" t="s">
        <v>146</v>
      </c>
      <c r="L466" s="11" t="s">
        <v>147</v>
      </c>
      <c r="M466" s="41">
        <v>0.04861111111111111</v>
      </c>
      <c r="N466" s="11">
        <v>80.0</v>
      </c>
      <c r="O466" s="42">
        <v>0.03263888888888889</v>
      </c>
      <c r="P466" s="41">
        <v>0.005555555555555556</v>
      </c>
      <c r="Q466" s="11">
        <v>25.0</v>
      </c>
      <c r="R466" s="43">
        <v>0.0</v>
      </c>
      <c r="S466" s="13">
        <v>0.06458333333333334</v>
      </c>
      <c r="T466" s="42">
        <v>0.0763888888888889</v>
      </c>
      <c r="U466" s="42">
        <v>0.0763888888888889</v>
      </c>
      <c r="V466" s="43">
        <v>0.0</v>
      </c>
      <c r="W466" s="21">
        <v>0.0</v>
      </c>
      <c r="X466" s="15">
        <v>-0.004166666666666667</v>
      </c>
      <c r="Y466" s="16" t="s">
        <v>4355</v>
      </c>
    </row>
    <row r="467">
      <c r="A467" s="6">
        <v>449.0</v>
      </c>
      <c r="B467" s="7" t="s">
        <v>4356</v>
      </c>
      <c r="C467" s="8" t="s">
        <v>4357</v>
      </c>
      <c r="D467" s="9" t="s">
        <v>52</v>
      </c>
      <c r="E467" s="7" t="s">
        <v>4358</v>
      </c>
      <c r="F467" s="9">
        <v>26.0</v>
      </c>
      <c r="G467" s="9">
        <v>1997.0</v>
      </c>
      <c r="H467" s="10">
        <v>8.0</v>
      </c>
      <c r="I467" s="11">
        <v>417.0</v>
      </c>
      <c r="J467" s="11">
        <v>52.0</v>
      </c>
      <c r="K467" s="11" t="s">
        <v>392</v>
      </c>
      <c r="L467" s="11" t="s">
        <v>303</v>
      </c>
      <c r="M467" s="41">
        <v>0.04791666666666667</v>
      </c>
      <c r="N467" s="11">
        <v>70.0</v>
      </c>
      <c r="O467" s="42">
        <v>0.015277777777777777</v>
      </c>
      <c r="P467" s="41">
        <v>0.04513888888888889</v>
      </c>
      <c r="Q467" s="11">
        <v>22.0</v>
      </c>
      <c r="R467" s="42">
        <v>0.06041666666666667</v>
      </c>
      <c r="S467" s="13">
        <v>0.0763888888888889</v>
      </c>
      <c r="T467" s="42">
        <v>0.0625</v>
      </c>
      <c r="U467" s="42">
        <v>0.04791666666666667</v>
      </c>
      <c r="V467" s="44">
        <v>0.015277777777777777</v>
      </c>
      <c r="W467" s="14" t="str">
        <f>+0.22</f>
        <v>#ERROR!</v>
      </c>
      <c r="X467" s="15">
        <v>-0.009722222222222222</v>
      </c>
      <c r="Y467" s="16" t="s">
        <v>4359</v>
      </c>
    </row>
    <row r="468">
      <c r="A468" s="6">
        <v>450.0</v>
      </c>
      <c r="B468" s="7" t="s">
        <v>4360</v>
      </c>
      <c r="C468" s="8" t="s">
        <v>4361</v>
      </c>
      <c r="D468" s="9" t="s">
        <v>32</v>
      </c>
      <c r="E468" s="7" t="s">
        <v>4362</v>
      </c>
      <c r="F468" s="9">
        <v>17.0</v>
      </c>
      <c r="G468" s="9">
        <v>2006.0</v>
      </c>
      <c r="H468" s="10">
        <v>2.0</v>
      </c>
      <c r="I468" s="11">
        <v>13.0</v>
      </c>
      <c r="J468" s="11">
        <v>7.0</v>
      </c>
      <c r="K468" s="11" t="s">
        <v>201</v>
      </c>
      <c r="L468" s="11" t="s">
        <v>155</v>
      </c>
      <c r="M468" s="46">
        <v>0.0</v>
      </c>
      <c r="N468" s="19"/>
      <c r="O468" s="43">
        <v>0.0</v>
      </c>
      <c r="P468" s="47" t="s">
        <v>654</v>
      </c>
      <c r="Q468" s="11">
        <v>7.0</v>
      </c>
      <c r="R468" s="48" t="s">
        <v>4363</v>
      </c>
      <c r="S468" s="20">
        <v>0.0</v>
      </c>
      <c r="T468" s="43">
        <v>0.0</v>
      </c>
      <c r="U468" s="48" t="s">
        <v>268</v>
      </c>
      <c r="V468" s="45">
        <v>-0.4166666666666667</v>
      </c>
      <c r="W468" s="15">
        <v>-0.3138888888888889</v>
      </c>
      <c r="X468" s="15">
        <v>-0.3</v>
      </c>
      <c r="Y468" s="16" t="s">
        <v>4364</v>
      </c>
    </row>
    <row r="469">
      <c r="A469" s="25" t="s">
        <v>0</v>
      </c>
      <c r="B469" s="26" t="s">
        <v>1</v>
      </c>
      <c r="C469" s="27" t="s">
        <v>2</v>
      </c>
      <c r="D469" s="27" t="s">
        <v>3</v>
      </c>
      <c r="E469" s="27" t="s">
        <v>4</v>
      </c>
      <c r="F469" s="27" t="s">
        <v>5</v>
      </c>
      <c r="G469" s="27" t="s">
        <v>6</v>
      </c>
      <c r="H469" s="28" t="s">
        <v>7</v>
      </c>
      <c r="I469" s="27" t="s">
        <v>8</v>
      </c>
      <c r="J469" s="27" t="s">
        <v>9</v>
      </c>
      <c r="K469" s="27" t="s">
        <v>10</v>
      </c>
      <c r="L469" s="27" t="s">
        <v>11</v>
      </c>
      <c r="M469" s="28" t="s">
        <v>12</v>
      </c>
      <c r="N469" s="27" t="s">
        <v>13</v>
      </c>
      <c r="O469" s="27" t="s">
        <v>14</v>
      </c>
      <c r="P469" s="28" t="s">
        <v>15</v>
      </c>
      <c r="Q469" s="27" t="s">
        <v>16</v>
      </c>
      <c r="R469" s="27" t="s">
        <v>17</v>
      </c>
      <c r="S469" s="28" t="s">
        <v>18</v>
      </c>
      <c r="T469" s="27" t="s">
        <v>19</v>
      </c>
      <c r="U469" s="27" t="s">
        <v>20</v>
      </c>
      <c r="V469" s="29" t="str">
        <f>+/-</f>
        <v>#ERROR!</v>
      </c>
      <c r="W469" s="29" t="str">
        <f>+/-90</f>
        <v>#ERROR!</v>
      </c>
      <c r="X469" s="27" t="s">
        <v>21</v>
      </c>
      <c r="Y469" s="28" t="s">
        <v>22</v>
      </c>
    </row>
    <row r="470">
      <c r="A470" s="6">
        <v>451.0</v>
      </c>
      <c r="B470" s="7" t="s">
        <v>4365</v>
      </c>
      <c r="C470" s="8" t="s">
        <v>4366</v>
      </c>
      <c r="D470" s="9" t="s">
        <v>284</v>
      </c>
      <c r="E470" s="7" t="s">
        <v>4367</v>
      </c>
      <c r="F470" s="9">
        <v>30.0</v>
      </c>
      <c r="G470" s="9">
        <v>1993.0</v>
      </c>
      <c r="H470" s="10">
        <v>14.0</v>
      </c>
      <c r="I470" s="11">
        <v>217.0</v>
      </c>
      <c r="J470" s="11">
        <v>16.0</v>
      </c>
      <c r="K470" s="11" t="s">
        <v>951</v>
      </c>
      <c r="L470" s="11" t="s">
        <v>129</v>
      </c>
      <c r="M470" s="46">
        <v>0.0</v>
      </c>
      <c r="N470" s="19"/>
      <c r="O470" s="43">
        <v>0.0</v>
      </c>
      <c r="P470" s="41">
        <v>0.2659722222222222</v>
      </c>
      <c r="Q470" s="11">
        <v>16.0</v>
      </c>
      <c r="R470" s="42">
        <v>0.17708333333333334</v>
      </c>
      <c r="S470" s="13">
        <v>0.10138888888888889</v>
      </c>
      <c r="T470" s="42">
        <v>0.059027777777777776</v>
      </c>
      <c r="U470" s="42">
        <v>0.029166666666666667</v>
      </c>
      <c r="V470" s="44">
        <v>0.05763888888888889</v>
      </c>
      <c r="W470" s="14" t="str">
        <f>+0.83</f>
        <v>#ERROR!</v>
      </c>
      <c r="X470" s="14" t="str">
        <f>+0.07</f>
        <v>#ERROR!</v>
      </c>
      <c r="Y470" s="16" t="s">
        <v>4368</v>
      </c>
    </row>
    <row r="471">
      <c r="A471" s="6">
        <v>452.0</v>
      </c>
      <c r="B471" s="7" t="s">
        <v>4369</v>
      </c>
      <c r="C471" s="8" t="s">
        <v>4370</v>
      </c>
      <c r="D471" s="9" t="s">
        <v>25</v>
      </c>
      <c r="E471" s="7" t="s">
        <v>4371</v>
      </c>
      <c r="F471" s="9">
        <v>21.0</v>
      </c>
      <c r="G471" s="9">
        <v>2002.0</v>
      </c>
      <c r="H471" s="10">
        <v>29.0</v>
      </c>
      <c r="I471" s="11">
        <v>2.386</v>
      </c>
      <c r="J471" s="11">
        <v>82.0</v>
      </c>
      <c r="K471" s="11" t="s">
        <v>1479</v>
      </c>
      <c r="L471" s="11" t="s">
        <v>1480</v>
      </c>
      <c r="M471" s="41">
        <v>0.043055555555555555</v>
      </c>
      <c r="N471" s="11">
        <v>87.0</v>
      </c>
      <c r="O471" s="42">
        <v>0.052083333333333336</v>
      </c>
      <c r="P471" s="41">
        <v>0.005555555555555556</v>
      </c>
      <c r="Q471" s="11">
        <v>21.0</v>
      </c>
      <c r="R471" s="43">
        <v>0.0</v>
      </c>
      <c r="S471" s="13">
        <v>0.09166666666666666</v>
      </c>
      <c r="T471" s="42">
        <v>0.06944444444444445</v>
      </c>
      <c r="U471" s="42">
        <v>0.05347222222222222</v>
      </c>
      <c r="V471" s="44">
        <v>0.01597222222222222</v>
      </c>
      <c r="W471" s="14" t="str">
        <f>+0.23</f>
        <v>#ERROR!</v>
      </c>
      <c r="X471" s="15">
        <v>-0.04375</v>
      </c>
      <c r="Y471" s="16" t="s">
        <v>4372</v>
      </c>
    </row>
    <row r="472">
      <c r="A472" s="6">
        <v>453.0</v>
      </c>
      <c r="B472" s="7" t="s">
        <v>4373</v>
      </c>
      <c r="C472" s="8" t="s">
        <v>4374</v>
      </c>
      <c r="D472" s="9" t="s">
        <v>66</v>
      </c>
      <c r="E472" s="7" t="s">
        <v>4375</v>
      </c>
      <c r="F472" s="9">
        <v>32.0</v>
      </c>
      <c r="G472" s="9">
        <v>1991.0</v>
      </c>
      <c r="H472" s="10">
        <v>24.0</v>
      </c>
      <c r="I472" s="11">
        <v>1.999</v>
      </c>
      <c r="J472" s="11">
        <v>83.0</v>
      </c>
      <c r="K472" s="11" t="s">
        <v>2247</v>
      </c>
      <c r="L472" s="11" t="s">
        <v>1580</v>
      </c>
      <c r="M472" s="41">
        <v>0.06875</v>
      </c>
      <c r="N472" s="11">
        <v>89.0</v>
      </c>
      <c r="O472" s="42">
        <v>0.059722222222222225</v>
      </c>
      <c r="P472" s="41">
        <v>0.00625</v>
      </c>
      <c r="Q472" s="11">
        <v>21.0</v>
      </c>
      <c r="R472" s="42">
        <v>0.003472222222222222</v>
      </c>
      <c r="S472" s="13">
        <v>0.10972222222222222</v>
      </c>
      <c r="T472" s="42">
        <v>0.11944444444444445</v>
      </c>
      <c r="U472" s="42">
        <v>0.04097222222222222</v>
      </c>
      <c r="V472" s="44">
        <v>0.10694444444444444</v>
      </c>
      <c r="W472" s="14" t="str">
        <f>+1.94</f>
        <v>#ERROR!</v>
      </c>
      <c r="X472" s="14" t="str">
        <f>+2.06</f>
        <v>#ERROR!</v>
      </c>
      <c r="Y472" s="16" t="s">
        <v>4376</v>
      </c>
    </row>
    <row r="473">
      <c r="A473" s="6">
        <v>454.0</v>
      </c>
      <c r="B473" s="7" t="s">
        <v>4377</v>
      </c>
      <c r="C473" s="8" t="s">
        <v>4378</v>
      </c>
      <c r="D473" s="9" t="s">
        <v>52</v>
      </c>
      <c r="E473" s="7" t="s">
        <v>4379</v>
      </c>
      <c r="F473" s="9">
        <v>24.0</v>
      </c>
      <c r="G473" s="9">
        <v>1999.0</v>
      </c>
      <c r="H473" s="10">
        <v>29.0</v>
      </c>
      <c r="I473" s="11">
        <v>2.457</v>
      </c>
      <c r="J473" s="11">
        <v>85.0</v>
      </c>
      <c r="K473" s="11" t="s">
        <v>2252</v>
      </c>
      <c r="L473" s="11" t="s">
        <v>2253</v>
      </c>
      <c r="M473" s="41">
        <v>0.04583333333333333</v>
      </c>
      <c r="N473" s="11">
        <v>85.0</v>
      </c>
      <c r="O473" s="42">
        <v>0.050694444444444445</v>
      </c>
      <c r="P473" s="46">
        <v>0.0</v>
      </c>
      <c r="Q473" s="19"/>
      <c r="R473" s="43">
        <v>0.0</v>
      </c>
      <c r="S473" s="13">
        <v>0.05138888888888889</v>
      </c>
      <c r="T473" s="42">
        <v>0.04583333333333333</v>
      </c>
      <c r="U473" s="42">
        <v>0.07916666666666666</v>
      </c>
      <c r="V473" s="45">
        <v>-0.03333333333333333</v>
      </c>
      <c r="W473" s="15">
        <v>-0.03333333333333333</v>
      </c>
      <c r="X473" s="14" t="str">
        <f>+1.38</f>
        <v>#ERROR!</v>
      </c>
      <c r="Y473" s="16" t="s">
        <v>4380</v>
      </c>
    </row>
    <row r="474">
      <c r="A474" s="6">
        <v>455.0</v>
      </c>
      <c r="B474" s="7" t="s">
        <v>4381</v>
      </c>
      <c r="C474" s="8" t="s">
        <v>4382</v>
      </c>
      <c r="D474" s="9" t="s">
        <v>66</v>
      </c>
      <c r="E474" s="7" t="s">
        <v>4383</v>
      </c>
      <c r="F474" s="9">
        <v>36.0</v>
      </c>
      <c r="G474" s="9">
        <v>1987.0</v>
      </c>
      <c r="H474" s="10">
        <v>30.0</v>
      </c>
      <c r="I474" s="11">
        <v>2.684</v>
      </c>
      <c r="J474" s="11">
        <v>89.0</v>
      </c>
      <c r="K474" s="11" t="s">
        <v>2258</v>
      </c>
      <c r="L474" s="11" t="s">
        <v>2259</v>
      </c>
      <c r="M474" s="41">
        <v>0.04236111111111111</v>
      </c>
      <c r="N474" s="11">
        <v>89.0</v>
      </c>
      <c r="O474" s="42">
        <v>0.06736111111111111</v>
      </c>
      <c r="P474" s="46">
        <v>0.0</v>
      </c>
      <c r="Q474" s="19"/>
      <c r="R474" s="43">
        <v>0.0</v>
      </c>
      <c r="S474" s="13">
        <v>0.04375</v>
      </c>
      <c r="T474" s="42">
        <v>0.049305555555555554</v>
      </c>
      <c r="U474" s="42">
        <v>0.07222222222222222</v>
      </c>
      <c r="V474" s="45">
        <v>-0.02361111111111111</v>
      </c>
      <c r="W474" s="15">
        <v>-0.02361111111111111</v>
      </c>
      <c r="X474" s="15">
        <v>-0.02361111111111111</v>
      </c>
      <c r="Y474" s="16" t="s">
        <v>4384</v>
      </c>
    </row>
    <row r="475">
      <c r="A475" s="6">
        <v>456.0</v>
      </c>
      <c r="B475" s="7" t="s">
        <v>4385</v>
      </c>
      <c r="C475" s="8" t="s">
        <v>4386</v>
      </c>
      <c r="D475" s="9" t="s">
        <v>66</v>
      </c>
      <c r="E475" s="7" t="s">
        <v>4387</v>
      </c>
      <c r="F475" s="9">
        <v>17.0</v>
      </c>
      <c r="G475" s="9">
        <v>2006.0</v>
      </c>
      <c r="H475" s="10">
        <v>2.0</v>
      </c>
      <c r="I475" s="11">
        <v>5.0</v>
      </c>
      <c r="J475" s="11">
        <v>3.0</v>
      </c>
      <c r="K475" s="11" t="s">
        <v>48</v>
      </c>
      <c r="L475" s="11" t="s">
        <v>155</v>
      </c>
      <c r="M475" s="46">
        <v>0.0</v>
      </c>
      <c r="N475" s="19"/>
      <c r="O475" s="43">
        <v>0.0</v>
      </c>
      <c r="P475" s="47" t="s">
        <v>654</v>
      </c>
      <c r="Q475" s="11">
        <v>3.0</v>
      </c>
      <c r="R475" s="48" t="s">
        <v>4388</v>
      </c>
      <c r="S475" s="13">
        <v>0.125</v>
      </c>
      <c r="T475" s="43">
        <v>0.0</v>
      </c>
      <c r="U475" s="43">
        <v>0.0</v>
      </c>
      <c r="V475" s="43">
        <v>0.0</v>
      </c>
      <c r="W475" s="21">
        <v>0.0</v>
      </c>
      <c r="X475" s="15">
        <v>-0.020833333333333332</v>
      </c>
      <c r="Y475" s="16" t="s">
        <v>4389</v>
      </c>
    </row>
    <row r="476">
      <c r="A476" s="6">
        <v>457.0</v>
      </c>
      <c r="B476" s="7" t="s">
        <v>4390</v>
      </c>
      <c r="C476" s="8" t="s">
        <v>4391</v>
      </c>
      <c r="D476" s="9" t="s">
        <v>45</v>
      </c>
      <c r="E476" s="7" t="s">
        <v>4392</v>
      </c>
      <c r="F476" s="9">
        <v>25.0</v>
      </c>
      <c r="G476" s="9">
        <v>1998.0</v>
      </c>
      <c r="H476" s="10">
        <v>13.0</v>
      </c>
      <c r="I476" s="11">
        <v>540.0</v>
      </c>
      <c r="J476" s="11">
        <v>42.0</v>
      </c>
      <c r="K476" s="11" t="s">
        <v>654</v>
      </c>
      <c r="L476" s="11" t="s">
        <v>1485</v>
      </c>
      <c r="M476" s="41">
        <v>0.05763888888888889</v>
      </c>
      <c r="N476" s="11">
        <v>67.0</v>
      </c>
      <c r="O476" s="43">
        <v>0.0</v>
      </c>
      <c r="P476" s="41">
        <v>0.06458333333333334</v>
      </c>
      <c r="Q476" s="11">
        <v>25.0</v>
      </c>
      <c r="R476" s="42">
        <v>0.011805555555555555</v>
      </c>
      <c r="S476" s="13">
        <v>0.052083333333333336</v>
      </c>
      <c r="T476" s="42">
        <v>0.06458333333333334</v>
      </c>
      <c r="U476" s="42">
        <v>0.08819444444444445</v>
      </c>
      <c r="V476" s="45">
        <v>-0.022916666666666665</v>
      </c>
      <c r="W476" s="15">
        <v>-0.022916666666666665</v>
      </c>
      <c r="X476" s="14" t="str">
        <f>+0.42</f>
        <v>#ERROR!</v>
      </c>
      <c r="Y476" s="16" t="s">
        <v>4393</v>
      </c>
    </row>
    <row r="477">
      <c r="A477" s="6">
        <v>458.0</v>
      </c>
      <c r="B477" s="7" t="s">
        <v>4394</v>
      </c>
      <c r="C477" s="8" t="s">
        <v>4395</v>
      </c>
      <c r="D477" s="9" t="s">
        <v>66</v>
      </c>
      <c r="E477" s="7" t="s">
        <v>4396</v>
      </c>
      <c r="F477" s="9">
        <v>32.0</v>
      </c>
      <c r="G477" s="9">
        <v>1991.0</v>
      </c>
      <c r="H477" s="10">
        <v>28.0</v>
      </c>
      <c r="I477" s="11">
        <v>2.409</v>
      </c>
      <c r="J477" s="11">
        <v>86.0</v>
      </c>
      <c r="K477" s="11" t="s">
        <v>2272</v>
      </c>
      <c r="L477" s="11" t="s">
        <v>2273</v>
      </c>
      <c r="M477" s="41">
        <v>0.04236111111111111</v>
      </c>
      <c r="N477" s="11">
        <v>89.0</v>
      </c>
      <c r="O477" s="42">
        <v>0.06736111111111111</v>
      </c>
      <c r="P477" s="41">
        <v>0.002777777777777778</v>
      </c>
      <c r="Q477" s="11">
        <v>5.0</v>
      </c>
      <c r="R477" s="43">
        <v>0.0</v>
      </c>
      <c r="S477" s="13">
        <v>0.04652777777777778</v>
      </c>
      <c r="T477" s="42">
        <v>0.05763888888888889</v>
      </c>
      <c r="U477" s="42">
        <v>0.10416666666666667</v>
      </c>
      <c r="V477" s="45">
        <v>-0.04652777777777778</v>
      </c>
      <c r="W477" s="15">
        <v>-0.04652777777777778</v>
      </c>
      <c r="X477" s="15">
        <v>-0.003472222222222222</v>
      </c>
      <c r="Y477" s="16" t="s">
        <v>4397</v>
      </c>
    </row>
    <row r="478">
      <c r="A478" s="6">
        <v>459.0</v>
      </c>
      <c r="B478" s="7" t="s">
        <v>4398</v>
      </c>
      <c r="C478" s="8" t="s">
        <v>4399</v>
      </c>
      <c r="D478" s="9" t="s">
        <v>32</v>
      </c>
      <c r="E478" s="7" t="s">
        <v>4400</v>
      </c>
      <c r="F478" s="9">
        <v>19.0</v>
      </c>
      <c r="G478" s="9">
        <v>2004.0</v>
      </c>
      <c r="H478" s="10">
        <v>1.0</v>
      </c>
      <c r="I478" s="11">
        <v>1.0</v>
      </c>
      <c r="J478" s="11">
        <v>1.0</v>
      </c>
      <c r="K478" s="12" t="s">
        <v>470</v>
      </c>
      <c r="L478" s="12" t="s">
        <v>470</v>
      </c>
      <c r="M478" s="18">
        <v>0.0</v>
      </c>
      <c r="N478" s="19"/>
      <c r="O478" s="12">
        <v>0.0</v>
      </c>
      <c r="P478" s="10">
        <v>1.0</v>
      </c>
      <c r="Q478" s="11">
        <v>1.0</v>
      </c>
      <c r="R478" s="11">
        <v>5.0</v>
      </c>
      <c r="S478" s="13">
        <v>0.125</v>
      </c>
      <c r="T478" s="12">
        <v>0.0</v>
      </c>
      <c r="U478" s="12">
        <v>0.0</v>
      </c>
      <c r="V478" s="12">
        <v>0.0</v>
      </c>
      <c r="W478" s="21">
        <v>0.0</v>
      </c>
      <c r="X478" s="14" t="str">
        <f>+0.23</f>
        <v>#ERROR!</v>
      </c>
      <c r="Y478" s="16" t="s">
        <v>4401</v>
      </c>
    </row>
    <row r="479">
      <c r="A479" s="6">
        <v>460.0</v>
      </c>
      <c r="B479" s="7" t="s">
        <v>4402</v>
      </c>
      <c r="C479" s="8" t="s">
        <v>4403</v>
      </c>
      <c r="D479" s="9" t="s">
        <v>73</v>
      </c>
      <c r="E479" s="7" t="s">
        <v>4404</v>
      </c>
      <c r="F479" s="9">
        <v>23.0</v>
      </c>
      <c r="G479" s="9">
        <v>2000.0</v>
      </c>
      <c r="H479" s="10">
        <v>22.0</v>
      </c>
      <c r="I479" s="11">
        <v>1.98</v>
      </c>
      <c r="J479" s="11">
        <v>90.0</v>
      </c>
      <c r="K479" s="11" t="s">
        <v>2282</v>
      </c>
      <c r="L479" s="11" t="s">
        <v>2050</v>
      </c>
      <c r="M479" s="41">
        <v>0.041666666666666664</v>
      </c>
      <c r="N479" s="11">
        <v>90.0</v>
      </c>
      <c r="O479" s="42">
        <v>0.041666666666666664</v>
      </c>
      <c r="P479" s="46">
        <v>0.0</v>
      </c>
      <c r="Q479" s="19"/>
      <c r="R479" s="42">
        <v>0.025</v>
      </c>
      <c r="S479" s="13">
        <v>0.06666666666666667</v>
      </c>
      <c r="T479" s="42">
        <v>0.08611111111111111</v>
      </c>
      <c r="U479" s="42">
        <v>0.08263888888888889</v>
      </c>
      <c r="V479" s="44">
        <v>0.003472222222222222</v>
      </c>
      <c r="W479" s="14" t="str">
        <f>+0.05</f>
        <v>#ERROR!</v>
      </c>
      <c r="X479" s="14" t="str">
        <f>+0.05</f>
        <v>#ERROR!</v>
      </c>
      <c r="Y479" s="16" t="s">
        <v>4405</v>
      </c>
    </row>
    <row r="480">
      <c r="A480" s="6">
        <v>461.0</v>
      </c>
      <c r="B480" s="7" t="s">
        <v>4406</v>
      </c>
      <c r="C480" s="8" t="s">
        <v>4407</v>
      </c>
      <c r="D480" s="9" t="s">
        <v>52</v>
      </c>
      <c r="E480" s="7" t="s">
        <v>4408</v>
      </c>
      <c r="F480" s="9">
        <v>17.0</v>
      </c>
      <c r="G480" s="9">
        <v>2006.0</v>
      </c>
      <c r="H480" s="10">
        <v>7.0</v>
      </c>
      <c r="I480" s="11">
        <v>36.0</v>
      </c>
      <c r="J480" s="11">
        <v>5.0</v>
      </c>
      <c r="K480" s="11" t="s">
        <v>624</v>
      </c>
      <c r="L480" s="11" t="s">
        <v>318</v>
      </c>
      <c r="M480" s="46">
        <v>0.0</v>
      </c>
      <c r="N480" s="19"/>
      <c r="O480" s="43">
        <v>0.0</v>
      </c>
      <c r="P480" s="47" t="s">
        <v>1519</v>
      </c>
      <c r="Q480" s="11">
        <v>5.0</v>
      </c>
      <c r="R480" s="48" t="s">
        <v>1519</v>
      </c>
      <c r="S480" s="13">
        <v>0.10138888888888889</v>
      </c>
      <c r="T480" s="42">
        <v>0.20833333333333334</v>
      </c>
      <c r="U480" s="42">
        <v>0.11805555555555555</v>
      </c>
      <c r="V480" s="44">
        <v>0.11805555555555555</v>
      </c>
      <c r="W480" s="14" t="str">
        <f>+2.50</f>
        <v>#ERROR!</v>
      </c>
      <c r="X480" s="14" t="str">
        <f>+1.76</f>
        <v>#ERROR!</v>
      </c>
      <c r="Y480" s="16" t="s">
        <v>4409</v>
      </c>
    </row>
    <row r="481">
      <c r="A481" s="6">
        <v>462.0</v>
      </c>
      <c r="B481" s="7" t="s">
        <v>4410</v>
      </c>
      <c r="C481" s="8" t="s">
        <v>4411</v>
      </c>
      <c r="D481" s="9" t="s">
        <v>52</v>
      </c>
      <c r="E481" s="7" t="s">
        <v>4412</v>
      </c>
      <c r="F481" s="9">
        <v>26.0</v>
      </c>
      <c r="G481" s="9">
        <v>1997.0</v>
      </c>
      <c r="H481" s="10">
        <v>29.0</v>
      </c>
      <c r="I481" s="11">
        <v>2.245</v>
      </c>
      <c r="J481" s="11">
        <v>77.0</v>
      </c>
      <c r="K481" s="11" t="s">
        <v>1253</v>
      </c>
      <c r="L481" s="11" t="s">
        <v>701</v>
      </c>
      <c r="M481" s="41">
        <v>0.041666666666666664</v>
      </c>
      <c r="N481" s="11">
        <v>86.0</v>
      </c>
      <c r="O481" s="42">
        <v>0.041666666666666664</v>
      </c>
      <c r="P481" s="41">
        <v>0.011111111111111112</v>
      </c>
      <c r="Q481" s="11">
        <v>27.0</v>
      </c>
      <c r="R481" s="43">
        <v>0.0</v>
      </c>
      <c r="S481" s="13">
        <v>0.09444444444444444</v>
      </c>
      <c r="T481" s="42">
        <v>0.09236111111111112</v>
      </c>
      <c r="U481" s="42">
        <v>0.05555555555555555</v>
      </c>
      <c r="V481" s="44">
        <v>0.06388888888888888</v>
      </c>
      <c r="W481" s="14" t="str">
        <f>+0.92</f>
        <v>#ERROR!</v>
      </c>
      <c r="X481" s="14" t="str">
        <f>+0.92</f>
        <v>#ERROR!</v>
      </c>
      <c r="Y481" s="16" t="s">
        <v>4413</v>
      </c>
    </row>
    <row r="482">
      <c r="A482" s="6">
        <v>463.0</v>
      </c>
      <c r="B482" s="7" t="s">
        <v>4414</v>
      </c>
      <c r="C482" s="8" t="s">
        <v>4415</v>
      </c>
      <c r="D482" s="9" t="s">
        <v>66</v>
      </c>
      <c r="E482" s="7" t="s">
        <v>4416</v>
      </c>
      <c r="F482" s="9">
        <v>28.0</v>
      </c>
      <c r="G482" s="9">
        <v>1995.0</v>
      </c>
      <c r="H482" s="10">
        <v>27.0</v>
      </c>
      <c r="I482" s="11">
        <v>2.089</v>
      </c>
      <c r="J482" s="11">
        <v>77.0</v>
      </c>
      <c r="K482" s="11" t="s">
        <v>2295</v>
      </c>
      <c r="L482" s="11" t="s">
        <v>1236</v>
      </c>
      <c r="M482" s="41">
        <v>0.04375</v>
      </c>
      <c r="N482" s="11">
        <v>82.0</v>
      </c>
      <c r="O482" s="42">
        <v>0.05416666666666667</v>
      </c>
      <c r="P482" s="41">
        <v>0.009027777777777777</v>
      </c>
      <c r="Q482" s="11">
        <v>37.0</v>
      </c>
      <c r="R482" s="42">
        <v>0.00625</v>
      </c>
      <c r="S482" s="13">
        <v>0.09791666666666667</v>
      </c>
      <c r="T482" s="42">
        <v>0.0798611111111111</v>
      </c>
      <c r="U482" s="42">
        <v>0.05</v>
      </c>
      <c r="V482" s="44">
        <v>0.029861111111111113</v>
      </c>
      <c r="W482" s="14" t="str">
        <f>+0.43</f>
        <v>#ERROR!</v>
      </c>
      <c r="X482" s="14" t="str">
        <f>+0.43</f>
        <v>#ERROR!</v>
      </c>
      <c r="Y482" s="16" t="s">
        <v>4417</v>
      </c>
    </row>
    <row r="483">
      <c r="A483" s="6">
        <v>464.0</v>
      </c>
      <c r="B483" s="7" t="s">
        <v>4418</v>
      </c>
      <c r="C483" s="8" t="s">
        <v>4419</v>
      </c>
      <c r="D483" s="9" t="s">
        <v>284</v>
      </c>
      <c r="E483" s="7" t="s">
        <v>4420</v>
      </c>
      <c r="F483" s="9">
        <v>25.0</v>
      </c>
      <c r="G483" s="9">
        <v>1998.0</v>
      </c>
      <c r="H483" s="10">
        <v>13.0</v>
      </c>
      <c r="I483" s="11">
        <v>589.0</v>
      </c>
      <c r="J483" s="11">
        <v>45.0</v>
      </c>
      <c r="K483" s="11" t="s">
        <v>494</v>
      </c>
      <c r="L483" s="11" t="s">
        <v>1364</v>
      </c>
      <c r="M483" s="41">
        <v>0.06388888888888888</v>
      </c>
      <c r="N483" s="11">
        <v>83.0</v>
      </c>
      <c r="O483" s="42">
        <v>0.05347222222222222</v>
      </c>
      <c r="P483" s="41">
        <v>0.04722222222222222</v>
      </c>
      <c r="Q483" s="11">
        <v>13.0</v>
      </c>
      <c r="R483" s="42">
        <v>0.09375</v>
      </c>
      <c r="S483" s="13">
        <v>0.10555555555555556</v>
      </c>
      <c r="T483" s="42">
        <v>0.08958333333333333</v>
      </c>
      <c r="U483" s="42">
        <v>0.04722222222222222</v>
      </c>
      <c r="V483" s="44">
        <v>0.043055555555555555</v>
      </c>
      <c r="W483" s="14" t="str">
        <f>+0.61</f>
        <v>#ERROR!</v>
      </c>
      <c r="X483" s="14" t="str">
        <f>+0.36</f>
        <v>#ERROR!</v>
      </c>
      <c r="Y483" s="16" t="s">
        <v>4421</v>
      </c>
    </row>
    <row r="484">
      <c r="A484" s="6">
        <v>465.0</v>
      </c>
      <c r="B484" s="7" t="s">
        <v>4422</v>
      </c>
      <c r="C484" s="8" t="s">
        <v>4423</v>
      </c>
      <c r="D484" s="9" t="s">
        <v>59</v>
      </c>
      <c r="E484" s="7" t="s">
        <v>4424</v>
      </c>
      <c r="F484" s="9">
        <v>31.0</v>
      </c>
      <c r="G484" s="9">
        <v>1992.0</v>
      </c>
      <c r="H484" s="10">
        <v>23.0</v>
      </c>
      <c r="I484" s="11">
        <v>1.692</v>
      </c>
      <c r="J484" s="11">
        <v>74.0</v>
      </c>
      <c r="K484" s="11" t="s">
        <v>2304</v>
      </c>
      <c r="L484" s="11" t="s">
        <v>262</v>
      </c>
      <c r="M484" s="41">
        <v>0.05</v>
      </c>
      <c r="N484" s="11">
        <v>79.0</v>
      </c>
      <c r="O484" s="42">
        <v>0.03333333333333333</v>
      </c>
      <c r="P484" s="41">
        <v>0.007638888888888889</v>
      </c>
      <c r="Q484" s="11">
        <v>19.0</v>
      </c>
      <c r="R484" s="42">
        <v>0.003472222222222222</v>
      </c>
      <c r="S484" s="13">
        <v>0.06319444444444444</v>
      </c>
      <c r="T484" s="42">
        <v>0.05138888888888889</v>
      </c>
      <c r="U484" s="42">
        <v>0.07222222222222222</v>
      </c>
      <c r="V484" s="45">
        <v>-0.04791666666666667</v>
      </c>
      <c r="W484" s="15">
        <v>-0.04791666666666667</v>
      </c>
      <c r="X484" s="15">
        <v>-0.06666666666666667</v>
      </c>
      <c r="Y484" s="16" t="s">
        <v>4425</v>
      </c>
    </row>
    <row r="485">
      <c r="A485" s="6">
        <v>466.0</v>
      </c>
      <c r="B485" s="7" t="s">
        <v>4426</v>
      </c>
      <c r="C485" s="8" t="s">
        <v>4427</v>
      </c>
      <c r="D485" s="9" t="s">
        <v>52</v>
      </c>
      <c r="E485" s="7" t="s">
        <v>4428</v>
      </c>
      <c r="F485" s="9">
        <v>17.0</v>
      </c>
      <c r="G485" s="9">
        <v>2006.0</v>
      </c>
      <c r="H485" s="18">
        <v>0.0</v>
      </c>
      <c r="I485" s="19"/>
      <c r="J485" s="19"/>
      <c r="K485" s="19"/>
      <c r="L485" s="19"/>
      <c r="M485" s="18">
        <v>0.0</v>
      </c>
      <c r="N485" s="19"/>
      <c r="O485" s="12">
        <v>0.0</v>
      </c>
      <c r="P485" s="18">
        <v>0.0</v>
      </c>
      <c r="Q485" s="19"/>
      <c r="R485" s="11">
        <v>4.0</v>
      </c>
      <c r="S485" s="24"/>
      <c r="T485" s="19"/>
      <c r="U485" s="19"/>
      <c r="V485" s="19"/>
      <c r="W485" s="19"/>
      <c r="X485" s="19"/>
      <c r="Y485" s="16" t="s">
        <v>4429</v>
      </c>
    </row>
    <row r="486">
      <c r="A486" s="6">
        <v>467.0</v>
      </c>
      <c r="B486" s="7" t="s">
        <v>4430</v>
      </c>
      <c r="C486" s="8" t="s">
        <v>4431</v>
      </c>
      <c r="D486" s="9" t="s">
        <v>52</v>
      </c>
      <c r="E486" s="7" t="s">
        <v>4432</v>
      </c>
      <c r="F486" s="9">
        <v>18.0</v>
      </c>
      <c r="G486" s="9">
        <v>2005.0</v>
      </c>
      <c r="H486" s="10">
        <v>2.0</v>
      </c>
      <c r="I486" s="11">
        <v>29.0</v>
      </c>
      <c r="J486" s="11">
        <v>15.0</v>
      </c>
      <c r="K486" s="11" t="s">
        <v>443</v>
      </c>
      <c r="L486" s="11" t="s">
        <v>195</v>
      </c>
      <c r="M486" s="46">
        <v>0.0</v>
      </c>
      <c r="N486" s="19"/>
      <c r="O486" s="43">
        <v>0.0</v>
      </c>
      <c r="P486" s="41">
        <v>0.2965277777777778</v>
      </c>
      <c r="Q486" s="11">
        <v>15.0</v>
      </c>
      <c r="R486" s="48" t="s">
        <v>4433</v>
      </c>
      <c r="S486" s="13">
        <v>0.125</v>
      </c>
      <c r="T486" s="42">
        <v>0.14791666666666667</v>
      </c>
      <c r="U486" s="43">
        <v>0.0</v>
      </c>
      <c r="V486" s="44">
        <v>0.14791666666666667</v>
      </c>
      <c r="W486" s="14" t="str">
        <f>+3.10</f>
        <v>#ERROR!</v>
      </c>
      <c r="X486" s="14" t="str">
        <f>+2.83</f>
        <v>#ERROR!</v>
      </c>
      <c r="Y486" s="16" t="s">
        <v>4434</v>
      </c>
    </row>
    <row r="487">
      <c r="A487" s="6">
        <v>468.0</v>
      </c>
      <c r="B487" s="7" t="s">
        <v>4435</v>
      </c>
      <c r="C487" s="8" t="s">
        <v>4436</v>
      </c>
      <c r="D487" s="9" t="s">
        <v>59</v>
      </c>
      <c r="E487" s="7" t="s">
        <v>4437</v>
      </c>
      <c r="F487" s="9">
        <v>23.0</v>
      </c>
      <c r="G487" s="9">
        <v>2001.0</v>
      </c>
      <c r="H487" s="10">
        <v>29.0</v>
      </c>
      <c r="I487" s="11">
        <v>2.581</v>
      </c>
      <c r="J487" s="11">
        <v>89.0</v>
      </c>
      <c r="K487" s="11" t="s">
        <v>2317</v>
      </c>
      <c r="L487" s="11" t="s">
        <v>2318</v>
      </c>
      <c r="M487" s="41">
        <v>0.04236111111111111</v>
      </c>
      <c r="N487" s="11">
        <v>89.0</v>
      </c>
      <c r="O487" s="42">
        <v>0.06041666666666667</v>
      </c>
      <c r="P487" s="46">
        <v>0.0</v>
      </c>
      <c r="Q487" s="19"/>
      <c r="R487" s="43">
        <v>0.0</v>
      </c>
      <c r="S487" s="13">
        <v>0.04652777777777778</v>
      </c>
      <c r="T487" s="42">
        <v>0.0763888888888889</v>
      </c>
      <c r="U487" s="42">
        <v>0.10069444444444445</v>
      </c>
      <c r="V487" s="45">
        <v>-0.024305555555555556</v>
      </c>
      <c r="W487" s="15">
        <v>-0.024305555555555556</v>
      </c>
      <c r="X487" s="15">
        <v>-0.12638888888888888</v>
      </c>
      <c r="Y487" s="16" t="s">
        <v>4438</v>
      </c>
    </row>
    <row r="488">
      <c r="A488" s="6">
        <v>469.0</v>
      </c>
      <c r="B488" s="7" t="s">
        <v>4439</v>
      </c>
      <c r="C488" s="8" t="s">
        <v>4440</v>
      </c>
      <c r="D488" s="9" t="s">
        <v>284</v>
      </c>
      <c r="E488" s="7" t="s">
        <v>4441</v>
      </c>
      <c r="F488" s="9">
        <v>32.0</v>
      </c>
      <c r="G488" s="9">
        <v>1991.0</v>
      </c>
      <c r="H488" s="10">
        <v>3.0</v>
      </c>
      <c r="I488" s="11">
        <v>35.0</v>
      </c>
      <c r="J488" s="11">
        <v>12.0</v>
      </c>
      <c r="K488" s="11" t="s">
        <v>624</v>
      </c>
      <c r="L488" s="11" t="s">
        <v>318</v>
      </c>
      <c r="M488" s="46">
        <v>0.0</v>
      </c>
      <c r="N488" s="19"/>
      <c r="O488" s="43">
        <v>0.0</v>
      </c>
      <c r="P488" s="41">
        <v>0.3263888888888889</v>
      </c>
      <c r="Q488" s="11">
        <v>12.0</v>
      </c>
      <c r="R488" s="42">
        <v>0.20833333333333334</v>
      </c>
      <c r="S488" s="13">
        <v>0.08333333333333333</v>
      </c>
      <c r="T488" s="42">
        <v>0.11805555555555555</v>
      </c>
      <c r="U488" s="42">
        <v>0.11805555555555555</v>
      </c>
      <c r="V488" s="43">
        <v>0.0</v>
      </c>
      <c r="W488" s="21">
        <v>0.0</v>
      </c>
      <c r="X488" s="15">
        <v>-0.07083333333333333</v>
      </c>
      <c r="Y488" s="16" t="s">
        <v>4442</v>
      </c>
    </row>
    <row r="489">
      <c r="A489" s="6">
        <v>470.0</v>
      </c>
      <c r="B489" s="7" t="s">
        <v>4443</v>
      </c>
      <c r="C489" s="8" t="s">
        <v>4444</v>
      </c>
      <c r="D489" s="9" t="s">
        <v>66</v>
      </c>
      <c r="E489" s="7" t="s">
        <v>4445</v>
      </c>
      <c r="F489" s="9">
        <v>18.0</v>
      </c>
      <c r="G489" s="9">
        <v>2005.0</v>
      </c>
      <c r="H489" s="10">
        <v>2.0</v>
      </c>
      <c r="I489" s="11">
        <v>14.0</v>
      </c>
      <c r="J489" s="11">
        <v>7.0</v>
      </c>
      <c r="K489" s="11" t="s">
        <v>201</v>
      </c>
      <c r="L489" s="11" t="s">
        <v>48</v>
      </c>
      <c r="M489" s="46">
        <v>0.0</v>
      </c>
      <c r="N489" s="19"/>
      <c r="O489" s="43">
        <v>0.0</v>
      </c>
      <c r="P489" s="47" t="s">
        <v>268</v>
      </c>
      <c r="Q489" s="11">
        <v>7.0</v>
      </c>
      <c r="R489" s="48" t="s">
        <v>4446</v>
      </c>
      <c r="S489" s="13">
        <v>0.0763888888888889</v>
      </c>
      <c r="T489" s="42">
        <v>0.20833333333333334</v>
      </c>
      <c r="U489" s="43">
        <v>0.0</v>
      </c>
      <c r="V489" s="44">
        <v>0.20833333333333334</v>
      </c>
      <c r="W489" s="14" t="str">
        <f>+6.43</f>
        <v>#ERROR!</v>
      </c>
      <c r="X489" s="14" t="str">
        <f>+6.80</f>
        <v>#ERROR!</v>
      </c>
      <c r="Y489" s="16" t="s">
        <v>4447</v>
      </c>
    </row>
    <row r="490">
      <c r="A490" s="6">
        <v>471.0</v>
      </c>
      <c r="B490" s="7" t="s">
        <v>4448</v>
      </c>
      <c r="C490" s="8" t="s">
        <v>4449</v>
      </c>
      <c r="D490" s="9" t="s">
        <v>73</v>
      </c>
      <c r="E490" s="7" t="s">
        <v>4450</v>
      </c>
      <c r="F490" s="9">
        <v>21.0</v>
      </c>
      <c r="G490" s="9">
        <v>2002.0</v>
      </c>
      <c r="H490" s="10">
        <v>27.0</v>
      </c>
      <c r="I490" s="11">
        <v>2.383</v>
      </c>
      <c r="J490" s="11">
        <v>88.0</v>
      </c>
      <c r="K490" s="11" t="s">
        <v>2331</v>
      </c>
      <c r="L490" s="11" t="s">
        <v>1480</v>
      </c>
      <c r="M490" s="41">
        <v>0.043055555555555555</v>
      </c>
      <c r="N490" s="11">
        <v>88.0</v>
      </c>
      <c r="O490" s="42">
        <v>0.06805555555555555</v>
      </c>
      <c r="P490" s="46">
        <v>0.0</v>
      </c>
      <c r="Q490" s="19"/>
      <c r="R490" s="42">
        <v>0.007638888888888889</v>
      </c>
      <c r="S490" s="13">
        <v>0.09027777777777778</v>
      </c>
      <c r="T490" s="42">
        <v>0.07430555555555556</v>
      </c>
      <c r="U490" s="42">
        <v>0.04791666666666667</v>
      </c>
      <c r="V490" s="44">
        <v>0.02638888888888889</v>
      </c>
      <c r="W490" s="14" t="str">
        <f>+0.38</f>
        <v>#ERROR!</v>
      </c>
      <c r="X490" s="14" t="str">
        <f>+0.66</f>
        <v>#ERROR!</v>
      </c>
      <c r="Y490" s="16" t="s">
        <v>4451</v>
      </c>
    </row>
    <row r="491">
      <c r="A491" s="6">
        <v>472.0</v>
      </c>
      <c r="B491" s="7" t="s">
        <v>4452</v>
      </c>
      <c r="C491" s="8" t="s">
        <v>4453</v>
      </c>
      <c r="D491" s="9" t="s">
        <v>52</v>
      </c>
      <c r="E491" s="7" t="s">
        <v>4454</v>
      </c>
      <c r="F491" s="9">
        <v>17.0</v>
      </c>
      <c r="G491" s="9">
        <v>2006.0</v>
      </c>
      <c r="H491" s="10">
        <v>23.0</v>
      </c>
      <c r="I491" s="11">
        <v>1.692</v>
      </c>
      <c r="J491" s="11">
        <v>74.0</v>
      </c>
      <c r="K491" s="11" t="s">
        <v>2304</v>
      </c>
      <c r="L491" s="11" t="s">
        <v>262</v>
      </c>
      <c r="M491" s="41">
        <v>0.04583333333333333</v>
      </c>
      <c r="N491" s="11">
        <v>81.0</v>
      </c>
      <c r="O491" s="42">
        <v>0.014583333333333334</v>
      </c>
      <c r="P491" s="41">
        <v>0.011111111111111112</v>
      </c>
      <c r="Q491" s="11">
        <v>26.0</v>
      </c>
      <c r="R491" s="42">
        <v>0.01875</v>
      </c>
      <c r="S491" s="13">
        <v>0.10486111111111111</v>
      </c>
      <c r="T491" s="42">
        <v>0.08680555555555555</v>
      </c>
      <c r="U491" s="42">
        <v>0.03333333333333333</v>
      </c>
      <c r="V491" s="44">
        <v>0.05347222222222222</v>
      </c>
      <c r="W491" s="14" t="str">
        <f>+1.17</f>
        <v>#ERROR!</v>
      </c>
      <c r="X491" s="14" t="str">
        <f>+1.08</f>
        <v>#ERROR!</v>
      </c>
      <c r="Y491" s="16" t="s">
        <v>4455</v>
      </c>
    </row>
    <row r="492">
      <c r="A492" s="6">
        <v>473.0</v>
      </c>
      <c r="B492" s="7" t="s">
        <v>4456</v>
      </c>
      <c r="C492" s="8" t="s">
        <v>4457</v>
      </c>
      <c r="D492" s="9" t="s">
        <v>45</v>
      </c>
      <c r="E492" s="7" t="s">
        <v>4458</v>
      </c>
      <c r="F492" s="9">
        <v>23.0</v>
      </c>
      <c r="G492" s="9">
        <v>2000.0</v>
      </c>
      <c r="H492" s="10">
        <v>17.0</v>
      </c>
      <c r="I492" s="11">
        <v>1.493</v>
      </c>
      <c r="J492" s="11">
        <v>88.0</v>
      </c>
      <c r="K492" s="11" t="s">
        <v>2340</v>
      </c>
      <c r="L492" s="11" t="s">
        <v>55</v>
      </c>
      <c r="M492" s="41">
        <v>0.043055555555555555</v>
      </c>
      <c r="N492" s="11">
        <v>88.0</v>
      </c>
      <c r="O492" s="42">
        <v>0.05416666666666667</v>
      </c>
      <c r="P492" s="46">
        <v>0.0</v>
      </c>
      <c r="Q492" s="19"/>
      <c r="R492" s="43">
        <v>0.0</v>
      </c>
      <c r="S492" s="13">
        <v>0.06527777777777778</v>
      </c>
      <c r="T492" s="42">
        <v>0.06458333333333334</v>
      </c>
      <c r="U492" s="42">
        <v>0.09930555555555555</v>
      </c>
      <c r="V492" s="45">
        <v>-0.0625</v>
      </c>
      <c r="W492" s="15">
        <v>-0.0625</v>
      </c>
      <c r="X492" s="15">
        <v>-0.03680555555555556</v>
      </c>
      <c r="Y492" s="16" t="s">
        <v>4459</v>
      </c>
    </row>
    <row r="493">
      <c r="A493" s="6">
        <v>474.0</v>
      </c>
      <c r="B493" s="7" t="s">
        <v>4460</v>
      </c>
      <c r="C493" s="8" t="s">
        <v>4461</v>
      </c>
      <c r="D493" s="9" t="s">
        <v>66</v>
      </c>
      <c r="E493" s="7" t="s">
        <v>4462</v>
      </c>
      <c r="F493" s="9">
        <v>28.0</v>
      </c>
      <c r="G493" s="9">
        <v>1995.0</v>
      </c>
      <c r="H493" s="10">
        <v>26.0</v>
      </c>
      <c r="I493" s="11">
        <v>1.564</v>
      </c>
      <c r="J493" s="11">
        <v>60.0</v>
      </c>
      <c r="K493" s="11" t="s">
        <v>2345</v>
      </c>
      <c r="L493" s="11" t="s">
        <v>1034</v>
      </c>
      <c r="M493" s="41">
        <v>0.04791666666666667</v>
      </c>
      <c r="N493" s="11">
        <v>73.0</v>
      </c>
      <c r="O493" s="42">
        <v>0.01597222222222222</v>
      </c>
      <c r="P493" s="41">
        <v>0.027777777777777776</v>
      </c>
      <c r="Q493" s="11">
        <v>24.0</v>
      </c>
      <c r="R493" s="42">
        <v>0.007638888888888889</v>
      </c>
      <c r="S493" s="13">
        <v>0.052083333333333336</v>
      </c>
      <c r="T493" s="42">
        <v>0.06388888888888888</v>
      </c>
      <c r="U493" s="42">
        <v>0.04375</v>
      </c>
      <c r="V493" s="45">
        <v>-0.007638888888888889</v>
      </c>
      <c r="W493" s="15">
        <v>-0.008333333333333333</v>
      </c>
      <c r="X493" s="14" t="str">
        <f>+0.52</f>
        <v>#ERROR!</v>
      </c>
      <c r="Y493" s="16" t="s">
        <v>4463</v>
      </c>
    </row>
    <row r="494">
      <c r="A494" s="6">
        <v>475.0</v>
      </c>
      <c r="B494" s="7" t="s">
        <v>4464</v>
      </c>
      <c r="C494" s="8" t="s">
        <v>4465</v>
      </c>
      <c r="D494" s="9" t="s">
        <v>32</v>
      </c>
      <c r="E494" s="7" t="s">
        <v>4466</v>
      </c>
      <c r="F494" s="9">
        <v>20.0</v>
      </c>
      <c r="G494" s="9">
        <v>2003.0</v>
      </c>
      <c r="H494" s="18">
        <v>0.0</v>
      </c>
      <c r="I494" s="19"/>
      <c r="J494" s="19"/>
      <c r="K494" s="19"/>
      <c r="L494" s="19"/>
      <c r="M494" s="18">
        <v>0.0</v>
      </c>
      <c r="N494" s="19"/>
      <c r="O494" s="12">
        <v>0.0</v>
      </c>
      <c r="P494" s="18">
        <v>0.0</v>
      </c>
      <c r="Q494" s="19"/>
      <c r="R494" s="11">
        <v>2.0</v>
      </c>
      <c r="S494" s="24"/>
      <c r="T494" s="19"/>
      <c r="U494" s="19"/>
      <c r="V494" s="19"/>
      <c r="W494" s="19"/>
      <c r="X494" s="19"/>
      <c r="Y494" s="16" t="s">
        <v>4467</v>
      </c>
    </row>
    <row r="495">
      <c r="A495" s="25" t="s">
        <v>0</v>
      </c>
      <c r="B495" s="26" t="s">
        <v>1</v>
      </c>
      <c r="C495" s="27" t="s">
        <v>2</v>
      </c>
      <c r="D495" s="27" t="s">
        <v>3</v>
      </c>
      <c r="E495" s="27" t="s">
        <v>4</v>
      </c>
      <c r="F495" s="27" t="s">
        <v>5</v>
      </c>
      <c r="G495" s="27" t="s">
        <v>6</v>
      </c>
      <c r="H495" s="28" t="s">
        <v>7</v>
      </c>
      <c r="I495" s="27" t="s">
        <v>8</v>
      </c>
      <c r="J495" s="27" t="s">
        <v>9</v>
      </c>
      <c r="K495" s="27" t="s">
        <v>10</v>
      </c>
      <c r="L495" s="27" t="s">
        <v>11</v>
      </c>
      <c r="M495" s="28" t="s">
        <v>12</v>
      </c>
      <c r="N495" s="27" t="s">
        <v>13</v>
      </c>
      <c r="O495" s="27" t="s">
        <v>14</v>
      </c>
      <c r="P495" s="28" t="s">
        <v>15</v>
      </c>
      <c r="Q495" s="27" t="s">
        <v>16</v>
      </c>
      <c r="R495" s="27" t="s">
        <v>17</v>
      </c>
      <c r="S495" s="28" t="s">
        <v>18</v>
      </c>
      <c r="T495" s="27" t="s">
        <v>19</v>
      </c>
      <c r="U495" s="27" t="s">
        <v>20</v>
      </c>
      <c r="V495" s="29" t="str">
        <f>+/-</f>
        <v>#ERROR!</v>
      </c>
      <c r="W495" s="29" t="str">
        <f>+/-90</f>
        <v>#ERROR!</v>
      </c>
      <c r="X495" s="27" t="s">
        <v>21</v>
      </c>
      <c r="Y495" s="28" t="s">
        <v>22</v>
      </c>
    </row>
    <row r="496">
      <c r="A496" s="6">
        <v>476.0</v>
      </c>
      <c r="B496" s="7" t="s">
        <v>4468</v>
      </c>
      <c r="C496" s="8" t="s">
        <v>4469</v>
      </c>
      <c r="D496" s="9" t="s">
        <v>32</v>
      </c>
      <c r="E496" s="7" t="s">
        <v>4470</v>
      </c>
      <c r="F496" s="9">
        <v>29.0</v>
      </c>
      <c r="G496" s="9">
        <v>1994.0</v>
      </c>
      <c r="H496" s="10">
        <v>15.0</v>
      </c>
      <c r="I496" s="11">
        <v>603.0</v>
      </c>
      <c r="J496" s="11">
        <v>40.0</v>
      </c>
      <c r="K496" s="11" t="s">
        <v>1018</v>
      </c>
      <c r="L496" s="11" t="s">
        <v>412</v>
      </c>
      <c r="M496" s="41">
        <v>0.052083333333333336</v>
      </c>
      <c r="N496" s="11">
        <v>72.0</v>
      </c>
      <c r="O496" s="42">
        <v>0.010416666666666666</v>
      </c>
      <c r="P496" s="41">
        <v>0.07569444444444444</v>
      </c>
      <c r="Q496" s="11">
        <v>24.0</v>
      </c>
      <c r="R496" s="42">
        <v>0.020833333333333332</v>
      </c>
      <c r="S496" s="13">
        <v>0.06041666666666667</v>
      </c>
      <c r="T496" s="42">
        <v>0.052083333333333336</v>
      </c>
      <c r="U496" s="42">
        <v>0.1</v>
      </c>
      <c r="V496" s="45">
        <v>-0.07569444444444444</v>
      </c>
      <c r="W496" s="15">
        <v>-0.07569444444444444</v>
      </c>
      <c r="X496" s="15">
        <v>-0.052083333333333336</v>
      </c>
      <c r="Y496" s="16" t="s">
        <v>4471</v>
      </c>
    </row>
    <row r="497">
      <c r="A497" s="6">
        <v>477.0</v>
      </c>
      <c r="B497" s="7" t="s">
        <v>4472</v>
      </c>
      <c r="C497" s="8" t="s">
        <v>4473</v>
      </c>
      <c r="D497" s="9" t="s">
        <v>32</v>
      </c>
      <c r="E497" s="7" t="s">
        <v>4474</v>
      </c>
      <c r="F497" s="9">
        <v>29.0</v>
      </c>
      <c r="G497" s="9">
        <v>1994.0</v>
      </c>
      <c r="H497" s="10">
        <v>5.0</v>
      </c>
      <c r="I497" s="11">
        <v>201.0</v>
      </c>
      <c r="J497" s="11">
        <v>40.0</v>
      </c>
      <c r="K497" s="11" t="s">
        <v>251</v>
      </c>
      <c r="L497" s="11" t="s">
        <v>680</v>
      </c>
      <c r="M497" s="41">
        <v>0.06319444444444444</v>
      </c>
      <c r="N497" s="11">
        <v>57.0</v>
      </c>
      <c r="O497" s="43">
        <v>0.0</v>
      </c>
      <c r="P497" s="41">
        <v>0.06666666666666667</v>
      </c>
      <c r="Q497" s="11">
        <v>29.0</v>
      </c>
      <c r="R497" s="42">
        <v>0.16944444444444445</v>
      </c>
      <c r="S497" s="13">
        <v>0.1111111111111111</v>
      </c>
      <c r="T497" s="42">
        <v>0.09861111111111111</v>
      </c>
      <c r="U497" s="42">
        <v>0.03125</v>
      </c>
      <c r="V497" s="44">
        <v>0.06666666666666667</v>
      </c>
      <c r="W497" s="14" t="str">
        <f>+1.34</f>
        <v>#ERROR!</v>
      </c>
      <c r="X497" s="14" t="str">
        <f>+1.34</f>
        <v>#ERROR!</v>
      </c>
      <c r="Y497" s="16" t="s">
        <v>4475</v>
      </c>
    </row>
    <row r="498">
      <c r="A498" s="6">
        <v>478.0</v>
      </c>
      <c r="B498" s="7" t="s">
        <v>4476</v>
      </c>
      <c r="C498" s="8" t="s">
        <v>4477</v>
      </c>
      <c r="D498" s="9" t="s">
        <v>32</v>
      </c>
      <c r="E498" s="7" t="s">
        <v>4478</v>
      </c>
      <c r="F498" s="9">
        <v>21.0</v>
      </c>
      <c r="G498" s="9">
        <v>2002.0</v>
      </c>
      <c r="H498" s="10">
        <v>3.0</v>
      </c>
      <c r="I498" s="11">
        <v>53.0</v>
      </c>
      <c r="J498" s="11">
        <v>18.0</v>
      </c>
      <c r="K498" s="11" t="s">
        <v>413</v>
      </c>
      <c r="L498" s="11" t="s">
        <v>47</v>
      </c>
      <c r="M498" s="46">
        <v>0.0</v>
      </c>
      <c r="N498" s="19"/>
      <c r="O498" s="43">
        <v>0.0</v>
      </c>
      <c r="P498" s="41">
        <v>0.20833333333333334</v>
      </c>
      <c r="Q498" s="11">
        <v>18.0</v>
      </c>
      <c r="R498" s="48" t="s">
        <v>634</v>
      </c>
      <c r="S498" s="13">
        <v>0.041666666666666664</v>
      </c>
      <c r="T498" s="43">
        <v>0.0</v>
      </c>
      <c r="U498" s="43">
        <v>0.0</v>
      </c>
      <c r="V498" s="43">
        <v>0.0</v>
      </c>
      <c r="W498" s="21">
        <v>0.0</v>
      </c>
      <c r="X498" s="15">
        <v>-0.011805555555555555</v>
      </c>
      <c r="Y498" s="16" t="s">
        <v>4479</v>
      </c>
    </row>
    <row r="499">
      <c r="A499" s="6">
        <v>479.0</v>
      </c>
      <c r="B499" s="7" t="s">
        <v>4480</v>
      </c>
      <c r="C499" s="8" t="s">
        <v>4481</v>
      </c>
      <c r="D499" s="9" t="s">
        <v>32</v>
      </c>
      <c r="E499" s="7" t="s">
        <v>4482</v>
      </c>
      <c r="F499" s="9">
        <v>17.0</v>
      </c>
      <c r="G499" s="9">
        <v>2006.0</v>
      </c>
      <c r="H499" s="18">
        <v>0.0</v>
      </c>
      <c r="I499" s="19"/>
      <c r="J499" s="19"/>
      <c r="K499" s="19"/>
      <c r="L499" s="19"/>
      <c r="M499" s="18">
        <v>0.0</v>
      </c>
      <c r="N499" s="19"/>
      <c r="O499" s="12">
        <v>0.0</v>
      </c>
      <c r="P499" s="18">
        <v>0.0</v>
      </c>
      <c r="Q499" s="19"/>
      <c r="R499" s="11">
        <v>1.0</v>
      </c>
      <c r="S499" s="24"/>
      <c r="T499" s="19"/>
      <c r="U499" s="19"/>
      <c r="V499" s="19"/>
      <c r="W499" s="19"/>
      <c r="X499" s="19"/>
      <c r="Y499" s="16" t="s">
        <v>4483</v>
      </c>
    </row>
    <row r="500">
      <c r="A500" s="6">
        <v>480.0</v>
      </c>
      <c r="B500" s="7" t="s">
        <v>4484</v>
      </c>
      <c r="C500" s="8" t="s">
        <v>4485</v>
      </c>
      <c r="D500" s="9" t="s">
        <v>66</v>
      </c>
      <c r="E500" s="7" t="s">
        <v>4486</v>
      </c>
      <c r="F500" s="9">
        <v>29.0</v>
      </c>
      <c r="G500" s="9">
        <v>1994.0</v>
      </c>
      <c r="H500" s="10">
        <v>22.0</v>
      </c>
      <c r="I500" s="11">
        <v>1.548</v>
      </c>
      <c r="J500" s="11">
        <v>70.0</v>
      </c>
      <c r="K500" s="11" t="s">
        <v>2370</v>
      </c>
      <c r="L500" s="11" t="s">
        <v>796</v>
      </c>
      <c r="M500" s="41">
        <v>0.06458333333333334</v>
      </c>
      <c r="N500" s="11">
        <v>81.0</v>
      </c>
      <c r="O500" s="42">
        <v>0.04861111111111111</v>
      </c>
      <c r="P500" s="41">
        <v>0.024305555555555556</v>
      </c>
      <c r="Q500" s="11">
        <v>42.0</v>
      </c>
      <c r="R500" s="42">
        <v>0.024305555555555556</v>
      </c>
      <c r="S500" s="13">
        <v>0.09513888888888888</v>
      </c>
      <c r="T500" s="42">
        <v>0.08125</v>
      </c>
      <c r="U500" s="42">
        <v>0.04861111111111111</v>
      </c>
      <c r="V500" s="44">
        <v>0.03263888888888889</v>
      </c>
      <c r="W500" s="14" t="str">
        <f>+0.47</f>
        <v>#ERROR!</v>
      </c>
      <c r="X500" s="14" t="str">
        <f>+0.31</f>
        <v>#ERROR!</v>
      </c>
      <c r="Y500" s="16" t="s">
        <v>4487</v>
      </c>
    </row>
    <row r="501">
      <c r="A501" s="6">
        <v>481.0</v>
      </c>
      <c r="B501" s="7" t="s">
        <v>4488</v>
      </c>
      <c r="C501" s="8" t="s">
        <v>4489</v>
      </c>
      <c r="D501" s="9" t="s">
        <v>73</v>
      </c>
      <c r="E501" s="7" t="s">
        <v>4490</v>
      </c>
      <c r="F501" s="9">
        <v>21.0</v>
      </c>
      <c r="G501" s="9">
        <v>2002.0</v>
      </c>
      <c r="H501" s="18">
        <v>0.0</v>
      </c>
      <c r="I501" s="19"/>
      <c r="J501" s="19"/>
      <c r="K501" s="19"/>
      <c r="L501" s="19"/>
      <c r="M501" s="18">
        <v>0.0</v>
      </c>
      <c r="N501" s="19"/>
      <c r="O501" s="12">
        <v>0.0</v>
      </c>
      <c r="P501" s="18">
        <v>0.0</v>
      </c>
      <c r="Q501" s="19"/>
      <c r="R501" s="11">
        <v>1.0</v>
      </c>
      <c r="S501" s="24"/>
      <c r="T501" s="19"/>
      <c r="U501" s="19"/>
      <c r="V501" s="19"/>
      <c r="W501" s="19"/>
      <c r="X501" s="19"/>
      <c r="Y501" s="16" t="s">
        <v>4491</v>
      </c>
    </row>
    <row r="502">
      <c r="A502" s="6">
        <v>482.0</v>
      </c>
      <c r="B502" s="7" t="s">
        <v>4492</v>
      </c>
      <c r="C502" s="8" t="s">
        <v>4493</v>
      </c>
      <c r="D502" s="9" t="s">
        <v>66</v>
      </c>
      <c r="E502" s="7" t="s">
        <v>4494</v>
      </c>
      <c r="F502" s="9">
        <v>24.0</v>
      </c>
      <c r="G502" s="9">
        <v>2000.0</v>
      </c>
      <c r="H502" s="10">
        <v>23.0</v>
      </c>
      <c r="I502" s="11">
        <v>1.815</v>
      </c>
      <c r="J502" s="11">
        <v>79.0</v>
      </c>
      <c r="K502" s="11" t="s">
        <v>2379</v>
      </c>
      <c r="L502" s="11" t="s">
        <v>273</v>
      </c>
      <c r="M502" s="41">
        <v>0.06875</v>
      </c>
      <c r="N502" s="11">
        <v>86.0</v>
      </c>
      <c r="O502" s="42">
        <v>0.06180555555555556</v>
      </c>
      <c r="P502" s="41">
        <v>0.010416666666666666</v>
      </c>
      <c r="Q502" s="11">
        <v>31.0</v>
      </c>
      <c r="R502" s="43">
        <v>0.0</v>
      </c>
      <c r="S502" s="13">
        <v>0.09583333333333334</v>
      </c>
      <c r="T502" s="42">
        <v>0.07847222222222222</v>
      </c>
      <c r="U502" s="42">
        <v>0.05486111111111111</v>
      </c>
      <c r="V502" s="44">
        <v>0.05138888888888889</v>
      </c>
      <c r="W502" s="14" t="str">
        <f>+0.74</f>
        <v>#ERROR!</v>
      </c>
      <c r="X502" s="15">
        <v>-0.004861111111111111</v>
      </c>
      <c r="Y502" s="16" t="s">
        <v>4495</v>
      </c>
    </row>
    <row r="503">
      <c r="A503" s="6">
        <v>483.0</v>
      </c>
      <c r="B503" s="7" t="s">
        <v>4496</v>
      </c>
      <c r="C503" s="8" t="s">
        <v>4497</v>
      </c>
      <c r="D503" s="9" t="s">
        <v>59</v>
      </c>
      <c r="E503" s="7" t="s">
        <v>4498</v>
      </c>
      <c r="F503" s="9">
        <v>24.0</v>
      </c>
      <c r="G503" s="9">
        <v>1999.0</v>
      </c>
      <c r="H503" s="10">
        <v>10.0</v>
      </c>
      <c r="I503" s="11">
        <v>808.0</v>
      </c>
      <c r="J503" s="11">
        <v>81.0</v>
      </c>
      <c r="K503" s="11" t="s">
        <v>1554</v>
      </c>
      <c r="L503" s="11" t="s">
        <v>674</v>
      </c>
      <c r="M503" s="41">
        <v>0.049305555555555554</v>
      </c>
      <c r="N503" s="11">
        <v>81.0</v>
      </c>
      <c r="O503" s="42">
        <v>0.030555555555555555</v>
      </c>
      <c r="P503" s="46">
        <v>0.0</v>
      </c>
      <c r="Q503" s="19"/>
      <c r="R503" s="43">
        <v>0.0</v>
      </c>
      <c r="S503" s="13">
        <v>0.09722222222222222</v>
      </c>
      <c r="T503" s="42">
        <v>0.05694444444444444</v>
      </c>
      <c r="U503" s="42">
        <v>0.04652777777777778</v>
      </c>
      <c r="V503" s="44">
        <v>0.03888888888888889</v>
      </c>
      <c r="W503" s="14" t="str">
        <f>+0.56</f>
        <v>#ERROR!</v>
      </c>
      <c r="X503" s="14" t="str">
        <f>+0.56</f>
        <v>#ERROR!</v>
      </c>
      <c r="Y503" s="16" t="s">
        <v>4499</v>
      </c>
    </row>
    <row r="504">
      <c r="A504" s="6">
        <v>484.0</v>
      </c>
      <c r="B504" s="7" t="s">
        <v>4500</v>
      </c>
      <c r="C504" s="8" t="s">
        <v>4501</v>
      </c>
      <c r="D504" s="9" t="s">
        <v>32</v>
      </c>
      <c r="E504" s="7" t="s">
        <v>4502</v>
      </c>
      <c r="F504" s="9">
        <v>32.0</v>
      </c>
      <c r="G504" s="9">
        <v>1991.0</v>
      </c>
      <c r="H504" s="10">
        <v>29.0</v>
      </c>
      <c r="I504" s="11">
        <v>2.295</v>
      </c>
      <c r="J504" s="11">
        <v>79.0</v>
      </c>
      <c r="K504" s="11" t="s">
        <v>2388</v>
      </c>
      <c r="L504" s="11" t="s">
        <v>2389</v>
      </c>
      <c r="M504" s="41">
        <v>0.04861111111111111</v>
      </c>
      <c r="N504" s="11">
        <v>81.0</v>
      </c>
      <c r="O504" s="42">
        <v>0.049305555555555554</v>
      </c>
      <c r="P504" s="41">
        <v>0.002777777777777778</v>
      </c>
      <c r="Q504" s="11">
        <v>19.0</v>
      </c>
      <c r="R504" s="42">
        <v>0.002777777777777778</v>
      </c>
      <c r="S504" s="13">
        <v>0.05347222222222222</v>
      </c>
      <c r="T504" s="42">
        <v>0.07847222222222222</v>
      </c>
      <c r="U504" s="42">
        <v>0.09444444444444444</v>
      </c>
      <c r="V504" s="45">
        <v>-0.016666666666666666</v>
      </c>
      <c r="W504" s="15">
        <v>-0.016666666666666666</v>
      </c>
      <c r="X504" s="15">
        <v>-6.944444444444445E-4</v>
      </c>
      <c r="Y504" s="16" t="s">
        <v>4503</v>
      </c>
    </row>
    <row r="505">
      <c r="A505" s="6">
        <v>485.0</v>
      </c>
      <c r="B505" s="7" t="s">
        <v>4504</v>
      </c>
      <c r="C505" s="8" t="s">
        <v>4505</v>
      </c>
      <c r="D505" s="9" t="s">
        <v>45</v>
      </c>
      <c r="E505" s="7" t="s">
        <v>4506</v>
      </c>
      <c r="F505" s="9">
        <v>29.0</v>
      </c>
      <c r="G505" s="9">
        <v>1995.0</v>
      </c>
      <c r="H505" s="10">
        <v>2.0</v>
      </c>
      <c r="I505" s="11">
        <v>39.0</v>
      </c>
      <c r="J505" s="11">
        <v>20.0</v>
      </c>
      <c r="K505" s="11" t="s">
        <v>941</v>
      </c>
      <c r="L505" s="11" t="s">
        <v>318</v>
      </c>
      <c r="M505" s="46">
        <v>0.0</v>
      </c>
      <c r="N505" s="19"/>
      <c r="O505" s="43">
        <v>0.0</v>
      </c>
      <c r="P505" s="41">
        <v>0.20833333333333334</v>
      </c>
      <c r="Q505" s="11">
        <v>20.0</v>
      </c>
      <c r="R505" s="43">
        <v>0.0</v>
      </c>
      <c r="S505" s="13">
        <v>0.125</v>
      </c>
      <c r="T505" s="42">
        <v>0.11805555555555555</v>
      </c>
      <c r="U505" s="42">
        <v>0.11805555555555555</v>
      </c>
      <c r="V505" s="43">
        <v>0.0</v>
      </c>
      <c r="W505" s="21">
        <v>0.0</v>
      </c>
      <c r="X505" s="15">
        <v>-0.07083333333333333</v>
      </c>
      <c r="Y505" s="16" t="s">
        <v>4507</v>
      </c>
    </row>
    <row r="506">
      <c r="A506" s="6">
        <v>486.0</v>
      </c>
      <c r="B506" s="7" t="s">
        <v>4508</v>
      </c>
      <c r="C506" s="8" t="s">
        <v>4509</v>
      </c>
      <c r="D506" s="9" t="s">
        <v>52</v>
      </c>
      <c r="E506" s="7" t="s">
        <v>4510</v>
      </c>
      <c r="F506" s="9">
        <v>19.0</v>
      </c>
      <c r="G506" s="9">
        <v>2004.0</v>
      </c>
      <c r="H506" s="10">
        <v>3.0</v>
      </c>
      <c r="I506" s="11">
        <v>165.0</v>
      </c>
      <c r="J506" s="11">
        <v>55.0</v>
      </c>
      <c r="K506" s="11" t="s">
        <v>274</v>
      </c>
      <c r="L506" s="11" t="s">
        <v>2398</v>
      </c>
      <c r="M506" s="41">
        <v>0.03888888888888889</v>
      </c>
      <c r="N506" s="11">
        <v>90.0</v>
      </c>
      <c r="O506" s="42">
        <v>0.03888888888888889</v>
      </c>
      <c r="P506" s="41">
        <v>0.049305555555555554</v>
      </c>
      <c r="Q506" s="11">
        <v>38.0</v>
      </c>
      <c r="R506" s="42">
        <v>0.19722222222222222</v>
      </c>
      <c r="S506" s="13">
        <v>0.022916666666666665</v>
      </c>
      <c r="T506" s="42">
        <v>0.03888888888888889</v>
      </c>
      <c r="U506" s="42">
        <v>0.049305555555555554</v>
      </c>
      <c r="V506" s="45">
        <v>-0.03888888888888889</v>
      </c>
      <c r="W506" s="15">
        <v>-0.03819444444444445</v>
      </c>
      <c r="X506" s="15">
        <v>-0.022916666666666665</v>
      </c>
      <c r="Y506" s="16" t="s">
        <v>4511</v>
      </c>
    </row>
    <row r="507">
      <c r="A507" s="6">
        <v>487.0</v>
      </c>
      <c r="B507" s="7" t="s">
        <v>4512</v>
      </c>
      <c r="C507" s="8" t="s">
        <v>4513</v>
      </c>
      <c r="D507" s="9" t="s">
        <v>66</v>
      </c>
      <c r="E507" s="7" t="s">
        <v>4514</v>
      </c>
      <c r="F507" s="9">
        <v>23.0</v>
      </c>
      <c r="G507" s="9">
        <v>2000.0</v>
      </c>
      <c r="H507" s="10">
        <v>18.0</v>
      </c>
      <c r="I507" s="11">
        <v>1.167</v>
      </c>
      <c r="J507" s="11">
        <v>65.0</v>
      </c>
      <c r="K507" s="11" t="s">
        <v>2403</v>
      </c>
      <c r="L507" s="11" t="s">
        <v>691</v>
      </c>
      <c r="M507" s="41">
        <v>0.052083333333333336</v>
      </c>
      <c r="N507" s="11">
        <v>78.0</v>
      </c>
      <c r="O507" s="42">
        <v>0.0375</v>
      </c>
      <c r="P507" s="41">
        <v>0.01597222222222222</v>
      </c>
      <c r="Q507" s="11">
        <v>1.0</v>
      </c>
      <c r="R507" s="42">
        <v>0.04791666666666667</v>
      </c>
      <c r="S507" s="13">
        <v>0.05694444444444444</v>
      </c>
      <c r="T507" s="42">
        <v>0.05763888888888889</v>
      </c>
      <c r="U507" s="42">
        <v>0.06805555555555555</v>
      </c>
      <c r="V507" s="45">
        <v>-0.010416666666666666</v>
      </c>
      <c r="W507" s="15">
        <v>-0.010416666666666666</v>
      </c>
      <c r="X507" s="15">
        <v>-0.022916666666666665</v>
      </c>
      <c r="Y507" s="16" t="s">
        <v>4515</v>
      </c>
    </row>
    <row r="508">
      <c r="A508" s="6">
        <v>488.0</v>
      </c>
      <c r="B508" s="7" t="s">
        <v>4516</v>
      </c>
      <c r="C508" s="8" t="s">
        <v>4517</v>
      </c>
      <c r="D508" s="9" t="s">
        <v>32</v>
      </c>
      <c r="E508" s="7" t="s">
        <v>4518</v>
      </c>
      <c r="F508" s="9">
        <v>21.0</v>
      </c>
      <c r="G508" s="9">
        <v>2003.0</v>
      </c>
      <c r="H508" s="10">
        <v>7.0</v>
      </c>
      <c r="I508" s="11">
        <v>73.0</v>
      </c>
      <c r="J508" s="11">
        <v>10.0</v>
      </c>
      <c r="K508" s="11" t="s">
        <v>618</v>
      </c>
      <c r="L508" s="11" t="s">
        <v>245</v>
      </c>
      <c r="M508" s="46">
        <v>0.0</v>
      </c>
      <c r="N508" s="19"/>
      <c r="O508" s="43">
        <v>0.0</v>
      </c>
      <c r="P508" s="41">
        <v>0.3854166666666667</v>
      </c>
      <c r="Q508" s="11">
        <v>10.0</v>
      </c>
      <c r="R508" s="42">
        <v>0.11805555555555555</v>
      </c>
      <c r="S508" s="13">
        <v>0.03958333333333333</v>
      </c>
      <c r="T508" s="42">
        <v>0.17708333333333334</v>
      </c>
      <c r="U508" s="42">
        <v>0.059027777777777776</v>
      </c>
      <c r="V508" s="44">
        <v>0.11805555555555555</v>
      </c>
      <c r="W508" s="14" t="str">
        <f>+2.47</f>
        <v>#ERROR!</v>
      </c>
      <c r="X508" s="14" t="str">
        <f>+2.88</f>
        <v>#ERROR!</v>
      </c>
      <c r="Y508" s="16" t="s">
        <v>4519</v>
      </c>
    </row>
    <row r="509">
      <c r="A509" s="6">
        <v>489.0</v>
      </c>
      <c r="B509" s="7" t="s">
        <v>4520</v>
      </c>
      <c r="C509" s="8" t="s">
        <v>4521</v>
      </c>
      <c r="D509" s="9" t="s">
        <v>73</v>
      </c>
      <c r="E509" s="7" t="s">
        <v>4522</v>
      </c>
      <c r="F509" s="9">
        <v>19.0</v>
      </c>
      <c r="G509" s="9">
        <v>2004.0</v>
      </c>
      <c r="H509" s="18">
        <v>0.0</v>
      </c>
      <c r="I509" s="19"/>
      <c r="J509" s="19"/>
      <c r="K509" s="19"/>
      <c r="L509" s="19"/>
      <c r="M509" s="18">
        <v>0.0</v>
      </c>
      <c r="N509" s="19"/>
      <c r="O509" s="12">
        <v>0.0</v>
      </c>
      <c r="P509" s="18">
        <v>0.0</v>
      </c>
      <c r="Q509" s="19"/>
      <c r="R509" s="11">
        <v>5.0</v>
      </c>
      <c r="S509" s="24"/>
      <c r="T509" s="19"/>
      <c r="U509" s="19"/>
      <c r="V509" s="19"/>
      <c r="W509" s="19"/>
      <c r="X509" s="19"/>
      <c r="Y509" s="16" t="s">
        <v>4523</v>
      </c>
    </row>
    <row r="510">
      <c r="A510" s="6">
        <v>490.0</v>
      </c>
      <c r="B510" s="7" t="s">
        <v>4524</v>
      </c>
      <c r="C510" s="8" t="s">
        <v>4525</v>
      </c>
      <c r="D510" s="9" t="s">
        <v>66</v>
      </c>
      <c r="E510" s="7" t="s">
        <v>4526</v>
      </c>
      <c r="F510" s="9">
        <v>22.0</v>
      </c>
      <c r="G510" s="9">
        <v>2001.0</v>
      </c>
      <c r="H510" s="10">
        <v>28.0</v>
      </c>
      <c r="I510" s="11">
        <v>2.131</v>
      </c>
      <c r="J510" s="11">
        <v>76.0</v>
      </c>
      <c r="K510" s="11" t="s">
        <v>448</v>
      </c>
      <c r="L510" s="11" t="s">
        <v>449</v>
      </c>
      <c r="M510" s="41">
        <v>0.04513888888888889</v>
      </c>
      <c r="N510" s="11">
        <v>83.0</v>
      </c>
      <c r="O510" s="42">
        <v>0.06180555555555556</v>
      </c>
      <c r="P510" s="41">
        <v>0.009027777777777777</v>
      </c>
      <c r="Q510" s="11">
        <v>15.0</v>
      </c>
      <c r="R510" s="42">
        <v>0.002777777777777778</v>
      </c>
      <c r="S510" s="13">
        <v>0.05416666666666667</v>
      </c>
      <c r="T510" s="42">
        <v>0.05138888888888889</v>
      </c>
      <c r="U510" s="42">
        <v>0.07777777777777778</v>
      </c>
      <c r="V510" s="45">
        <v>-0.02638888888888889</v>
      </c>
      <c r="W510" s="15">
        <v>-0.02638888888888889</v>
      </c>
      <c r="X510" s="14" t="str">
        <f>+1.04</f>
        <v>#ERROR!</v>
      </c>
      <c r="Y510" s="16" t="s">
        <v>4527</v>
      </c>
    </row>
    <row r="511">
      <c r="A511" s="6">
        <v>491.0</v>
      </c>
      <c r="B511" s="7" t="s">
        <v>4528</v>
      </c>
      <c r="C511" s="8" t="s">
        <v>4529</v>
      </c>
      <c r="D511" s="9" t="s">
        <v>52</v>
      </c>
      <c r="E511" s="7" t="s">
        <v>4530</v>
      </c>
      <c r="F511" s="9">
        <v>20.0</v>
      </c>
      <c r="G511" s="9">
        <v>2003.0</v>
      </c>
      <c r="H511" s="10">
        <v>29.0</v>
      </c>
      <c r="I511" s="11">
        <v>2.525</v>
      </c>
      <c r="J511" s="11">
        <v>87.0</v>
      </c>
      <c r="K511" s="11" t="s">
        <v>2420</v>
      </c>
      <c r="L511" s="11" t="s">
        <v>1212</v>
      </c>
      <c r="M511" s="41">
        <v>0.04375</v>
      </c>
      <c r="N511" s="11">
        <v>87.0</v>
      </c>
      <c r="O511" s="42">
        <v>0.049305555555555554</v>
      </c>
      <c r="P511" s="46">
        <v>0.0</v>
      </c>
      <c r="Q511" s="19"/>
      <c r="R511" s="43">
        <v>0.0</v>
      </c>
      <c r="S511" s="13">
        <v>0.07013888888888889</v>
      </c>
      <c r="T511" s="42">
        <v>0.08611111111111111</v>
      </c>
      <c r="U511" s="42">
        <v>0.07361111111111111</v>
      </c>
      <c r="V511" s="44">
        <v>0.0125</v>
      </c>
      <c r="W511" s="14" t="str">
        <f>+0.18</f>
        <v>#ERROR!</v>
      </c>
      <c r="X511" s="14" t="str">
        <f>+2.24</f>
        <v>#ERROR!</v>
      </c>
      <c r="Y511" s="16" t="s">
        <v>4531</v>
      </c>
    </row>
    <row r="512">
      <c r="A512" s="6">
        <v>492.0</v>
      </c>
      <c r="B512" s="7" t="s">
        <v>4532</v>
      </c>
      <c r="C512" s="8" t="s">
        <v>4533</v>
      </c>
      <c r="D512" s="9" t="s">
        <v>66</v>
      </c>
      <c r="E512" s="7" t="s">
        <v>4534</v>
      </c>
      <c r="F512" s="9">
        <v>30.0</v>
      </c>
      <c r="G512" s="9">
        <v>1993.0</v>
      </c>
      <c r="H512" s="10">
        <v>30.0</v>
      </c>
      <c r="I512" s="11">
        <v>2.691</v>
      </c>
      <c r="J512" s="11">
        <v>90.0</v>
      </c>
      <c r="K512" s="11" t="s">
        <v>2425</v>
      </c>
      <c r="L512" s="11" t="s">
        <v>1554</v>
      </c>
      <c r="M512" s="41">
        <v>0.041666666666666664</v>
      </c>
      <c r="N512" s="11">
        <v>90.0</v>
      </c>
      <c r="O512" s="42">
        <v>0.06527777777777778</v>
      </c>
      <c r="P512" s="46">
        <v>0.0</v>
      </c>
      <c r="Q512" s="19"/>
      <c r="R512" s="43">
        <v>0.0</v>
      </c>
      <c r="S512" s="13">
        <v>0.08333333333333333</v>
      </c>
      <c r="T512" s="42">
        <v>0.05555555555555555</v>
      </c>
      <c r="U512" s="42">
        <v>0.04861111111111111</v>
      </c>
      <c r="V512" s="44">
        <v>0.006944444444444444</v>
      </c>
      <c r="W512" s="14" t="str">
        <f>+0.10</f>
        <v>#ERROR!</v>
      </c>
      <c r="X512" s="14" t="str">
        <f>+10.10</f>
        <v>#ERROR!</v>
      </c>
      <c r="Y512" s="16" t="s">
        <v>4535</v>
      </c>
    </row>
    <row r="513">
      <c r="A513" s="6">
        <v>493.0</v>
      </c>
      <c r="B513" s="7" t="s">
        <v>4536</v>
      </c>
      <c r="C513" s="8" t="s">
        <v>4537</v>
      </c>
      <c r="D513" s="9" t="s">
        <v>52</v>
      </c>
      <c r="E513" s="7" t="s">
        <v>4538</v>
      </c>
      <c r="F513" s="9">
        <v>18.0</v>
      </c>
      <c r="G513" s="9">
        <v>2005.0</v>
      </c>
      <c r="H513" s="10">
        <v>24.0</v>
      </c>
      <c r="I513" s="11">
        <v>1.317</v>
      </c>
      <c r="J513" s="11">
        <v>55.0</v>
      </c>
      <c r="K513" s="11" t="s">
        <v>2430</v>
      </c>
      <c r="L513" s="11" t="s">
        <v>106</v>
      </c>
      <c r="M513" s="41">
        <v>0.05763888888888889</v>
      </c>
      <c r="N513" s="11">
        <v>67.0</v>
      </c>
      <c r="O513" s="43">
        <v>0.0</v>
      </c>
      <c r="P513" s="41">
        <v>0.02847222222222222</v>
      </c>
      <c r="Q513" s="11">
        <v>20.0</v>
      </c>
      <c r="R513" s="42">
        <v>0.01875</v>
      </c>
      <c r="S513" s="13">
        <v>0.05763888888888889</v>
      </c>
      <c r="T513" s="42">
        <v>0.06180555555555556</v>
      </c>
      <c r="U513" s="42">
        <v>0.07708333333333334</v>
      </c>
      <c r="V513" s="45">
        <v>-0.043055555555555555</v>
      </c>
      <c r="W513" s="15">
        <v>-0.043055555555555555</v>
      </c>
      <c r="X513" s="15">
        <v>-0.00625</v>
      </c>
      <c r="Y513" s="16" t="s">
        <v>4539</v>
      </c>
    </row>
    <row r="514">
      <c r="A514" s="6">
        <v>494.0</v>
      </c>
      <c r="B514" s="7" t="s">
        <v>4540</v>
      </c>
      <c r="C514" s="8" t="s">
        <v>4541</v>
      </c>
      <c r="D514" s="9" t="s">
        <v>66</v>
      </c>
      <c r="E514" s="7" t="s">
        <v>4542</v>
      </c>
      <c r="F514" s="9">
        <v>27.0</v>
      </c>
      <c r="G514" s="9">
        <v>1996.0</v>
      </c>
      <c r="H514" s="10">
        <v>28.0</v>
      </c>
      <c r="I514" s="11">
        <v>2.475</v>
      </c>
      <c r="J514" s="11">
        <v>88.0</v>
      </c>
      <c r="K514" s="11" t="s">
        <v>2435</v>
      </c>
      <c r="L514" s="11" t="s">
        <v>2436</v>
      </c>
      <c r="M514" s="41">
        <v>0.043055555555555555</v>
      </c>
      <c r="N514" s="11">
        <v>88.0</v>
      </c>
      <c r="O514" s="42">
        <v>0.06805555555555555</v>
      </c>
      <c r="P514" s="46">
        <v>0.0</v>
      </c>
      <c r="Q514" s="19"/>
      <c r="R514" s="43">
        <v>0.0</v>
      </c>
      <c r="S514" s="13">
        <v>0.05416666666666667</v>
      </c>
      <c r="T514" s="42">
        <v>0.058333333333333334</v>
      </c>
      <c r="U514" s="42">
        <v>0.09375</v>
      </c>
      <c r="V514" s="45">
        <v>-0.035416666666666666</v>
      </c>
      <c r="W514" s="15">
        <v>-0.035416666666666666</v>
      </c>
      <c r="X514" s="14" t="str">
        <f>+2.29</f>
        <v>#ERROR!</v>
      </c>
      <c r="Y514" s="16" t="s">
        <v>4543</v>
      </c>
    </row>
    <row r="515">
      <c r="A515" s="6">
        <v>495.0</v>
      </c>
      <c r="B515" s="7" t="s">
        <v>4544</v>
      </c>
      <c r="C515" s="8" t="s">
        <v>4545</v>
      </c>
      <c r="D515" s="9" t="s">
        <v>52</v>
      </c>
      <c r="E515" s="7" t="s">
        <v>4546</v>
      </c>
      <c r="F515" s="9">
        <v>24.0</v>
      </c>
      <c r="G515" s="9">
        <v>1999.0</v>
      </c>
      <c r="H515" s="10">
        <v>28.0</v>
      </c>
      <c r="I515" s="11">
        <v>2.441</v>
      </c>
      <c r="J515" s="11">
        <v>87.0</v>
      </c>
      <c r="K515" s="11" t="s">
        <v>2441</v>
      </c>
      <c r="L515" s="11" t="s">
        <v>373</v>
      </c>
      <c r="M515" s="41">
        <v>0.041666666666666664</v>
      </c>
      <c r="N515" s="11">
        <v>90.0</v>
      </c>
      <c r="O515" s="42">
        <v>0.06388888888888888</v>
      </c>
      <c r="P515" s="41">
        <v>0.002777777777777778</v>
      </c>
      <c r="Q515" s="11">
        <v>22.0</v>
      </c>
      <c r="R515" s="43">
        <v>0.0</v>
      </c>
      <c r="S515" s="13">
        <v>0.044444444444444446</v>
      </c>
      <c r="T515" s="42">
        <v>0.041666666666666664</v>
      </c>
      <c r="U515" s="42">
        <v>0.06458333333333334</v>
      </c>
      <c r="V515" s="45">
        <v>-0.022916666666666665</v>
      </c>
      <c r="W515" s="15">
        <v>-0.022916666666666665</v>
      </c>
      <c r="X515" s="14" t="str">
        <f>+0.02</f>
        <v>#ERROR!</v>
      </c>
      <c r="Y515" s="16" t="s">
        <v>4547</v>
      </c>
    </row>
    <row r="516">
      <c r="A516" s="6">
        <v>496.0</v>
      </c>
      <c r="B516" s="7" t="s">
        <v>4548</v>
      </c>
      <c r="C516" s="8" t="s">
        <v>4549</v>
      </c>
      <c r="D516" s="9" t="s">
        <v>66</v>
      </c>
      <c r="E516" s="7" t="s">
        <v>4550</v>
      </c>
      <c r="F516" s="9">
        <v>24.0</v>
      </c>
      <c r="G516" s="9">
        <v>1999.0</v>
      </c>
      <c r="H516" s="10">
        <v>25.0</v>
      </c>
      <c r="I516" s="11">
        <v>1.569</v>
      </c>
      <c r="J516" s="11">
        <v>63.0</v>
      </c>
      <c r="K516" s="11" t="s">
        <v>2446</v>
      </c>
      <c r="L516" s="11" t="s">
        <v>1034</v>
      </c>
      <c r="M516" s="41">
        <v>0.06805555555555555</v>
      </c>
      <c r="N516" s="11">
        <v>82.0</v>
      </c>
      <c r="O516" s="42">
        <v>0.04375</v>
      </c>
      <c r="P516" s="41">
        <v>0.03194444444444444</v>
      </c>
      <c r="Q516" s="11">
        <v>22.0</v>
      </c>
      <c r="R516" s="42">
        <v>0.007638888888888889</v>
      </c>
      <c r="S516" s="13">
        <v>0.075</v>
      </c>
      <c r="T516" s="42">
        <v>0.059722222222222225</v>
      </c>
      <c r="U516" s="42">
        <v>0.05625</v>
      </c>
      <c r="V516" s="44">
        <v>0.004166666666666667</v>
      </c>
      <c r="W516" s="14" t="str">
        <f>+0.06</f>
        <v>#ERROR!</v>
      </c>
      <c r="X516" s="15">
        <v>-0.001388888888888889</v>
      </c>
      <c r="Y516" s="16" t="s">
        <v>4551</v>
      </c>
    </row>
    <row r="517">
      <c r="A517" s="6">
        <v>497.0</v>
      </c>
      <c r="B517" s="7" t="s">
        <v>4552</v>
      </c>
      <c r="C517" s="8" t="s">
        <v>4553</v>
      </c>
      <c r="D517" s="9" t="s">
        <v>66</v>
      </c>
      <c r="E517" s="7" t="s">
        <v>4554</v>
      </c>
      <c r="F517" s="9">
        <v>38.0</v>
      </c>
      <c r="G517" s="9">
        <v>1985.0</v>
      </c>
      <c r="H517" s="10">
        <v>15.0</v>
      </c>
      <c r="I517" s="11">
        <v>940.0</v>
      </c>
      <c r="J517" s="11">
        <v>63.0</v>
      </c>
      <c r="K517" s="11" t="s">
        <v>460</v>
      </c>
      <c r="L517" s="11" t="s">
        <v>461</v>
      </c>
      <c r="M517" s="41">
        <v>0.04583333333333333</v>
      </c>
      <c r="N517" s="11">
        <v>77.0</v>
      </c>
      <c r="O517" s="42">
        <v>0.03333333333333333</v>
      </c>
      <c r="P517" s="41">
        <v>0.02638888888888889</v>
      </c>
      <c r="Q517" s="11">
        <v>24.0</v>
      </c>
      <c r="R517" s="42">
        <v>0.013194444444444444</v>
      </c>
      <c r="S517" s="13">
        <v>0.04652777777777778</v>
      </c>
      <c r="T517" s="42">
        <v>0.06597222222222222</v>
      </c>
      <c r="U517" s="42">
        <v>0.09930555555555555</v>
      </c>
      <c r="V517" s="45">
        <v>-0.03333333333333333</v>
      </c>
      <c r="W517" s="15">
        <v>-0.03333333333333333</v>
      </c>
      <c r="X517" s="15">
        <v>-0.015277777777777777</v>
      </c>
      <c r="Y517" s="16" t="s">
        <v>4555</v>
      </c>
    </row>
    <row r="518">
      <c r="A518" s="6">
        <v>498.0</v>
      </c>
      <c r="B518" s="7" t="s">
        <v>4556</v>
      </c>
      <c r="C518" s="8" t="s">
        <v>4557</v>
      </c>
      <c r="D518" s="9" t="s">
        <v>284</v>
      </c>
      <c r="E518" s="7" t="s">
        <v>4558</v>
      </c>
      <c r="F518" s="9">
        <v>28.0</v>
      </c>
      <c r="G518" s="9">
        <v>1995.0</v>
      </c>
      <c r="H518" s="10">
        <v>6.0</v>
      </c>
      <c r="I518" s="11">
        <v>85.0</v>
      </c>
      <c r="J518" s="11">
        <v>14.0</v>
      </c>
      <c r="K518" s="11" t="s">
        <v>418</v>
      </c>
      <c r="L518" s="11" t="s">
        <v>194</v>
      </c>
      <c r="M518" s="46">
        <v>0.0</v>
      </c>
      <c r="N518" s="19"/>
      <c r="O518" s="43">
        <v>0.0</v>
      </c>
      <c r="P518" s="41">
        <v>0.2965277777777778</v>
      </c>
      <c r="Q518" s="11">
        <v>14.0</v>
      </c>
      <c r="R518" s="42">
        <v>0.09861111111111111</v>
      </c>
      <c r="S518" s="13">
        <v>0.05763888888888889</v>
      </c>
      <c r="T518" s="42">
        <v>0.049305555555555554</v>
      </c>
      <c r="U518" s="43">
        <v>0.0</v>
      </c>
      <c r="V518" s="44">
        <v>0.049305555555555554</v>
      </c>
      <c r="W518" s="14" t="str">
        <f>+1.06</f>
        <v>#ERROR!</v>
      </c>
      <c r="X518" s="14" t="str">
        <f>+1.68</f>
        <v>#ERROR!</v>
      </c>
      <c r="Y518" s="16" t="s">
        <v>4559</v>
      </c>
    </row>
    <row r="519">
      <c r="A519" s="6">
        <v>499.0</v>
      </c>
      <c r="B519" s="7" t="s">
        <v>4560</v>
      </c>
      <c r="C519" s="8" t="s">
        <v>4561</v>
      </c>
      <c r="D519" s="9" t="s">
        <v>32</v>
      </c>
      <c r="E519" s="7" t="s">
        <v>4562</v>
      </c>
      <c r="F519" s="9">
        <v>30.0</v>
      </c>
      <c r="G519" s="9">
        <v>1993.0</v>
      </c>
      <c r="H519" s="10">
        <v>3.0</v>
      </c>
      <c r="I519" s="11">
        <v>54.0</v>
      </c>
      <c r="J519" s="11">
        <v>18.0</v>
      </c>
      <c r="K519" s="11" t="s">
        <v>413</v>
      </c>
      <c r="L519" s="11" t="s">
        <v>47</v>
      </c>
      <c r="M519" s="46">
        <v>0.0</v>
      </c>
      <c r="N519" s="19"/>
      <c r="O519" s="43">
        <v>0.0</v>
      </c>
      <c r="P519" s="41">
        <v>0.20833333333333334</v>
      </c>
      <c r="Q519" s="11">
        <v>18.0</v>
      </c>
      <c r="R519" s="48" t="s">
        <v>268</v>
      </c>
      <c r="S519" s="20">
        <v>0.0</v>
      </c>
      <c r="T519" s="43">
        <v>0.0</v>
      </c>
      <c r="U519" s="42">
        <v>0.08819444444444445</v>
      </c>
      <c r="V519" s="45">
        <v>-0.08819444444444445</v>
      </c>
      <c r="W519" s="15">
        <v>-0.08819444444444445</v>
      </c>
      <c r="X519" s="15">
        <v>-0.04791666666666667</v>
      </c>
      <c r="Y519" s="16" t="s">
        <v>4563</v>
      </c>
    </row>
    <row r="520">
      <c r="A520" s="6">
        <v>500.0</v>
      </c>
      <c r="B520" s="7" t="s">
        <v>4564</v>
      </c>
      <c r="C520" s="8" t="s">
        <v>4565</v>
      </c>
      <c r="D520" s="9" t="s">
        <v>73</v>
      </c>
      <c r="E520" s="7" t="s">
        <v>4566</v>
      </c>
      <c r="F520" s="9">
        <v>25.0</v>
      </c>
      <c r="G520" s="9">
        <v>1998.0</v>
      </c>
      <c r="H520" s="10">
        <v>17.0</v>
      </c>
      <c r="I520" s="11">
        <v>1.53</v>
      </c>
      <c r="J520" s="11">
        <v>90.0</v>
      </c>
      <c r="K520" s="11" t="s">
        <v>760</v>
      </c>
      <c r="L520" s="11" t="s">
        <v>124</v>
      </c>
      <c r="M520" s="41">
        <v>0.041666666666666664</v>
      </c>
      <c r="N520" s="11">
        <v>90.0</v>
      </c>
      <c r="O520" s="42">
        <v>0.041666666666666664</v>
      </c>
      <c r="P520" s="46">
        <v>0.0</v>
      </c>
      <c r="Q520" s="19"/>
      <c r="R520" s="43">
        <v>0.0</v>
      </c>
      <c r="S520" s="13">
        <v>0.0875</v>
      </c>
      <c r="T520" s="42">
        <v>0.10277777777777777</v>
      </c>
      <c r="U520" s="42">
        <v>0.06527777777777778</v>
      </c>
      <c r="V520" s="44">
        <v>0.06527777777777778</v>
      </c>
      <c r="W520" s="14" t="str">
        <f>+0.94</f>
        <v>#ERROR!</v>
      </c>
      <c r="X520" s="14" t="str">
        <f>+1.40</f>
        <v>#ERROR!</v>
      </c>
      <c r="Y520" s="16" t="s">
        <v>4567</v>
      </c>
    </row>
    <row r="521">
      <c r="A521" s="25" t="s">
        <v>0</v>
      </c>
      <c r="B521" s="26" t="s">
        <v>1</v>
      </c>
      <c r="C521" s="27" t="s">
        <v>2</v>
      </c>
      <c r="D521" s="27" t="s">
        <v>3</v>
      </c>
      <c r="E521" s="27" t="s">
        <v>4</v>
      </c>
      <c r="F521" s="27" t="s">
        <v>5</v>
      </c>
      <c r="G521" s="27" t="s">
        <v>6</v>
      </c>
      <c r="H521" s="28" t="s">
        <v>7</v>
      </c>
      <c r="I521" s="27" t="s">
        <v>8</v>
      </c>
      <c r="J521" s="27" t="s">
        <v>9</v>
      </c>
      <c r="K521" s="27" t="s">
        <v>10</v>
      </c>
      <c r="L521" s="27" t="s">
        <v>11</v>
      </c>
      <c r="M521" s="28" t="s">
        <v>12</v>
      </c>
      <c r="N521" s="27" t="s">
        <v>13</v>
      </c>
      <c r="O521" s="27" t="s">
        <v>14</v>
      </c>
      <c r="P521" s="28" t="s">
        <v>15</v>
      </c>
      <c r="Q521" s="27" t="s">
        <v>16</v>
      </c>
      <c r="R521" s="27" t="s">
        <v>17</v>
      </c>
      <c r="S521" s="28" t="s">
        <v>18</v>
      </c>
      <c r="T521" s="27" t="s">
        <v>19</v>
      </c>
      <c r="U521" s="27" t="s">
        <v>20</v>
      </c>
      <c r="V521" s="29" t="str">
        <f>+/-</f>
        <v>#ERROR!</v>
      </c>
      <c r="W521" s="29" t="str">
        <f>+/-90</f>
        <v>#ERROR!</v>
      </c>
      <c r="X521" s="27" t="s">
        <v>21</v>
      </c>
      <c r="Y521" s="28" t="s">
        <v>22</v>
      </c>
    </row>
    <row r="522">
      <c r="A522" s="6">
        <v>501.0</v>
      </c>
      <c r="B522" s="7" t="s">
        <v>4568</v>
      </c>
      <c r="C522" s="8" t="s">
        <v>4569</v>
      </c>
      <c r="D522" s="9" t="s">
        <v>66</v>
      </c>
      <c r="E522" s="7" t="s">
        <v>4570</v>
      </c>
      <c r="F522" s="9">
        <v>29.0</v>
      </c>
      <c r="G522" s="9">
        <v>1994.0</v>
      </c>
      <c r="H522" s="10">
        <v>26.0</v>
      </c>
      <c r="I522" s="11">
        <v>2.188</v>
      </c>
      <c r="J522" s="11">
        <v>84.0</v>
      </c>
      <c r="K522" s="11" t="s">
        <v>2467</v>
      </c>
      <c r="L522" s="11" t="s">
        <v>876</v>
      </c>
      <c r="M522" s="41">
        <v>0.04375</v>
      </c>
      <c r="N522" s="11">
        <v>87.0</v>
      </c>
      <c r="O522" s="42">
        <v>0.05694444444444444</v>
      </c>
      <c r="P522" s="41">
        <v>0.002777777777777778</v>
      </c>
      <c r="Q522" s="11">
        <v>21.0</v>
      </c>
      <c r="R522" s="42">
        <v>0.002777777777777778</v>
      </c>
      <c r="S522" s="13">
        <v>0.07916666666666666</v>
      </c>
      <c r="T522" s="42">
        <v>0.09513888888888888</v>
      </c>
      <c r="U522" s="42">
        <v>0.06944444444444445</v>
      </c>
      <c r="V522" s="44">
        <v>0.025694444444444443</v>
      </c>
      <c r="W522" s="14" t="str">
        <f>+0.37</f>
        <v>#ERROR!</v>
      </c>
      <c r="X522" s="14" t="str">
        <f>+1.78</f>
        <v>#ERROR!</v>
      </c>
      <c r="Y522" s="16" t="s">
        <v>4571</v>
      </c>
    </row>
    <row r="523">
      <c r="A523" s="6">
        <v>502.0</v>
      </c>
      <c r="B523" s="7" t="s">
        <v>4572</v>
      </c>
      <c r="C523" s="8" t="s">
        <v>4573</v>
      </c>
      <c r="D523" s="9" t="s">
        <v>52</v>
      </c>
      <c r="E523" s="7" t="s">
        <v>4574</v>
      </c>
      <c r="F523" s="9">
        <v>24.0</v>
      </c>
      <c r="G523" s="9">
        <v>1999.0</v>
      </c>
      <c r="H523" s="10">
        <v>18.0</v>
      </c>
      <c r="I523" s="11">
        <v>357.0</v>
      </c>
      <c r="J523" s="11">
        <v>20.0</v>
      </c>
      <c r="K523" s="11" t="s">
        <v>2472</v>
      </c>
      <c r="L523" s="11" t="s">
        <v>755</v>
      </c>
      <c r="M523" s="41">
        <v>0.017361111111111112</v>
      </c>
      <c r="N523" s="11">
        <v>56.0</v>
      </c>
      <c r="O523" s="43">
        <v>0.0</v>
      </c>
      <c r="P523" s="41">
        <v>0.1840277777777778</v>
      </c>
      <c r="Q523" s="11">
        <v>18.0</v>
      </c>
      <c r="R523" s="42">
        <v>0.125</v>
      </c>
      <c r="S523" s="13">
        <v>0.022916666666666665</v>
      </c>
      <c r="T523" s="42">
        <v>0.052083333333333336</v>
      </c>
      <c r="U523" s="42">
        <v>0.10069444444444445</v>
      </c>
      <c r="V523" s="45">
        <v>-0.0763888888888889</v>
      </c>
      <c r="W523" s="15">
        <v>-0.07708333333333334</v>
      </c>
      <c r="X523" s="15">
        <v>-0.04513888888888889</v>
      </c>
      <c r="Y523" s="16" t="s">
        <v>4575</v>
      </c>
    </row>
    <row r="524">
      <c r="A524" s="6">
        <v>503.0</v>
      </c>
      <c r="B524" s="7" t="s">
        <v>4576</v>
      </c>
      <c r="C524" s="8" t="s">
        <v>4577</v>
      </c>
      <c r="D524" s="9" t="s">
        <v>52</v>
      </c>
      <c r="E524" s="7" t="s">
        <v>4578</v>
      </c>
      <c r="F524" s="9">
        <v>30.0</v>
      </c>
      <c r="G524" s="9">
        <v>1993.0</v>
      </c>
      <c r="H524" s="10">
        <v>24.0</v>
      </c>
      <c r="I524" s="11">
        <v>1.224</v>
      </c>
      <c r="J524" s="11">
        <v>51.0</v>
      </c>
      <c r="K524" s="11" t="s">
        <v>2477</v>
      </c>
      <c r="L524" s="11" t="s">
        <v>309</v>
      </c>
      <c r="M524" s="41">
        <v>0.04861111111111111</v>
      </c>
      <c r="N524" s="11">
        <v>68.0</v>
      </c>
      <c r="O524" s="42">
        <v>0.004861111111111111</v>
      </c>
      <c r="P524" s="41">
        <v>0.04583333333333333</v>
      </c>
      <c r="Q524" s="11">
        <v>23.0</v>
      </c>
      <c r="R524" s="43">
        <v>0.0</v>
      </c>
      <c r="S524" s="13">
        <v>0.09375</v>
      </c>
      <c r="T524" s="42">
        <v>0.07430555555555556</v>
      </c>
      <c r="U524" s="42">
        <v>0.07916666666666666</v>
      </c>
      <c r="V524" s="45">
        <v>-0.004861111111111111</v>
      </c>
      <c r="W524" s="15">
        <v>-0.004861111111111111</v>
      </c>
      <c r="X524" s="15">
        <v>-0.05138888888888889</v>
      </c>
      <c r="Y524" s="16" t="s">
        <v>4579</v>
      </c>
    </row>
    <row r="525">
      <c r="A525" s="6">
        <v>504.0</v>
      </c>
      <c r="B525" s="7" t="s">
        <v>4580</v>
      </c>
      <c r="C525" s="8" t="s">
        <v>4581</v>
      </c>
      <c r="D525" s="9" t="s">
        <v>52</v>
      </c>
      <c r="E525" s="7" t="s">
        <v>4582</v>
      </c>
      <c r="F525" s="9">
        <v>20.0</v>
      </c>
      <c r="G525" s="9">
        <v>2003.0</v>
      </c>
      <c r="H525" s="10">
        <v>24.0</v>
      </c>
      <c r="I525" s="11">
        <v>1.722</v>
      </c>
      <c r="J525" s="11">
        <v>72.0</v>
      </c>
      <c r="K525" s="11" t="s">
        <v>2482</v>
      </c>
      <c r="L525" s="11" t="s">
        <v>2079</v>
      </c>
      <c r="M525" s="41">
        <v>0.06875</v>
      </c>
      <c r="N525" s="11">
        <v>86.0</v>
      </c>
      <c r="O525" s="42">
        <v>0.050694444444444445</v>
      </c>
      <c r="P525" s="41">
        <v>0.018055555555555554</v>
      </c>
      <c r="Q525" s="11">
        <v>16.0</v>
      </c>
      <c r="R525" s="42">
        <v>0.018055555555555554</v>
      </c>
      <c r="S525" s="13">
        <v>0.07083333333333333</v>
      </c>
      <c r="T525" s="42">
        <v>0.08888888888888889</v>
      </c>
      <c r="U525" s="42">
        <v>0.06666666666666667</v>
      </c>
      <c r="V525" s="44">
        <v>0.021527777777777778</v>
      </c>
      <c r="W525" s="14" t="str">
        <f>+0.31</f>
        <v>#ERROR!</v>
      </c>
      <c r="X525" s="14" t="str">
        <f>+0.77</f>
        <v>#ERROR!</v>
      </c>
      <c r="Y525" s="16" t="s">
        <v>4583</v>
      </c>
    </row>
    <row r="526">
      <c r="A526" s="6">
        <v>505.0</v>
      </c>
      <c r="B526" s="7" t="s">
        <v>4584</v>
      </c>
      <c r="C526" s="8" t="s">
        <v>4585</v>
      </c>
      <c r="D526" s="9" t="s">
        <v>66</v>
      </c>
      <c r="E526" s="7" t="s">
        <v>4586</v>
      </c>
      <c r="F526" s="9">
        <v>22.0</v>
      </c>
      <c r="G526" s="9">
        <v>2001.0</v>
      </c>
      <c r="H526" s="10">
        <v>23.0</v>
      </c>
      <c r="I526" s="11">
        <v>1.867</v>
      </c>
      <c r="J526" s="11">
        <v>81.0</v>
      </c>
      <c r="K526" s="11" t="s">
        <v>2487</v>
      </c>
      <c r="L526" s="11" t="s">
        <v>2009</v>
      </c>
      <c r="M526" s="41">
        <v>0.04583333333333333</v>
      </c>
      <c r="N526" s="11">
        <v>84.0</v>
      </c>
      <c r="O526" s="42">
        <v>0.05347222222222222</v>
      </c>
      <c r="P526" s="41">
        <v>0.003472222222222222</v>
      </c>
      <c r="Q526" s="11">
        <v>11.0</v>
      </c>
      <c r="R526" s="42">
        <v>0.006944444444444444</v>
      </c>
      <c r="S526" s="13">
        <v>0.09305555555555556</v>
      </c>
      <c r="T526" s="42">
        <v>0.06597222222222222</v>
      </c>
      <c r="U526" s="42">
        <v>0.04236111111111111</v>
      </c>
      <c r="V526" s="44">
        <v>0.02361111111111111</v>
      </c>
      <c r="W526" s="14" t="str">
        <f>+0.34</f>
        <v>#ERROR!</v>
      </c>
      <c r="X526" s="14" t="str">
        <f>+0.12</f>
        <v>#ERROR!</v>
      </c>
      <c r="Y526" s="16" t="s">
        <v>4587</v>
      </c>
    </row>
    <row r="527">
      <c r="A527" s="6">
        <v>506.0</v>
      </c>
      <c r="B527" s="7" t="s">
        <v>4588</v>
      </c>
      <c r="C527" s="8" t="s">
        <v>4589</v>
      </c>
      <c r="D527" s="9" t="s">
        <v>52</v>
      </c>
      <c r="E527" s="7" t="s">
        <v>4590</v>
      </c>
      <c r="F527" s="9">
        <v>17.0</v>
      </c>
      <c r="G527" s="9">
        <v>2006.0</v>
      </c>
      <c r="H527" s="10">
        <v>2.0</v>
      </c>
      <c r="I527" s="11">
        <v>46.0</v>
      </c>
      <c r="J527" s="11">
        <v>23.0</v>
      </c>
      <c r="K527" s="11" t="s">
        <v>200</v>
      </c>
      <c r="L527" s="11" t="s">
        <v>201</v>
      </c>
      <c r="M527" s="46">
        <v>0.0</v>
      </c>
      <c r="N527" s="19"/>
      <c r="O527" s="43">
        <v>0.0</v>
      </c>
      <c r="P527" s="41">
        <v>0.16666666666666666</v>
      </c>
      <c r="Q527" s="11">
        <v>23.0</v>
      </c>
      <c r="R527" s="48" t="s">
        <v>1335</v>
      </c>
      <c r="S527" s="13">
        <v>0.125</v>
      </c>
      <c r="T527" s="43">
        <v>0.0</v>
      </c>
      <c r="U527" s="43">
        <v>0.0</v>
      </c>
      <c r="V527" s="43">
        <v>0.0</v>
      </c>
      <c r="W527" s="21">
        <v>0.0</v>
      </c>
      <c r="X527" s="15">
        <v>-0.011805555555555555</v>
      </c>
      <c r="Y527" s="16" t="s">
        <v>4591</v>
      </c>
    </row>
    <row r="528">
      <c r="A528" s="6">
        <v>507.0</v>
      </c>
      <c r="B528" s="7" t="s">
        <v>4592</v>
      </c>
      <c r="C528" s="8" t="s">
        <v>4593</v>
      </c>
      <c r="D528" s="9" t="s">
        <v>284</v>
      </c>
      <c r="E528" s="7" t="s">
        <v>4594</v>
      </c>
      <c r="F528" s="9">
        <v>33.0</v>
      </c>
      <c r="G528" s="9">
        <v>1990.0</v>
      </c>
      <c r="H528" s="10">
        <v>20.0</v>
      </c>
      <c r="I528" s="11">
        <v>1.313</v>
      </c>
      <c r="J528" s="11">
        <v>66.0</v>
      </c>
      <c r="K528" s="11" t="s">
        <v>2496</v>
      </c>
      <c r="L528" s="11" t="s">
        <v>106</v>
      </c>
      <c r="M528" s="41">
        <v>0.06666666666666667</v>
      </c>
      <c r="N528" s="11">
        <v>84.0</v>
      </c>
      <c r="O528" s="42">
        <v>0.043055555555555555</v>
      </c>
      <c r="P528" s="41">
        <v>0.02847222222222222</v>
      </c>
      <c r="Q528" s="11">
        <v>23.0</v>
      </c>
      <c r="R528" s="42">
        <v>0.04722222222222222</v>
      </c>
      <c r="S528" s="13">
        <v>0.06597222222222222</v>
      </c>
      <c r="T528" s="42">
        <v>0.05763888888888889</v>
      </c>
      <c r="U528" s="42">
        <v>0.05277777777777778</v>
      </c>
      <c r="V528" s="44">
        <v>0.004861111111111111</v>
      </c>
      <c r="W528" s="14" t="str">
        <f>+0.07</f>
        <v>#ERROR!</v>
      </c>
      <c r="X528" s="14" t="str">
        <f>+0.78</f>
        <v>#ERROR!</v>
      </c>
      <c r="Y528" s="16" t="s">
        <v>4595</v>
      </c>
    </row>
    <row r="529">
      <c r="A529" s="6">
        <v>508.0</v>
      </c>
      <c r="B529" s="7" t="s">
        <v>4596</v>
      </c>
      <c r="C529" s="8" t="s">
        <v>4597</v>
      </c>
      <c r="D529" s="9" t="s">
        <v>66</v>
      </c>
      <c r="E529" s="7" t="s">
        <v>4598</v>
      </c>
      <c r="F529" s="9">
        <v>23.0</v>
      </c>
      <c r="G529" s="9">
        <v>2001.0</v>
      </c>
      <c r="H529" s="10">
        <v>2.0</v>
      </c>
      <c r="I529" s="11">
        <v>172.0</v>
      </c>
      <c r="J529" s="11">
        <v>86.0</v>
      </c>
      <c r="K529" s="11" t="s">
        <v>1840</v>
      </c>
      <c r="L529" s="11" t="s">
        <v>1407</v>
      </c>
      <c r="M529" s="41">
        <v>0.04513888888888889</v>
      </c>
      <c r="N529" s="11">
        <v>86.0</v>
      </c>
      <c r="O529" s="42">
        <v>0.03680555555555556</v>
      </c>
      <c r="P529" s="46">
        <v>0.0</v>
      </c>
      <c r="Q529" s="19"/>
      <c r="R529" s="43">
        <v>0.0</v>
      </c>
      <c r="S529" s="13">
        <v>0.0763888888888889</v>
      </c>
      <c r="T529" s="42">
        <v>0.08194444444444444</v>
      </c>
      <c r="U529" s="42">
        <v>0.08194444444444444</v>
      </c>
      <c r="V529" s="43">
        <v>0.0</v>
      </c>
      <c r="W529" s="21">
        <v>0.0</v>
      </c>
      <c r="X529" s="15">
        <v>-0.05694444444444444</v>
      </c>
      <c r="Y529" s="16" t="s">
        <v>4599</v>
      </c>
    </row>
    <row r="530">
      <c r="A530" s="6">
        <v>509.0</v>
      </c>
      <c r="B530" s="7" t="s">
        <v>4600</v>
      </c>
      <c r="C530" s="8" t="s">
        <v>4601</v>
      </c>
      <c r="D530" s="9" t="s">
        <v>52</v>
      </c>
      <c r="E530" s="7" t="s">
        <v>4602</v>
      </c>
      <c r="F530" s="9">
        <v>18.0</v>
      </c>
      <c r="G530" s="9">
        <v>2005.0</v>
      </c>
      <c r="H530" s="10">
        <v>11.0</v>
      </c>
      <c r="I530" s="11">
        <v>956.0</v>
      </c>
      <c r="J530" s="11">
        <v>87.0</v>
      </c>
      <c r="K530" s="11" t="s">
        <v>1258</v>
      </c>
      <c r="L530" s="11" t="s">
        <v>901</v>
      </c>
      <c r="M530" s="41">
        <v>0.044444444444444446</v>
      </c>
      <c r="N530" s="11">
        <v>87.0</v>
      </c>
      <c r="O530" s="42">
        <v>0.059027777777777776</v>
      </c>
      <c r="P530" s="46">
        <v>0.0</v>
      </c>
      <c r="Q530" s="19"/>
      <c r="R530" s="43">
        <v>0.0</v>
      </c>
      <c r="S530" s="13">
        <v>0.041666666666666664</v>
      </c>
      <c r="T530" s="42">
        <v>0.044444444444444446</v>
      </c>
      <c r="U530" s="42">
        <v>0.09652777777777778</v>
      </c>
      <c r="V530" s="45">
        <v>-0.052083333333333336</v>
      </c>
      <c r="W530" s="15">
        <v>-0.052083333333333336</v>
      </c>
      <c r="X530" s="15">
        <v>-0.04513888888888889</v>
      </c>
      <c r="Y530" s="16" t="s">
        <v>4603</v>
      </c>
    </row>
    <row r="531">
      <c r="A531" s="6">
        <v>510.0</v>
      </c>
      <c r="B531" s="7" t="s">
        <v>4604</v>
      </c>
      <c r="C531" s="8" t="s">
        <v>4605</v>
      </c>
      <c r="D531" s="9" t="s">
        <v>66</v>
      </c>
      <c r="E531" s="7" t="s">
        <v>4606</v>
      </c>
      <c r="F531" s="9">
        <v>19.0</v>
      </c>
      <c r="G531" s="9">
        <v>2004.0</v>
      </c>
      <c r="H531" s="10">
        <v>1.0</v>
      </c>
      <c r="I531" s="11">
        <v>6.0</v>
      </c>
      <c r="J531" s="11">
        <v>6.0</v>
      </c>
      <c r="K531" s="11" t="s">
        <v>48</v>
      </c>
      <c r="L531" s="11" t="s">
        <v>155</v>
      </c>
      <c r="M531" s="46">
        <v>0.0</v>
      </c>
      <c r="N531" s="19"/>
      <c r="O531" s="43">
        <v>0.0</v>
      </c>
      <c r="P531" s="47" t="s">
        <v>268</v>
      </c>
      <c r="Q531" s="11">
        <v>6.0</v>
      </c>
      <c r="R531" s="48" t="s">
        <v>1505</v>
      </c>
      <c r="S531" s="13">
        <v>0.041666666666666664</v>
      </c>
      <c r="T531" s="48" t="s">
        <v>268</v>
      </c>
      <c r="U531" s="43">
        <v>0.0</v>
      </c>
      <c r="V531" s="49" t="s">
        <v>268</v>
      </c>
      <c r="W531" s="14" t="str">
        <f>+15.00</f>
        <v>#ERROR!</v>
      </c>
      <c r="X531" s="14" t="str">
        <f>+15.37</f>
        <v>#ERROR!</v>
      </c>
      <c r="Y531" s="16" t="s">
        <v>4607</v>
      </c>
    </row>
    <row r="532">
      <c r="A532" s="6">
        <v>511.0</v>
      </c>
      <c r="B532" s="7" t="s">
        <v>4608</v>
      </c>
      <c r="C532" s="8" t="s">
        <v>4609</v>
      </c>
      <c r="D532" s="9" t="s">
        <v>66</v>
      </c>
      <c r="E532" s="7" t="s">
        <v>4610</v>
      </c>
      <c r="F532" s="9">
        <v>23.0</v>
      </c>
      <c r="G532" s="9">
        <v>2001.0</v>
      </c>
      <c r="H532" s="10">
        <v>22.0</v>
      </c>
      <c r="I532" s="11">
        <v>1.957</v>
      </c>
      <c r="J532" s="11">
        <v>89.0</v>
      </c>
      <c r="K532" s="11" t="s">
        <v>1058</v>
      </c>
      <c r="L532" s="11" t="s">
        <v>863</v>
      </c>
      <c r="M532" s="41">
        <v>0.04236111111111111</v>
      </c>
      <c r="N532" s="11">
        <v>89.0</v>
      </c>
      <c r="O532" s="42">
        <v>0.06388888888888888</v>
      </c>
      <c r="P532" s="46">
        <v>0.0</v>
      </c>
      <c r="Q532" s="19"/>
      <c r="R532" s="42">
        <v>0.003472222222222222</v>
      </c>
      <c r="S532" s="13">
        <v>0.08611111111111111</v>
      </c>
      <c r="T532" s="42">
        <v>0.09097222222222222</v>
      </c>
      <c r="U532" s="42">
        <v>0.07777777777777778</v>
      </c>
      <c r="V532" s="44">
        <v>0.0125</v>
      </c>
      <c r="W532" s="14" t="str">
        <f>+0.18</f>
        <v>#ERROR!</v>
      </c>
      <c r="X532" s="15">
        <v>-0.020833333333333332</v>
      </c>
      <c r="Y532" s="16" t="s">
        <v>4611</v>
      </c>
    </row>
    <row r="533">
      <c r="A533" s="6">
        <v>512.0</v>
      </c>
      <c r="B533" s="7" t="s">
        <v>4612</v>
      </c>
      <c r="C533" s="8" t="s">
        <v>4613</v>
      </c>
      <c r="D533" s="9" t="s">
        <v>52</v>
      </c>
      <c r="E533" s="7" t="s">
        <v>4614</v>
      </c>
      <c r="F533" s="9">
        <v>24.0</v>
      </c>
      <c r="G533" s="9">
        <v>1999.0</v>
      </c>
      <c r="H533" s="10">
        <v>8.0</v>
      </c>
      <c r="I533" s="11">
        <v>146.0</v>
      </c>
      <c r="J533" s="11">
        <v>18.0</v>
      </c>
      <c r="K533" s="11" t="s">
        <v>1289</v>
      </c>
      <c r="L533" s="11" t="s">
        <v>1415</v>
      </c>
      <c r="M533" s="41">
        <v>0.04375</v>
      </c>
      <c r="N533" s="11">
        <v>67.0</v>
      </c>
      <c r="O533" s="43">
        <v>0.0</v>
      </c>
      <c r="P533" s="41">
        <v>0.19305555555555556</v>
      </c>
      <c r="Q533" s="11">
        <v>11.0</v>
      </c>
      <c r="R533" s="42">
        <v>0.17708333333333334</v>
      </c>
      <c r="S533" s="13">
        <v>0.041666666666666664</v>
      </c>
      <c r="T533" s="42">
        <v>0.10277777777777777</v>
      </c>
      <c r="U533" s="42">
        <v>0.10277777777777777</v>
      </c>
      <c r="V533" s="43">
        <v>0.0</v>
      </c>
      <c r="W533" s="21">
        <v>0.0</v>
      </c>
      <c r="X533" s="14" t="str">
        <f>+0.70</f>
        <v>#ERROR!</v>
      </c>
      <c r="Y533" s="16" t="s">
        <v>4615</v>
      </c>
    </row>
    <row r="534">
      <c r="A534" s="6">
        <v>513.0</v>
      </c>
      <c r="B534" s="7" t="s">
        <v>4616</v>
      </c>
      <c r="C534" s="8" t="s">
        <v>4617</v>
      </c>
      <c r="D534" s="9" t="s">
        <v>32</v>
      </c>
      <c r="E534" s="7" t="s">
        <v>4618</v>
      </c>
      <c r="F534" s="9">
        <v>23.0</v>
      </c>
      <c r="G534" s="9">
        <v>2000.0</v>
      </c>
      <c r="H534" s="10">
        <v>23.0</v>
      </c>
      <c r="I534" s="11">
        <v>1.323</v>
      </c>
      <c r="J534" s="11">
        <v>58.0</v>
      </c>
      <c r="K534" s="11" t="s">
        <v>2521</v>
      </c>
      <c r="L534" s="11" t="s">
        <v>2522</v>
      </c>
      <c r="M534" s="41">
        <v>0.04791666666666667</v>
      </c>
      <c r="N534" s="11">
        <v>73.0</v>
      </c>
      <c r="O534" s="42">
        <v>0.013888888888888888</v>
      </c>
      <c r="P534" s="41">
        <v>0.03333333333333333</v>
      </c>
      <c r="Q534" s="11">
        <v>22.0</v>
      </c>
      <c r="R534" s="42">
        <v>0.009722222222222222</v>
      </c>
      <c r="S534" s="13">
        <v>0.07777777777777778</v>
      </c>
      <c r="T534" s="42">
        <v>0.09097222222222222</v>
      </c>
      <c r="U534" s="42">
        <v>0.0763888888888889</v>
      </c>
      <c r="V534" s="44">
        <v>0.04236111111111111</v>
      </c>
      <c r="W534" s="14" t="str">
        <f>+0.61</f>
        <v>#ERROR!</v>
      </c>
      <c r="X534" s="14" t="str">
        <f>+1.00</f>
        <v>#ERROR!</v>
      </c>
      <c r="Y534" s="16" t="s">
        <v>4619</v>
      </c>
    </row>
    <row r="535">
      <c r="A535" s="6">
        <v>514.0</v>
      </c>
      <c r="B535" s="7" t="s">
        <v>4620</v>
      </c>
      <c r="C535" s="8" t="s">
        <v>4621</v>
      </c>
      <c r="D535" s="9" t="s">
        <v>52</v>
      </c>
      <c r="E535" s="7" t="s">
        <v>4622</v>
      </c>
      <c r="F535" s="9">
        <v>17.0</v>
      </c>
      <c r="G535" s="9">
        <v>2006.0</v>
      </c>
      <c r="H535" s="18">
        <v>0.0</v>
      </c>
      <c r="I535" s="19"/>
      <c r="J535" s="19"/>
      <c r="K535" s="19"/>
      <c r="L535" s="19"/>
      <c r="M535" s="18">
        <v>0.0</v>
      </c>
      <c r="N535" s="19"/>
      <c r="O535" s="12">
        <v>0.0</v>
      </c>
      <c r="P535" s="18">
        <v>0.0</v>
      </c>
      <c r="Q535" s="19"/>
      <c r="R535" s="11">
        <v>1.0</v>
      </c>
      <c r="S535" s="24"/>
      <c r="T535" s="19"/>
      <c r="U535" s="19"/>
      <c r="V535" s="19"/>
      <c r="W535" s="19"/>
      <c r="X535" s="19"/>
      <c r="Y535" s="16" t="s">
        <v>4623</v>
      </c>
    </row>
    <row r="536">
      <c r="A536" s="6">
        <v>515.0</v>
      </c>
      <c r="B536" s="7" t="s">
        <v>4624</v>
      </c>
      <c r="C536" s="8" t="s">
        <v>4625</v>
      </c>
      <c r="D536" s="9" t="s">
        <v>66</v>
      </c>
      <c r="E536" s="7" t="s">
        <v>4626</v>
      </c>
      <c r="F536" s="9">
        <v>18.0</v>
      </c>
      <c r="G536" s="9">
        <v>2005.0</v>
      </c>
      <c r="H536" s="10">
        <v>14.0</v>
      </c>
      <c r="I536" s="11">
        <v>965.0</v>
      </c>
      <c r="J536" s="11">
        <v>69.0</v>
      </c>
      <c r="K536" s="11" t="s">
        <v>2531</v>
      </c>
      <c r="L536" s="11" t="s">
        <v>330</v>
      </c>
      <c r="M536" s="41">
        <v>0.06458333333333334</v>
      </c>
      <c r="N536" s="11">
        <v>90.0</v>
      </c>
      <c r="O536" s="42">
        <v>0.058333333333333334</v>
      </c>
      <c r="P536" s="41">
        <v>0.025694444444444443</v>
      </c>
      <c r="Q536" s="11">
        <v>17.0</v>
      </c>
      <c r="R536" s="42">
        <v>0.058333333333333334</v>
      </c>
      <c r="S536" s="13">
        <v>0.09791666666666667</v>
      </c>
      <c r="T536" s="42">
        <v>0.08888888888888889</v>
      </c>
      <c r="U536" s="42">
        <v>0.06458333333333334</v>
      </c>
      <c r="V536" s="44">
        <v>0.052083333333333336</v>
      </c>
      <c r="W536" s="14" t="str">
        <f>+0.75</f>
        <v>#ERROR!</v>
      </c>
      <c r="X536" s="15">
        <v>-0.043055555555555555</v>
      </c>
      <c r="Y536" s="16" t="s">
        <v>4627</v>
      </c>
    </row>
    <row r="537">
      <c r="A537" s="6">
        <v>516.0</v>
      </c>
      <c r="B537" s="7" t="s">
        <v>4628</v>
      </c>
      <c r="C537" s="8" t="s">
        <v>4629</v>
      </c>
      <c r="D537" s="9" t="s">
        <v>66</v>
      </c>
      <c r="E537" s="7" t="s">
        <v>4630</v>
      </c>
      <c r="F537" s="9">
        <v>19.0</v>
      </c>
      <c r="G537" s="9">
        <v>2004.0</v>
      </c>
      <c r="H537" s="10">
        <v>5.0</v>
      </c>
      <c r="I537" s="11">
        <v>289.0</v>
      </c>
      <c r="J537" s="11">
        <v>58.0</v>
      </c>
      <c r="K537" s="11" t="s">
        <v>330</v>
      </c>
      <c r="L537" s="11" t="s">
        <v>902</v>
      </c>
      <c r="M537" s="41">
        <v>0.04375</v>
      </c>
      <c r="N537" s="11">
        <v>85.0</v>
      </c>
      <c r="O537" s="42">
        <v>0.021527777777777778</v>
      </c>
      <c r="P537" s="41">
        <v>0.06527777777777778</v>
      </c>
      <c r="Q537" s="11">
        <v>40.0</v>
      </c>
      <c r="R537" s="42">
        <v>0.08055555555555556</v>
      </c>
      <c r="S537" s="13">
        <v>0.041666666666666664</v>
      </c>
      <c r="T537" s="42">
        <v>0.06527777777777778</v>
      </c>
      <c r="U537" s="42">
        <v>0.059027777777777776</v>
      </c>
      <c r="V537" s="45">
        <v>-0.021527777777777778</v>
      </c>
      <c r="W537" s="15">
        <v>-0.021527777777777778</v>
      </c>
      <c r="X537" s="15">
        <v>-0.03194444444444444</v>
      </c>
      <c r="Y537" s="16" t="s">
        <v>4631</v>
      </c>
    </row>
    <row r="538">
      <c r="A538" s="6">
        <v>517.0</v>
      </c>
      <c r="B538" s="7" t="s">
        <v>4632</v>
      </c>
      <c r="C538" s="8" t="s">
        <v>4633</v>
      </c>
      <c r="D538" s="9" t="s">
        <v>45</v>
      </c>
      <c r="E538" s="7" t="s">
        <v>4634</v>
      </c>
      <c r="F538" s="9">
        <v>26.0</v>
      </c>
      <c r="G538" s="9">
        <v>1997.0</v>
      </c>
      <c r="H538" s="10">
        <v>29.0</v>
      </c>
      <c r="I538" s="11">
        <v>2.061</v>
      </c>
      <c r="J538" s="11">
        <v>71.0</v>
      </c>
      <c r="K538" s="11" t="s">
        <v>515</v>
      </c>
      <c r="L538" s="11" t="s">
        <v>516</v>
      </c>
      <c r="M538" s="41">
        <v>0.04513888888888889</v>
      </c>
      <c r="N538" s="11">
        <v>79.0</v>
      </c>
      <c r="O538" s="42">
        <v>0.021527777777777778</v>
      </c>
      <c r="P538" s="41">
        <v>0.015277777777777777</v>
      </c>
      <c r="Q538" s="11">
        <v>31.0</v>
      </c>
      <c r="R538" s="43">
        <v>0.0</v>
      </c>
      <c r="S538" s="13">
        <v>0.06736111111111111</v>
      </c>
      <c r="T538" s="42">
        <v>0.06388888888888888</v>
      </c>
      <c r="U538" s="42">
        <v>0.06597222222222222</v>
      </c>
      <c r="V538" s="45">
        <v>-0.030555555555555555</v>
      </c>
      <c r="W538" s="15">
        <v>-0.030555555555555555</v>
      </c>
      <c r="X538" s="15">
        <v>-0.030555555555555555</v>
      </c>
      <c r="Y538" s="16" t="s">
        <v>4635</v>
      </c>
    </row>
    <row r="539">
      <c r="A539" s="6">
        <v>518.0</v>
      </c>
      <c r="B539" s="7" t="s">
        <v>4636</v>
      </c>
      <c r="C539" s="8" t="s">
        <v>4637</v>
      </c>
      <c r="D539" s="9" t="s">
        <v>52</v>
      </c>
      <c r="E539" s="7" t="s">
        <v>4638</v>
      </c>
      <c r="F539" s="9">
        <v>17.0</v>
      </c>
      <c r="G539" s="9">
        <v>2007.0</v>
      </c>
      <c r="H539" s="18">
        <v>0.0</v>
      </c>
      <c r="I539" s="19"/>
      <c r="J539" s="19"/>
      <c r="K539" s="19"/>
      <c r="L539" s="19"/>
      <c r="M539" s="18">
        <v>0.0</v>
      </c>
      <c r="N539" s="19"/>
      <c r="O539" s="12">
        <v>0.0</v>
      </c>
      <c r="P539" s="18">
        <v>0.0</v>
      </c>
      <c r="Q539" s="19"/>
      <c r="R539" s="11">
        <v>1.0</v>
      </c>
      <c r="S539" s="24"/>
      <c r="T539" s="19"/>
      <c r="U539" s="19"/>
      <c r="V539" s="19"/>
      <c r="W539" s="19"/>
      <c r="X539" s="19"/>
      <c r="Y539" s="16" t="s">
        <v>4639</v>
      </c>
    </row>
    <row r="540">
      <c r="A540" s="6">
        <v>519.0</v>
      </c>
      <c r="B540" s="7" t="s">
        <v>4640</v>
      </c>
      <c r="C540" s="8" t="s">
        <v>4641</v>
      </c>
      <c r="D540" s="9" t="s">
        <v>45</v>
      </c>
      <c r="E540" s="7" t="s">
        <v>4642</v>
      </c>
      <c r="F540" s="9">
        <v>28.0</v>
      </c>
      <c r="G540" s="9">
        <v>1995.0</v>
      </c>
      <c r="H540" s="10">
        <v>27.0</v>
      </c>
      <c r="I540" s="11">
        <v>1.607</v>
      </c>
      <c r="J540" s="11">
        <v>60.0</v>
      </c>
      <c r="K540" s="11" t="s">
        <v>2548</v>
      </c>
      <c r="L540" s="11" t="s">
        <v>1288</v>
      </c>
      <c r="M540" s="41">
        <v>0.05347222222222222</v>
      </c>
      <c r="N540" s="11">
        <v>70.0</v>
      </c>
      <c r="O540" s="42">
        <v>0.007638888888888889</v>
      </c>
      <c r="P540" s="41">
        <v>0.02361111111111111</v>
      </c>
      <c r="Q540" s="11">
        <v>22.0</v>
      </c>
      <c r="R540" s="42">
        <v>0.011805555555555555</v>
      </c>
      <c r="S540" s="13">
        <v>0.075</v>
      </c>
      <c r="T540" s="42">
        <v>0.07708333333333334</v>
      </c>
      <c r="U540" s="42">
        <v>0.07708333333333334</v>
      </c>
      <c r="V540" s="43">
        <v>0.0</v>
      </c>
      <c r="W540" s="21">
        <v>0.0</v>
      </c>
      <c r="X540" s="15">
        <v>-0.04583333333333333</v>
      </c>
      <c r="Y540" s="16" t="s">
        <v>4643</v>
      </c>
    </row>
    <row r="541">
      <c r="A541" s="6">
        <v>520.0</v>
      </c>
      <c r="B541" s="7" t="s">
        <v>4644</v>
      </c>
      <c r="C541" s="8" t="s">
        <v>4645</v>
      </c>
      <c r="D541" s="9" t="s">
        <v>52</v>
      </c>
      <c r="E541" s="7" t="s">
        <v>4646</v>
      </c>
      <c r="F541" s="9">
        <v>21.0</v>
      </c>
      <c r="G541" s="9">
        <v>2002.0</v>
      </c>
      <c r="H541" s="10">
        <v>25.0</v>
      </c>
      <c r="I541" s="11">
        <v>1.205</v>
      </c>
      <c r="J541" s="11">
        <v>48.0</v>
      </c>
      <c r="K541" s="11" t="s">
        <v>2553</v>
      </c>
      <c r="L541" s="11" t="s">
        <v>754</v>
      </c>
      <c r="M541" s="41">
        <v>0.0625</v>
      </c>
      <c r="N541" s="11">
        <v>77.0</v>
      </c>
      <c r="O541" s="42">
        <v>0.020833333333333332</v>
      </c>
      <c r="P541" s="41">
        <v>0.06736111111111111</v>
      </c>
      <c r="Q541" s="11">
        <v>22.0</v>
      </c>
      <c r="R541" s="43">
        <v>0.0</v>
      </c>
      <c r="S541" s="13">
        <v>0.06944444444444445</v>
      </c>
      <c r="T541" s="42">
        <v>0.08958333333333333</v>
      </c>
      <c r="U541" s="42">
        <v>0.06527777777777778</v>
      </c>
      <c r="V541" s="44">
        <v>0.052083333333333336</v>
      </c>
      <c r="W541" s="14" t="str">
        <f>+0.75</f>
        <v>#ERROR!</v>
      </c>
      <c r="X541" s="14" t="str">
        <f>+0.87</f>
        <v>#ERROR!</v>
      </c>
      <c r="Y541" s="16" t="s">
        <v>4647</v>
      </c>
    </row>
    <row r="542">
      <c r="A542" s="6">
        <v>521.0</v>
      </c>
      <c r="B542" s="7" t="s">
        <v>4648</v>
      </c>
      <c r="C542" s="8" t="s">
        <v>4649</v>
      </c>
      <c r="D542" s="9" t="s">
        <v>284</v>
      </c>
      <c r="E542" s="7" t="s">
        <v>4650</v>
      </c>
      <c r="F542" s="9">
        <v>31.0</v>
      </c>
      <c r="G542" s="9">
        <v>1992.0</v>
      </c>
      <c r="H542" s="10">
        <v>8.0</v>
      </c>
      <c r="I542" s="11">
        <v>84.0</v>
      </c>
      <c r="J542" s="11">
        <v>11.0</v>
      </c>
      <c r="K542" s="11" t="s">
        <v>418</v>
      </c>
      <c r="L542" s="11" t="s">
        <v>194</v>
      </c>
      <c r="M542" s="46">
        <v>0.0</v>
      </c>
      <c r="N542" s="19"/>
      <c r="O542" s="43">
        <v>0.0</v>
      </c>
      <c r="P542" s="41">
        <v>0.3951388888888889</v>
      </c>
      <c r="Q542" s="11">
        <v>11.0</v>
      </c>
      <c r="R542" s="42">
        <v>0.2965277777777778</v>
      </c>
      <c r="S542" s="13">
        <v>0.08541666666666667</v>
      </c>
      <c r="T542" s="42">
        <v>0.14791666666666667</v>
      </c>
      <c r="U542" s="43">
        <v>0.0</v>
      </c>
      <c r="V542" s="44">
        <v>0.14791666666666667</v>
      </c>
      <c r="W542" s="14" t="str">
        <f>+3.21</f>
        <v>#ERROR!</v>
      </c>
      <c r="X542" s="14" t="str">
        <f>+3.56</f>
        <v>#ERROR!</v>
      </c>
      <c r="Y542" s="16" t="s">
        <v>4651</v>
      </c>
    </row>
    <row r="543">
      <c r="A543" s="6">
        <v>522.0</v>
      </c>
      <c r="B543" s="7" t="s">
        <v>4652</v>
      </c>
      <c r="C543" s="8" t="s">
        <v>4653</v>
      </c>
      <c r="D543" s="9" t="s">
        <v>52</v>
      </c>
      <c r="E543" s="7" t="s">
        <v>4654</v>
      </c>
      <c r="F543" s="9">
        <v>23.0</v>
      </c>
      <c r="G543" s="9">
        <v>2000.0</v>
      </c>
      <c r="H543" s="10">
        <v>27.0</v>
      </c>
      <c r="I543" s="11">
        <v>2.268</v>
      </c>
      <c r="J543" s="11">
        <v>84.0</v>
      </c>
      <c r="K543" s="11" t="s">
        <v>2562</v>
      </c>
      <c r="L543" s="11" t="s">
        <v>712</v>
      </c>
      <c r="M543" s="41">
        <v>0.04652777777777778</v>
      </c>
      <c r="N543" s="11">
        <v>84.0</v>
      </c>
      <c r="O543" s="42">
        <v>0.04652777777777778</v>
      </c>
      <c r="P543" s="46">
        <v>0.0</v>
      </c>
      <c r="Q543" s="19"/>
      <c r="R543" s="43">
        <v>0.0</v>
      </c>
      <c r="S543" s="13">
        <v>0.041666666666666664</v>
      </c>
      <c r="T543" s="42">
        <v>0.049305555555555554</v>
      </c>
      <c r="U543" s="42">
        <v>0.06597222222222222</v>
      </c>
      <c r="V543" s="45">
        <v>-0.016666666666666666</v>
      </c>
      <c r="W543" s="15">
        <v>-0.016666666666666666</v>
      </c>
      <c r="X543" s="14" t="str">
        <f>+0.60</f>
        <v>#ERROR!</v>
      </c>
      <c r="Y543" s="16" t="s">
        <v>4655</v>
      </c>
    </row>
    <row r="544">
      <c r="A544" s="50">
        <v>523.0</v>
      </c>
      <c r="B544" s="31" t="s">
        <v>4656</v>
      </c>
      <c r="C544" s="32" t="s">
        <v>4657</v>
      </c>
      <c r="D544" s="51" t="s">
        <v>59</v>
      </c>
      <c r="E544" s="31" t="s">
        <v>4658</v>
      </c>
      <c r="F544" s="51">
        <v>20.0</v>
      </c>
      <c r="G544" s="51">
        <v>2004.0</v>
      </c>
      <c r="H544" s="52">
        <v>12.0</v>
      </c>
      <c r="I544" s="53">
        <v>555.0</v>
      </c>
      <c r="J544" s="53">
        <v>46.0</v>
      </c>
      <c r="K544" s="53" t="s">
        <v>831</v>
      </c>
      <c r="L544" s="53" t="s">
        <v>832</v>
      </c>
      <c r="M544" s="54">
        <v>0.06736111111111111</v>
      </c>
      <c r="N544" s="53">
        <v>70.0</v>
      </c>
      <c r="O544" s="55">
        <v>0.0</v>
      </c>
      <c r="P544" s="54">
        <v>0.06736111111111111</v>
      </c>
      <c r="Q544" s="53">
        <v>23.0</v>
      </c>
      <c r="R544" s="56">
        <v>0.011111111111111112</v>
      </c>
      <c r="S544" s="57">
        <v>0.08194444444444444</v>
      </c>
      <c r="T544" s="56">
        <v>0.09513888888888888</v>
      </c>
      <c r="U544" s="56">
        <v>0.07291666666666667</v>
      </c>
      <c r="V544" s="58">
        <v>0.022222222222222223</v>
      </c>
      <c r="W544" s="59" t="str">
        <f>+0.32</f>
        <v>#ERROR!</v>
      </c>
      <c r="X544" s="60">
        <v>-0.03888888888888889</v>
      </c>
      <c r="Y544" s="40" t="s">
        <v>4659</v>
      </c>
    </row>
  </sheetData>
  <hyperlinks>
    <hyperlink r:id="rId1" ref="B2"/>
    <hyperlink r:id="rId2" ref="C2"/>
    <hyperlink r:id="rId3" ref="E2"/>
    <hyperlink r:id="rId4" ref="Y2"/>
    <hyperlink r:id="rId5" ref="B3"/>
    <hyperlink r:id="rId6" ref="C3"/>
    <hyperlink r:id="rId7" ref="E3"/>
    <hyperlink r:id="rId8" ref="Y3"/>
    <hyperlink r:id="rId9" ref="B4"/>
    <hyperlink r:id="rId10" ref="C4"/>
    <hyperlink r:id="rId11" ref="E4"/>
    <hyperlink r:id="rId12" ref="Y4"/>
    <hyperlink r:id="rId13" ref="B5"/>
    <hyperlink r:id="rId14" ref="C5"/>
    <hyperlink r:id="rId15" ref="E5"/>
    <hyperlink r:id="rId16" ref="Y5"/>
    <hyperlink r:id="rId17" ref="B6"/>
    <hyperlink r:id="rId18" ref="C6"/>
    <hyperlink r:id="rId19" ref="E6"/>
    <hyperlink r:id="rId20" ref="Y6"/>
    <hyperlink r:id="rId21" ref="B7"/>
    <hyperlink r:id="rId22" ref="C7"/>
    <hyperlink r:id="rId23" ref="E7"/>
    <hyperlink r:id="rId24" ref="Y7"/>
    <hyperlink r:id="rId25" ref="B8"/>
    <hyperlink r:id="rId26" ref="C8"/>
    <hyperlink r:id="rId27" ref="E8"/>
    <hyperlink r:id="rId28" ref="Y8"/>
    <hyperlink r:id="rId29" ref="B9"/>
    <hyperlink r:id="rId30" ref="C9"/>
    <hyperlink r:id="rId31" ref="E9"/>
    <hyperlink r:id="rId32" ref="Y9"/>
    <hyperlink r:id="rId33" ref="B10"/>
    <hyperlink r:id="rId34" ref="C10"/>
    <hyperlink r:id="rId35" ref="E10"/>
    <hyperlink r:id="rId36" ref="Y10"/>
    <hyperlink r:id="rId37" ref="B11"/>
    <hyperlink r:id="rId38" ref="C11"/>
    <hyperlink r:id="rId39" ref="E11"/>
    <hyperlink r:id="rId40" ref="Y11"/>
    <hyperlink r:id="rId41" ref="B12"/>
    <hyperlink r:id="rId42" ref="C12"/>
    <hyperlink r:id="rId43" ref="E12"/>
    <hyperlink r:id="rId44" ref="Y12"/>
    <hyperlink r:id="rId45" ref="B13"/>
    <hyperlink r:id="rId46" ref="C13"/>
    <hyperlink r:id="rId47" ref="E13"/>
    <hyperlink r:id="rId48" ref="Y13"/>
    <hyperlink r:id="rId49" ref="B14"/>
    <hyperlink r:id="rId50" ref="C14"/>
    <hyperlink r:id="rId51" ref="E14"/>
    <hyperlink r:id="rId52" ref="Y14"/>
    <hyperlink r:id="rId53" ref="B15"/>
    <hyperlink r:id="rId54" ref="C15"/>
    <hyperlink r:id="rId55" ref="E15"/>
    <hyperlink r:id="rId56" ref="Y15"/>
    <hyperlink r:id="rId57" ref="B16"/>
    <hyperlink r:id="rId58" ref="C16"/>
    <hyperlink r:id="rId59" ref="E16"/>
    <hyperlink r:id="rId60" ref="Y16"/>
    <hyperlink r:id="rId61" ref="B17"/>
    <hyperlink r:id="rId62" ref="C17"/>
    <hyperlink r:id="rId63" ref="E17"/>
    <hyperlink r:id="rId64" ref="Y17"/>
    <hyperlink r:id="rId65" ref="B18"/>
    <hyperlink r:id="rId66" ref="C18"/>
    <hyperlink r:id="rId67" ref="E18"/>
    <hyperlink r:id="rId68" ref="Y18"/>
    <hyperlink r:id="rId69" ref="B19"/>
    <hyperlink r:id="rId70" ref="C19"/>
    <hyperlink r:id="rId71" ref="E19"/>
    <hyperlink r:id="rId72" ref="Y19"/>
    <hyperlink r:id="rId73" ref="B20"/>
    <hyperlink r:id="rId74" ref="C20"/>
    <hyperlink r:id="rId75" ref="E20"/>
    <hyperlink r:id="rId76" ref="Y20"/>
    <hyperlink r:id="rId77" ref="B21"/>
    <hyperlink r:id="rId78" ref="C21"/>
    <hyperlink r:id="rId79" ref="E21"/>
    <hyperlink r:id="rId80" ref="Y21"/>
    <hyperlink r:id="rId81" ref="B22"/>
    <hyperlink r:id="rId82" ref="E22"/>
    <hyperlink r:id="rId83" ref="Y22"/>
    <hyperlink r:id="rId84" ref="B23"/>
    <hyperlink r:id="rId85" ref="C23"/>
    <hyperlink r:id="rId86" ref="E23"/>
    <hyperlink r:id="rId87" ref="Y23"/>
    <hyperlink r:id="rId88" ref="B24"/>
    <hyperlink r:id="rId89" ref="C24"/>
    <hyperlink r:id="rId90" ref="E24"/>
    <hyperlink r:id="rId91" ref="Y24"/>
    <hyperlink r:id="rId92" ref="B25"/>
    <hyperlink r:id="rId93" ref="C25"/>
    <hyperlink r:id="rId94" ref="E25"/>
    <hyperlink r:id="rId95" ref="Y25"/>
    <hyperlink r:id="rId96" ref="B26"/>
    <hyperlink r:id="rId97" ref="C26"/>
    <hyperlink r:id="rId98" ref="E26"/>
    <hyperlink r:id="rId99" ref="Y26"/>
    <hyperlink r:id="rId100" ref="B28"/>
    <hyperlink r:id="rId101" ref="C28"/>
    <hyperlink r:id="rId102" ref="E28"/>
    <hyperlink r:id="rId103" ref="Y28"/>
    <hyperlink r:id="rId104" ref="B29"/>
    <hyperlink r:id="rId105" ref="C29"/>
    <hyperlink r:id="rId106" ref="E29"/>
    <hyperlink r:id="rId107" ref="Y29"/>
    <hyperlink r:id="rId108" ref="B30"/>
    <hyperlink r:id="rId109" ref="C30"/>
    <hyperlink r:id="rId110" ref="E30"/>
    <hyperlink r:id="rId111" ref="Y30"/>
    <hyperlink r:id="rId112" ref="B31"/>
    <hyperlink r:id="rId113" ref="C31"/>
    <hyperlink r:id="rId114" ref="E31"/>
    <hyperlink r:id="rId115" ref="Y31"/>
    <hyperlink r:id="rId116" ref="B32"/>
    <hyperlink r:id="rId117" ref="C32"/>
    <hyperlink r:id="rId118" ref="E32"/>
    <hyperlink r:id="rId119" ref="Y32"/>
    <hyperlink r:id="rId120" ref="B33"/>
    <hyperlink r:id="rId121" ref="C33"/>
    <hyperlink r:id="rId122" ref="E33"/>
    <hyperlink r:id="rId123" ref="Y33"/>
    <hyperlink r:id="rId124" ref="B34"/>
    <hyperlink r:id="rId125" ref="C34"/>
    <hyperlink r:id="rId126" ref="E34"/>
    <hyperlink r:id="rId127" ref="Y34"/>
    <hyperlink r:id="rId128" ref="B35"/>
    <hyperlink r:id="rId129" ref="C35"/>
    <hyperlink r:id="rId130" ref="E35"/>
    <hyperlink r:id="rId131" ref="Y35"/>
    <hyperlink r:id="rId132" ref="B36"/>
    <hyperlink r:id="rId133" ref="E36"/>
    <hyperlink r:id="rId134" ref="Y36"/>
    <hyperlink r:id="rId135" ref="B37"/>
    <hyperlink r:id="rId136" ref="C37"/>
    <hyperlink r:id="rId137" ref="E37"/>
    <hyperlink r:id="rId138" ref="Y37"/>
    <hyperlink r:id="rId139" ref="B38"/>
    <hyperlink r:id="rId140" ref="C38"/>
    <hyperlink r:id="rId141" ref="E38"/>
    <hyperlink r:id="rId142" ref="Y38"/>
    <hyperlink r:id="rId143" ref="B39"/>
    <hyperlink r:id="rId144" ref="C39"/>
    <hyperlink r:id="rId145" ref="E39"/>
    <hyperlink r:id="rId146" ref="Y39"/>
    <hyperlink r:id="rId147" ref="B40"/>
    <hyperlink r:id="rId148" ref="C40"/>
    <hyperlink r:id="rId149" ref="E40"/>
    <hyperlink r:id="rId150" ref="Y40"/>
    <hyperlink r:id="rId151" ref="B41"/>
    <hyperlink r:id="rId152" ref="C41"/>
    <hyperlink r:id="rId153" ref="E41"/>
    <hyperlink r:id="rId154" ref="Y41"/>
    <hyperlink r:id="rId155" ref="B42"/>
    <hyperlink r:id="rId156" ref="C42"/>
    <hyperlink r:id="rId157" ref="E42"/>
    <hyperlink r:id="rId158" ref="Y42"/>
    <hyperlink r:id="rId159" ref="B43"/>
    <hyperlink r:id="rId160" ref="C43"/>
    <hyperlink r:id="rId161" ref="E43"/>
    <hyperlink r:id="rId162" ref="Y43"/>
    <hyperlink r:id="rId163" ref="B44"/>
    <hyperlink r:id="rId164" ref="C44"/>
    <hyperlink r:id="rId165" ref="E44"/>
    <hyperlink r:id="rId166" ref="Y44"/>
    <hyperlink r:id="rId167" ref="B45"/>
    <hyperlink r:id="rId168" ref="C45"/>
    <hyperlink r:id="rId169" ref="E45"/>
    <hyperlink r:id="rId170" ref="Y45"/>
    <hyperlink r:id="rId171" ref="B46"/>
    <hyperlink r:id="rId172" ref="C46"/>
    <hyperlink r:id="rId173" ref="E46"/>
    <hyperlink r:id="rId174" ref="Y46"/>
    <hyperlink r:id="rId175" ref="B47"/>
    <hyperlink r:id="rId176" ref="C47"/>
    <hyperlink r:id="rId177" ref="E47"/>
    <hyperlink r:id="rId178" ref="Y47"/>
    <hyperlink r:id="rId179" ref="B48"/>
    <hyperlink r:id="rId180" ref="C48"/>
    <hyperlink r:id="rId181" ref="E48"/>
    <hyperlink r:id="rId182" ref="Y48"/>
    <hyperlink r:id="rId183" ref="B49"/>
    <hyperlink r:id="rId184" ref="C49"/>
    <hyperlink r:id="rId185" ref="E49"/>
    <hyperlink r:id="rId186" ref="Y49"/>
    <hyperlink r:id="rId187" ref="B50"/>
    <hyperlink r:id="rId188" ref="C50"/>
    <hyperlink r:id="rId189" ref="E50"/>
    <hyperlink r:id="rId190" ref="Y50"/>
    <hyperlink r:id="rId191" ref="B51"/>
    <hyperlink r:id="rId192" ref="C51"/>
    <hyperlink r:id="rId193" ref="E51"/>
    <hyperlink r:id="rId194" ref="Y51"/>
    <hyperlink r:id="rId195" ref="B52"/>
    <hyperlink r:id="rId196" ref="C52"/>
    <hyperlink r:id="rId197" ref="E52"/>
    <hyperlink r:id="rId198" ref="Y52"/>
    <hyperlink r:id="rId199" ref="B54"/>
    <hyperlink r:id="rId200" ref="C54"/>
    <hyperlink r:id="rId201" ref="E54"/>
    <hyperlink r:id="rId202" ref="Y54"/>
    <hyperlink r:id="rId203" ref="B55"/>
    <hyperlink r:id="rId204" ref="C55"/>
    <hyperlink r:id="rId205" ref="E55"/>
    <hyperlink r:id="rId206" ref="Y55"/>
    <hyperlink r:id="rId207" ref="B56"/>
    <hyperlink r:id="rId208" ref="C56"/>
    <hyperlink r:id="rId209" ref="E56"/>
    <hyperlink r:id="rId210" ref="Y56"/>
    <hyperlink r:id="rId211" ref="B57"/>
    <hyperlink r:id="rId212" ref="C57"/>
    <hyperlink r:id="rId213" ref="E57"/>
    <hyperlink r:id="rId214" ref="Y57"/>
    <hyperlink r:id="rId215" ref="B58"/>
    <hyperlink r:id="rId216" ref="C58"/>
    <hyperlink r:id="rId217" ref="E58"/>
    <hyperlink r:id="rId218" ref="Y58"/>
    <hyperlink r:id="rId219" ref="B59"/>
    <hyperlink r:id="rId220" ref="C59"/>
    <hyperlink r:id="rId221" ref="E59"/>
    <hyperlink r:id="rId222" ref="Y59"/>
    <hyperlink r:id="rId223" ref="B60"/>
    <hyperlink r:id="rId224" ref="C60"/>
    <hyperlink r:id="rId225" ref="E60"/>
    <hyperlink r:id="rId226" ref="Y60"/>
    <hyperlink r:id="rId227" ref="B61"/>
    <hyperlink r:id="rId228" ref="C61"/>
    <hyperlink r:id="rId229" ref="E61"/>
    <hyperlink r:id="rId230" ref="Y61"/>
    <hyperlink r:id="rId231" ref="B62"/>
    <hyperlink r:id="rId232" ref="C62"/>
    <hyperlink r:id="rId233" ref="E62"/>
    <hyperlink r:id="rId234" ref="Y62"/>
    <hyperlink r:id="rId235" ref="B63"/>
    <hyperlink r:id="rId236" ref="C63"/>
    <hyperlink r:id="rId237" ref="E63"/>
    <hyperlink r:id="rId238" ref="Y63"/>
    <hyperlink r:id="rId239" ref="B64"/>
    <hyperlink r:id="rId240" ref="C64"/>
    <hyperlink r:id="rId241" ref="E64"/>
    <hyperlink r:id="rId242" ref="Y64"/>
    <hyperlink r:id="rId243" ref="B65"/>
    <hyperlink r:id="rId244" ref="C65"/>
    <hyperlink r:id="rId245" ref="E65"/>
    <hyperlink r:id="rId246" ref="Y65"/>
    <hyperlink r:id="rId247" ref="B66"/>
    <hyperlink r:id="rId248" ref="C66"/>
    <hyperlink r:id="rId249" ref="E66"/>
    <hyperlink r:id="rId250" ref="Y66"/>
    <hyperlink r:id="rId251" ref="B67"/>
    <hyperlink r:id="rId252" ref="C67"/>
    <hyperlink r:id="rId253" ref="E67"/>
    <hyperlink r:id="rId254" ref="Y67"/>
    <hyperlink r:id="rId255" ref="B68"/>
    <hyperlink r:id="rId256" ref="C68"/>
    <hyperlink r:id="rId257" ref="E68"/>
    <hyperlink r:id="rId258" ref="Y68"/>
    <hyperlink r:id="rId259" ref="B69"/>
    <hyperlink r:id="rId260" ref="C69"/>
    <hyperlink r:id="rId261" ref="E69"/>
    <hyperlink r:id="rId262" ref="Y69"/>
    <hyperlink r:id="rId263" ref="B70"/>
    <hyperlink r:id="rId264" ref="C70"/>
    <hyperlink r:id="rId265" ref="E70"/>
    <hyperlink r:id="rId266" ref="Y70"/>
    <hyperlink r:id="rId267" ref="B71"/>
    <hyperlink r:id="rId268" ref="C71"/>
    <hyperlink r:id="rId269" ref="E71"/>
    <hyperlink r:id="rId270" ref="Y71"/>
    <hyperlink r:id="rId271" ref="B72"/>
    <hyperlink r:id="rId272" ref="C72"/>
    <hyperlink r:id="rId273" ref="E72"/>
    <hyperlink r:id="rId274" ref="Y72"/>
    <hyperlink r:id="rId275" ref="B73"/>
    <hyperlink r:id="rId276" ref="C73"/>
    <hyperlink r:id="rId277" ref="E73"/>
    <hyperlink r:id="rId278" ref="Y73"/>
    <hyperlink r:id="rId279" ref="B74"/>
    <hyperlink r:id="rId280" ref="C74"/>
    <hyperlink r:id="rId281" ref="E74"/>
    <hyperlink r:id="rId282" ref="Y74"/>
    <hyperlink r:id="rId283" ref="B75"/>
    <hyperlink r:id="rId284" ref="C75"/>
    <hyperlink r:id="rId285" ref="E75"/>
    <hyperlink r:id="rId286" ref="Y75"/>
    <hyperlink r:id="rId287" ref="B76"/>
    <hyperlink r:id="rId288" ref="C76"/>
    <hyperlink r:id="rId289" ref="E76"/>
    <hyperlink r:id="rId290" ref="Y76"/>
    <hyperlink r:id="rId291" ref="B77"/>
    <hyperlink r:id="rId292" ref="C77"/>
    <hyperlink r:id="rId293" ref="E77"/>
    <hyperlink r:id="rId294" ref="Y77"/>
    <hyperlink r:id="rId295" ref="B78"/>
    <hyperlink r:id="rId296" ref="C78"/>
    <hyperlink r:id="rId297" ref="E78"/>
    <hyperlink r:id="rId298" ref="Y78"/>
    <hyperlink r:id="rId299" ref="B80"/>
    <hyperlink r:id="rId300" ref="C80"/>
    <hyperlink r:id="rId301" ref="E80"/>
    <hyperlink r:id="rId302" ref="Y80"/>
    <hyperlink r:id="rId303" ref="B81"/>
    <hyperlink r:id="rId304" ref="C81"/>
    <hyperlink r:id="rId305" ref="E81"/>
    <hyperlink r:id="rId306" ref="Y81"/>
    <hyperlink r:id="rId307" ref="B82"/>
    <hyperlink r:id="rId308" ref="C82"/>
    <hyperlink r:id="rId309" ref="E82"/>
    <hyperlink r:id="rId310" ref="Y82"/>
    <hyperlink r:id="rId311" ref="B83"/>
    <hyperlink r:id="rId312" ref="C83"/>
    <hyperlink r:id="rId313" ref="E83"/>
    <hyperlink r:id="rId314" ref="Y83"/>
    <hyperlink r:id="rId315" ref="B84"/>
    <hyperlink r:id="rId316" ref="C84"/>
    <hyperlink r:id="rId317" ref="E84"/>
    <hyperlink r:id="rId318" ref="Y84"/>
    <hyperlink r:id="rId319" ref="B85"/>
    <hyperlink r:id="rId320" ref="C85"/>
    <hyperlink r:id="rId321" ref="E85"/>
    <hyperlink r:id="rId322" ref="Y85"/>
    <hyperlink r:id="rId323" ref="B86"/>
    <hyperlink r:id="rId324" ref="C86"/>
    <hyperlink r:id="rId325" ref="E86"/>
    <hyperlink r:id="rId326" ref="Y86"/>
    <hyperlink r:id="rId327" ref="B87"/>
    <hyperlink r:id="rId328" ref="C87"/>
    <hyperlink r:id="rId329" ref="E87"/>
    <hyperlink r:id="rId330" ref="Y87"/>
    <hyperlink r:id="rId331" ref="B88"/>
    <hyperlink r:id="rId332" ref="C88"/>
    <hyperlink r:id="rId333" ref="E88"/>
    <hyperlink r:id="rId334" ref="Y88"/>
    <hyperlink r:id="rId335" ref="B89"/>
    <hyperlink r:id="rId336" ref="C89"/>
    <hyperlink r:id="rId337" ref="E89"/>
    <hyperlink r:id="rId338" ref="Y89"/>
    <hyperlink r:id="rId339" ref="B90"/>
    <hyperlink r:id="rId340" ref="C90"/>
    <hyperlink r:id="rId341" ref="E90"/>
    <hyperlink r:id="rId342" ref="Y90"/>
    <hyperlink r:id="rId343" ref="B91"/>
    <hyperlink r:id="rId344" ref="C91"/>
    <hyperlink r:id="rId345" ref="E91"/>
    <hyperlink r:id="rId346" ref="Y91"/>
    <hyperlink r:id="rId347" ref="B92"/>
    <hyperlink r:id="rId348" ref="C92"/>
    <hyperlink r:id="rId349" ref="E92"/>
    <hyperlink r:id="rId350" ref="Y92"/>
    <hyperlink r:id="rId351" ref="B93"/>
    <hyperlink r:id="rId352" ref="C93"/>
    <hyperlink r:id="rId353" ref="E93"/>
    <hyperlink r:id="rId354" ref="Y93"/>
    <hyperlink r:id="rId355" ref="B94"/>
    <hyperlink r:id="rId356" ref="C94"/>
    <hyperlink r:id="rId357" ref="E94"/>
    <hyperlink r:id="rId358" ref="Y94"/>
    <hyperlink r:id="rId359" ref="B95"/>
    <hyperlink r:id="rId360" ref="C95"/>
    <hyperlink r:id="rId361" ref="E95"/>
    <hyperlink r:id="rId362" ref="Y95"/>
    <hyperlink r:id="rId363" ref="B96"/>
    <hyperlink r:id="rId364" ref="C96"/>
    <hyperlink r:id="rId365" ref="E96"/>
    <hyperlink r:id="rId366" ref="Y96"/>
    <hyperlink r:id="rId367" ref="B97"/>
    <hyperlink r:id="rId368" ref="C97"/>
    <hyperlink r:id="rId369" ref="E97"/>
    <hyperlink r:id="rId370" ref="Y97"/>
    <hyperlink r:id="rId371" ref="B98"/>
    <hyperlink r:id="rId372" ref="C98"/>
    <hyperlink r:id="rId373" ref="E98"/>
    <hyperlink r:id="rId374" ref="Y98"/>
    <hyperlink r:id="rId375" ref="B99"/>
    <hyperlink r:id="rId376" ref="C99"/>
    <hyperlink r:id="rId377" ref="E99"/>
    <hyperlink r:id="rId378" ref="Y99"/>
    <hyperlink r:id="rId379" ref="B100"/>
    <hyperlink r:id="rId380" ref="C100"/>
    <hyperlink r:id="rId381" ref="E100"/>
    <hyperlink r:id="rId382" ref="Y100"/>
    <hyperlink r:id="rId383" ref="B101"/>
    <hyperlink r:id="rId384" ref="C101"/>
    <hyperlink r:id="rId385" ref="E101"/>
    <hyperlink r:id="rId386" ref="Y101"/>
    <hyperlink r:id="rId387" ref="B102"/>
    <hyperlink r:id="rId388" ref="C102"/>
    <hyperlink r:id="rId389" ref="E102"/>
    <hyperlink r:id="rId390" ref="Y102"/>
    <hyperlink r:id="rId391" ref="B103"/>
    <hyperlink r:id="rId392" ref="C103"/>
    <hyperlink r:id="rId393" ref="E103"/>
    <hyperlink r:id="rId394" ref="Y103"/>
    <hyperlink r:id="rId395" ref="B104"/>
    <hyperlink r:id="rId396" ref="C104"/>
    <hyperlink r:id="rId397" ref="E104"/>
    <hyperlink r:id="rId398" ref="Y104"/>
    <hyperlink r:id="rId399" ref="B106"/>
    <hyperlink r:id="rId400" ref="C106"/>
    <hyperlink r:id="rId401" ref="E106"/>
    <hyperlink r:id="rId402" ref="Y106"/>
    <hyperlink r:id="rId403" ref="B107"/>
    <hyperlink r:id="rId404" ref="C107"/>
    <hyperlink r:id="rId405" ref="E107"/>
    <hyperlink r:id="rId406" ref="Y107"/>
    <hyperlink r:id="rId407" ref="B108"/>
    <hyperlink r:id="rId408" ref="C108"/>
    <hyperlink r:id="rId409" ref="E108"/>
    <hyperlink r:id="rId410" ref="Y108"/>
    <hyperlink r:id="rId411" ref="B109"/>
    <hyperlink r:id="rId412" ref="C109"/>
    <hyperlink r:id="rId413" ref="E109"/>
    <hyperlink r:id="rId414" ref="Y109"/>
    <hyperlink r:id="rId415" ref="B110"/>
    <hyperlink r:id="rId416" ref="C110"/>
    <hyperlink r:id="rId417" ref="E110"/>
    <hyperlink r:id="rId418" ref="Y110"/>
    <hyperlink r:id="rId419" ref="B111"/>
    <hyperlink r:id="rId420" ref="C111"/>
    <hyperlink r:id="rId421" ref="E111"/>
    <hyperlink r:id="rId422" ref="Y111"/>
    <hyperlink r:id="rId423" ref="B112"/>
    <hyperlink r:id="rId424" ref="C112"/>
    <hyperlink r:id="rId425" ref="E112"/>
    <hyperlink r:id="rId426" ref="Y112"/>
    <hyperlink r:id="rId427" ref="B113"/>
    <hyperlink r:id="rId428" ref="C113"/>
    <hyperlink r:id="rId429" ref="E113"/>
    <hyperlink r:id="rId430" ref="Y113"/>
    <hyperlink r:id="rId431" ref="B114"/>
    <hyperlink r:id="rId432" ref="C114"/>
    <hyperlink r:id="rId433" ref="E114"/>
    <hyperlink r:id="rId434" ref="Y114"/>
    <hyperlink r:id="rId435" ref="B115"/>
    <hyperlink r:id="rId436" ref="C115"/>
    <hyperlink r:id="rId437" ref="E115"/>
    <hyperlink r:id="rId438" ref="Y115"/>
    <hyperlink r:id="rId439" ref="B116"/>
    <hyperlink r:id="rId440" ref="C116"/>
    <hyperlink r:id="rId441" ref="E116"/>
    <hyperlink r:id="rId442" ref="Y116"/>
    <hyperlink r:id="rId443" ref="B117"/>
    <hyperlink r:id="rId444" ref="C117"/>
    <hyperlink r:id="rId445" ref="E117"/>
    <hyperlink r:id="rId446" ref="Y117"/>
    <hyperlink r:id="rId447" ref="B118"/>
    <hyperlink r:id="rId448" ref="C118"/>
    <hyperlink r:id="rId449" ref="E118"/>
    <hyperlink r:id="rId450" ref="Y118"/>
    <hyperlink r:id="rId451" ref="B119"/>
    <hyperlink r:id="rId452" ref="C119"/>
    <hyperlink r:id="rId453" ref="E119"/>
    <hyperlink r:id="rId454" ref="Y119"/>
    <hyperlink r:id="rId455" ref="B120"/>
    <hyperlink r:id="rId456" ref="C120"/>
    <hyperlink r:id="rId457" ref="E120"/>
    <hyperlink r:id="rId458" ref="Y120"/>
    <hyperlink r:id="rId459" ref="B121"/>
    <hyperlink r:id="rId460" ref="C121"/>
    <hyperlink r:id="rId461" ref="E121"/>
    <hyperlink r:id="rId462" ref="Y121"/>
    <hyperlink r:id="rId463" ref="B122"/>
    <hyperlink r:id="rId464" ref="C122"/>
    <hyperlink r:id="rId465" ref="E122"/>
    <hyperlink r:id="rId466" ref="Y122"/>
    <hyperlink r:id="rId467" ref="B123"/>
    <hyperlink r:id="rId468" ref="C123"/>
    <hyperlink r:id="rId469" ref="E123"/>
    <hyperlink r:id="rId470" ref="Y123"/>
    <hyperlink r:id="rId471" ref="B124"/>
    <hyperlink r:id="rId472" ref="C124"/>
    <hyperlink r:id="rId473" ref="E124"/>
    <hyperlink r:id="rId474" ref="Y124"/>
    <hyperlink r:id="rId475" ref="B125"/>
    <hyperlink r:id="rId476" ref="C125"/>
    <hyperlink r:id="rId477" ref="E125"/>
    <hyperlink r:id="rId478" ref="Y125"/>
    <hyperlink r:id="rId479" ref="B126"/>
    <hyperlink r:id="rId480" ref="C126"/>
    <hyperlink r:id="rId481" ref="E126"/>
    <hyperlink r:id="rId482" ref="Y126"/>
    <hyperlink r:id="rId483" ref="B127"/>
    <hyperlink r:id="rId484" ref="C127"/>
    <hyperlink r:id="rId485" ref="E127"/>
    <hyperlink r:id="rId486" ref="Y127"/>
    <hyperlink r:id="rId487" ref="B128"/>
    <hyperlink r:id="rId488" ref="C128"/>
    <hyperlink r:id="rId489" ref="E128"/>
    <hyperlink r:id="rId490" ref="Y128"/>
    <hyperlink r:id="rId491" ref="B129"/>
    <hyperlink r:id="rId492" ref="C129"/>
    <hyperlink r:id="rId493" ref="E129"/>
    <hyperlink r:id="rId494" ref="Y129"/>
    <hyperlink r:id="rId495" ref="B130"/>
    <hyperlink r:id="rId496" ref="C130"/>
    <hyperlink r:id="rId497" ref="E130"/>
    <hyperlink r:id="rId498" ref="Y130"/>
    <hyperlink r:id="rId499" ref="B132"/>
    <hyperlink r:id="rId500" ref="C132"/>
    <hyperlink r:id="rId501" ref="E132"/>
    <hyperlink r:id="rId502" ref="Y132"/>
    <hyperlink r:id="rId503" ref="B133"/>
    <hyperlink r:id="rId504" ref="C133"/>
    <hyperlink r:id="rId505" ref="E133"/>
    <hyperlink r:id="rId506" ref="Y133"/>
    <hyperlink r:id="rId507" ref="B134"/>
    <hyperlink r:id="rId508" ref="C134"/>
    <hyperlink r:id="rId509" ref="E134"/>
    <hyperlink r:id="rId510" ref="Y134"/>
    <hyperlink r:id="rId511" ref="B135"/>
    <hyperlink r:id="rId512" ref="C135"/>
    <hyperlink r:id="rId513" ref="E135"/>
    <hyperlink r:id="rId514" ref="Y135"/>
    <hyperlink r:id="rId515" ref="B136"/>
    <hyperlink r:id="rId516" ref="C136"/>
    <hyperlink r:id="rId517" ref="E136"/>
    <hyperlink r:id="rId518" ref="Y136"/>
    <hyperlink r:id="rId519" ref="B137"/>
    <hyperlink r:id="rId520" ref="C137"/>
    <hyperlink r:id="rId521" ref="E137"/>
    <hyperlink r:id="rId522" ref="Y137"/>
    <hyperlink r:id="rId523" ref="B138"/>
    <hyperlink r:id="rId524" ref="C138"/>
    <hyperlink r:id="rId525" ref="E138"/>
    <hyperlink r:id="rId526" ref="Y138"/>
    <hyperlink r:id="rId527" ref="B139"/>
    <hyperlink r:id="rId528" ref="E139"/>
    <hyperlink r:id="rId529" ref="Y139"/>
    <hyperlink r:id="rId530" ref="B140"/>
    <hyperlink r:id="rId531" ref="C140"/>
    <hyperlink r:id="rId532" ref="E140"/>
    <hyperlink r:id="rId533" ref="Y140"/>
    <hyperlink r:id="rId534" ref="B141"/>
    <hyperlink r:id="rId535" ref="C141"/>
    <hyperlink r:id="rId536" ref="E141"/>
    <hyperlink r:id="rId537" ref="Y141"/>
    <hyperlink r:id="rId538" ref="B142"/>
    <hyperlink r:id="rId539" ref="C142"/>
    <hyperlink r:id="rId540" ref="E142"/>
    <hyperlink r:id="rId541" ref="Y142"/>
    <hyperlink r:id="rId542" ref="B143"/>
    <hyperlink r:id="rId543" ref="C143"/>
    <hyperlink r:id="rId544" ref="E143"/>
    <hyperlink r:id="rId545" ref="Y143"/>
    <hyperlink r:id="rId546" ref="B144"/>
    <hyperlink r:id="rId547" ref="C144"/>
    <hyperlink r:id="rId548" ref="E144"/>
    <hyperlink r:id="rId549" ref="Y144"/>
    <hyperlink r:id="rId550" ref="B145"/>
    <hyperlink r:id="rId551" ref="C145"/>
    <hyperlink r:id="rId552" ref="E145"/>
    <hyperlink r:id="rId553" ref="Y145"/>
    <hyperlink r:id="rId554" ref="B146"/>
    <hyperlink r:id="rId555" ref="C146"/>
    <hyperlink r:id="rId556" ref="E146"/>
    <hyperlink r:id="rId557" ref="Y146"/>
    <hyperlink r:id="rId558" ref="B147"/>
    <hyperlink r:id="rId559" ref="C147"/>
    <hyperlink r:id="rId560" ref="E147"/>
    <hyperlink r:id="rId561" ref="Y147"/>
    <hyperlink r:id="rId562" ref="B148"/>
    <hyperlink r:id="rId563" ref="C148"/>
    <hyperlink r:id="rId564" ref="E148"/>
    <hyperlink r:id="rId565" ref="Y148"/>
    <hyperlink r:id="rId566" ref="B149"/>
    <hyperlink r:id="rId567" ref="C149"/>
    <hyperlink r:id="rId568" ref="E149"/>
    <hyperlink r:id="rId569" ref="Y149"/>
    <hyperlink r:id="rId570" ref="B150"/>
    <hyperlink r:id="rId571" ref="C150"/>
    <hyperlink r:id="rId572" ref="E150"/>
    <hyperlink r:id="rId573" ref="Y150"/>
    <hyperlink r:id="rId574" ref="B151"/>
    <hyperlink r:id="rId575" ref="C151"/>
    <hyperlink r:id="rId576" ref="E151"/>
    <hyperlink r:id="rId577" ref="Y151"/>
    <hyperlink r:id="rId578" ref="B152"/>
    <hyperlink r:id="rId579" ref="C152"/>
    <hyperlink r:id="rId580" ref="E152"/>
    <hyperlink r:id="rId581" ref="Y152"/>
    <hyperlink r:id="rId582" ref="B153"/>
    <hyperlink r:id="rId583" ref="C153"/>
    <hyperlink r:id="rId584" ref="E153"/>
    <hyperlink r:id="rId585" ref="Y153"/>
    <hyperlink r:id="rId586" ref="B154"/>
    <hyperlink r:id="rId587" ref="C154"/>
    <hyperlink r:id="rId588" ref="E154"/>
    <hyperlink r:id="rId589" ref="Y154"/>
    <hyperlink r:id="rId590" ref="B155"/>
    <hyperlink r:id="rId591" ref="C155"/>
    <hyperlink r:id="rId592" ref="E155"/>
    <hyperlink r:id="rId593" ref="Y155"/>
    <hyperlink r:id="rId594" ref="B156"/>
    <hyperlink r:id="rId595" ref="C156"/>
    <hyperlink r:id="rId596" ref="E156"/>
    <hyperlink r:id="rId597" ref="Y156"/>
    <hyperlink r:id="rId598" ref="B158"/>
    <hyperlink r:id="rId599" ref="C158"/>
    <hyperlink r:id="rId600" ref="E158"/>
    <hyperlink r:id="rId601" ref="Y158"/>
    <hyperlink r:id="rId602" ref="B159"/>
    <hyperlink r:id="rId603" ref="C159"/>
    <hyperlink r:id="rId604" ref="E159"/>
    <hyperlink r:id="rId605" ref="Y159"/>
    <hyperlink r:id="rId606" ref="B160"/>
    <hyperlink r:id="rId607" ref="C160"/>
    <hyperlink r:id="rId608" ref="E160"/>
    <hyperlink r:id="rId609" ref="Y160"/>
    <hyperlink r:id="rId610" ref="B161"/>
    <hyperlink r:id="rId611" ref="C161"/>
    <hyperlink r:id="rId612" ref="E161"/>
    <hyperlink r:id="rId613" ref="Y161"/>
    <hyperlink r:id="rId614" ref="B162"/>
    <hyperlink r:id="rId615" ref="C162"/>
    <hyperlink r:id="rId616" ref="E162"/>
    <hyperlink r:id="rId617" ref="Y162"/>
    <hyperlink r:id="rId618" ref="B163"/>
    <hyperlink r:id="rId619" ref="C163"/>
    <hyperlink r:id="rId620" ref="E163"/>
    <hyperlink r:id="rId621" ref="Y163"/>
    <hyperlink r:id="rId622" ref="B164"/>
    <hyperlink r:id="rId623" ref="C164"/>
    <hyperlink r:id="rId624" ref="E164"/>
    <hyperlink r:id="rId625" ref="Y164"/>
    <hyperlink r:id="rId626" ref="B165"/>
    <hyperlink r:id="rId627" ref="C165"/>
    <hyperlink r:id="rId628" ref="E165"/>
    <hyperlink r:id="rId629" ref="Y165"/>
    <hyperlink r:id="rId630" ref="B166"/>
    <hyperlink r:id="rId631" ref="C166"/>
    <hyperlink r:id="rId632" ref="E166"/>
    <hyperlink r:id="rId633" ref="Y166"/>
    <hyperlink r:id="rId634" ref="B167"/>
    <hyperlink r:id="rId635" ref="C167"/>
    <hyperlink r:id="rId636" ref="E167"/>
    <hyperlink r:id="rId637" ref="Y167"/>
    <hyperlink r:id="rId638" ref="B168"/>
    <hyperlink r:id="rId639" ref="C168"/>
    <hyperlink r:id="rId640" ref="E168"/>
    <hyperlink r:id="rId641" ref="Y168"/>
    <hyperlink r:id="rId642" ref="B169"/>
    <hyperlink r:id="rId643" ref="C169"/>
    <hyperlink r:id="rId644" ref="E169"/>
    <hyperlink r:id="rId645" ref="Y169"/>
    <hyperlink r:id="rId646" ref="B170"/>
    <hyperlink r:id="rId647" ref="C170"/>
    <hyperlink r:id="rId648" ref="E170"/>
    <hyperlink r:id="rId649" ref="Y170"/>
    <hyperlink r:id="rId650" ref="B171"/>
    <hyperlink r:id="rId651" ref="C171"/>
    <hyperlink r:id="rId652" ref="E171"/>
    <hyperlink r:id="rId653" ref="Y171"/>
    <hyperlink r:id="rId654" ref="B172"/>
    <hyperlink r:id="rId655" ref="C172"/>
    <hyperlink r:id="rId656" ref="E172"/>
    <hyperlink r:id="rId657" ref="Y172"/>
    <hyperlink r:id="rId658" ref="B173"/>
    <hyperlink r:id="rId659" ref="C173"/>
    <hyperlink r:id="rId660" ref="E173"/>
    <hyperlink r:id="rId661" ref="Y173"/>
    <hyperlink r:id="rId662" ref="B174"/>
    <hyperlink r:id="rId663" ref="C174"/>
    <hyperlink r:id="rId664" ref="E174"/>
    <hyperlink r:id="rId665" ref="Y174"/>
    <hyperlink r:id="rId666" ref="B175"/>
    <hyperlink r:id="rId667" ref="C175"/>
    <hyperlink r:id="rId668" ref="E175"/>
    <hyperlink r:id="rId669" ref="Y175"/>
    <hyperlink r:id="rId670" ref="B176"/>
    <hyperlink r:id="rId671" ref="C176"/>
    <hyperlink r:id="rId672" ref="E176"/>
    <hyperlink r:id="rId673" ref="Y176"/>
    <hyperlink r:id="rId674" ref="B177"/>
    <hyperlink r:id="rId675" ref="C177"/>
    <hyperlink r:id="rId676" ref="E177"/>
    <hyperlink r:id="rId677" ref="Y177"/>
    <hyperlink r:id="rId678" ref="B178"/>
    <hyperlink r:id="rId679" ref="C178"/>
    <hyperlink r:id="rId680" ref="E178"/>
    <hyperlink r:id="rId681" ref="Y178"/>
    <hyperlink r:id="rId682" ref="B179"/>
    <hyperlink r:id="rId683" ref="C179"/>
    <hyperlink r:id="rId684" ref="E179"/>
    <hyperlink r:id="rId685" ref="Y179"/>
    <hyperlink r:id="rId686" ref="B180"/>
    <hyperlink r:id="rId687" ref="C180"/>
    <hyperlink r:id="rId688" ref="E180"/>
    <hyperlink r:id="rId689" ref="Y180"/>
    <hyperlink r:id="rId690" ref="B181"/>
    <hyperlink r:id="rId691" ref="C181"/>
    <hyperlink r:id="rId692" ref="E181"/>
    <hyperlink r:id="rId693" ref="Y181"/>
    <hyperlink r:id="rId694" ref="B182"/>
    <hyperlink r:id="rId695" ref="C182"/>
    <hyperlink r:id="rId696" ref="E182"/>
    <hyperlink r:id="rId697" ref="Y182"/>
    <hyperlink r:id="rId698" ref="B184"/>
    <hyperlink r:id="rId699" ref="C184"/>
    <hyperlink r:id="rId700" ref="E184"/>
    <hyperlink r:id="rId701" ref="Y184"/>
    <hyperlink r:id="rId702" ref="B185"/>
    <hyperlink r:id="rId703" ref="C185"/>
    <hyperlink r:id="rId704" ref="E185"/>
    <hyperlink r:id="rId705" ref="Y185"/>
    <hyperlink r:id="rId706" ref="B186"/>
    <hyperlink r:id="rId707" ref="C186"/>
    <hyperlink r:id="rId708" ref="E186"/>
    <hyperlink r:id="rId709" ref="Y186"/>
    <hyperlink r:id="rId710" ref="B187"/>
    <hyperlink r:id="rId711" ref="C187"/>
    <hyperlink r:id="rId712" ref="E187"/>
    <hyperlink r:id="rId713" ref="Y187"/>
    <hyperlink r:id="rId714" ref="B188"/>
    <hyperlink r:id="rId715" ref="C188"/>
    <hyperlink r:id="rId716" ref="E188"/>
    <hyperlink r:id="rId717" ref="Y188"/>
    <hyperlink r:id="rId718" ref="B189"/>
    <hyperlink r:id="rId719" ref="C189"/>
    <hyperlink r:id="rId720" ref="E189"/>
    <hyperlink r:id="rId721" ref="Y189"/>
    <hyperlink r:id="rId722" ref="B190"/>
    <hyperlink r:id="rId723" ref="C190"/>
    <hyperlink r:id="rId724" ref="E190"/>
    <hyperlink r:id="rId725" ref="Y190"/>
    <hyperlink r:id="rId726" ref="B191"/>
    <hyperlink r:id="rId727" ref="C191"/>
    <hyperlink r:id="rId728" ref="E191"/>
    <hyperlink r:id="rId729" ref="Y191"/>
    <hyperlink r:id="rId730" ref="B192"/>
    <hyperlink r:id="rId731" ref="C192"/>
    <hyperlink r:id="rId732" ref="E192"/>
    <hyperlink r:id="rId733" ref="Y192"/>
    <hyperlink r:id="rId734" ref="B193"/>
    <hyperlink r:id="rId735" ref="C193"/>
    <hyperlink r:id="rId736" ref="E193"/>
    <hyperlink r:id="rId737" ref="Y193"/>
    <hyperlink r:id="rId738" ref="B194"/>
    <hyperlink r:id="rId739" ref="C194"/>
    <hyperlink r:id="rId740" ref="E194"/>
    <hyperlink r:id="rId741" ref="Y194"/>
    <hyperlink r:id="rId742" ref="B195"/>
    <hyperlink r:id="rId743" ref="C195"/>
    <hyperlink r:id="rId744" ref="E195"/>
    <hyperlink r:id="rId745" ref="Y195"/>
    <hyperlink r:id="rId746" ref="B196"/>
    <hyperlink r:id="rId747" ref="C196"/>
    <hyperlink r:id="rId748" ref="E196"/>
    <hyperlink r:id="rId749" ref="Y196"/>
    <hyperlink r:id="rId750" ref="B197"/>
    <hyperlink r:id="rId751" ref="C197"/>
    <hyperlink r:id="rId752" ref="E197"/>
    <hyperlink r:id="rId753" ref="Y197"/>
    <hyperlink r:id="rId754" ref="B198"/>
    <hyperlink r:id="rId755" ref="C198"/>
    <hyperlink r:id="rId756" ref="E198"/>
    <hyperlink r:id="rId757" ref="Y198"/>
    <hyperlink r:id="rId758" ref="B199"/>
    <hyperlink r:id="rId759" ref="C199"/>
    <hyperlink r:id="rId760" ref="E199"/>
    <hyperlink r:id="rId761" ref="Y199"/>
    <hyperlink r:id="rId762" ref="B200"/>
    <hyperlink r:id="rId763" ref="C200"/>
    <hyperlink r:id="rId764" ref="E200"/>
    <hyperlink r:id="rId765" ref="Y200"/>
    <hyperlink r:id="rId766" ref="B201"/>
    <hyperlink r:id="rId767" ref="C201"/>
    <hyperlink r:id="rId768" ref="E201"/>
    <hyperlink r:id="rId769" ref="Y201"/>
    <hyperlink r:id="rId770" ref="B202"/>
    <hyperlink r:id="rId771" ref="C202"/>
    <hyperlink r:id="rId772" ref="E202"/>
    <hyperlink r:id="rId773" ref="Y202"/>
    <hyperlink r:id="rId774" ref="B203"/>
    <hyperlink r:id="rId775" ref="C203"/>
    <hyperlink r:id="rId776" ref="E203"/>
    <hyperlink r:id="rId777" ref="Y203"/>
    <hyperlink r:id="rId778" ref="B204"/>
    <hyperlink r:id="rId779" ref="C204"/>
    <hyperlink r:id="rId780" ref="E204"/>
    <hyperlink r:id="rId781" ref="Y204"/>
    <hyperlink r:id="rId782" ref="B205"/>
    <hyperlink r:id="rId783" ref="C205"/>
    <hyperlink r:id="rId784" ref="E205"/>
    <hyperlink r:id="rId785" ref="Y205"/>
    <hyperlink r:id="rId786" ref="B206"/>
    <hyperlink r:id="rId787" ref="C206"/>
    <hyperlink r:id="rId788" ref="E206"/>
    <hyperlink r:id="rId789" ref="Y206"/>
    <hyperlink r:id="rId790" ref="B207"/>
    <hyperlink r:id="rId791" ref="C207"/>
    <hyperlink r:id="rId792" ref="E207"/>
    <hyperlink r:id="rId793" ref="Y207"/>
    <hyperlink r:id="rId794" ref="B208"/>
    <hyperlink r:id="rId795" ref="C208"/>
    <hyperlink r:id="rId796" ref="E208"/>
    <hyperlink r:id="rId797" ref="Y208"/>
    <hyperlink r:id="rId798" ref="B210"/>
    <hyperlink r:id="rId799" ref="C210"/>
    <hyperlink r:id="rId800" ref="E210"/>
    <hyperlink r:id="rId801" ref="Y210"/>
    <hyperlink r:id="rId802" ref="B211"/>
    <hyperlink r:id="rId803" ref="C211"/>
    <hyperlink r:id="rId804" ref="E211"/>
    <hyperlink r:id="rId805" ref="Y211"/>
    <hyperlink r:id="rId806" ref="B212"/>
    <hyperlink r:id="rId807" ref="C212"/>
    <hyperlink r:id="rId808" ref="E212"/>
    <hyperlink r:id="rId809" ref="Y212"/>
    <hyperlink r:id="rId810" ref="B213"/>
    <hyperlink r:id="rId811" ref="C213"/>
    <hyperlink r:id="rId812" ref="E213"/>
    <hyperlink r:id="rId813" ref="Y213"/>
    <hyperlink r:id="rId814" ref="B214"/>
    <hyperlink r:id="rId815" ref="C214"/>
    <hyperlink r:id="rId816" ref="E214"/>
    <hyperlink r:id="rId817" ref="Y214"/>
    <hyperlink r:id="rId818" ref="B215"/>
    <hyperlink r:id="rId819" ref="C215"/>
    <hyperlink r:id="rId820" ref="E215"/>
    <hyperlink r:id="rId821" ref="Y215"/>
    <hyperlink r:id="rId822" ref="B216"/>
    <hyperlink r:id="rId823" ref="C216"/>
    <hyperlink r:id="rId824" ref="E216"/>
    <hyperlink r:id="rId825" ref="Y216"/>
    <hyperlink r:id="rId826" ref="B217"/>
    <hyperlink r:id="rId827" ref="C217"/>
    <hyperlink r:id="rId828" ref="E217"/>
    <hyperlink r:id="rId829" ref="Y217"/>
    <hyperlink r:id="rId830" ref="B218"/>
    <hyperlink r:id="rId831" ref="C218"/>
    <hyperlink r:id="rId832" ref="E218"/>
    <hyperlink r:id="rId833" ref="Y218"/>
    <hyperlink r:id="rId834" ref="B219"/>
    <hyperlink r:id="rId835" ref="C219"/>
    <hyperlink r:id="rId836" ref="E219"/>
    <hyperlink r:id="rId837" ref="Y219"/>
    <hyperlink r:id="rId838" ref="B220"/>
    <hyperlink r:id="rId839" ref="C220"/>
    <hyperlink r:id="rId840" ref="E220"/>
    <hyperlink r:id="rId841" ref="Y220"/>
    <hyperlink r:id="rId842" ref="B221"/>
    <hyperlink r:id="rId843" ref="C221"/>
    <hyperlink r:id="rId844" ref="E221"/>
    <hyperlink r:id="rId845" ref="Y221"/>
    <hyperlink r:id="rId846" ref="B222"/>
    <hyperlink r:id="rId847" ref="C222"/>
    <hyperlink r:id="rId848" ref="E222"/>
    <hyperlink r:id="rId849" ref="Y222"/>
    <hyperlink r:id="rId850" ref="B223"/>
    <hyperlink r:id="rId851" ref="C223"/>
    <hyperlink r:id="rId852" ref="E223"/>
    <hyperlink r:id="rId853" ref="Y223"/>
    <hyperlink r:id="rId854" ref="B224"/>
    <hyperlink r:id="rId855" ref="C224"/>
    <hyperlink r:id="rId856" ref="E224"/>
    <hyperlink r:id="rId857" ref="Y224"/>
    <hyperlink r:id="rId858" ref="B225"/>
    <hyperlink r:id="rId859" ref="C225"/>
    <hyperlink r:id="rId860" ref="E225"/>
    <hyperlink r:id="rId861" ref="Y225"/>
    <hyperlink r:id="rId862" ref="B226"/>
    <hyperlink r:id="rId863" ref="C226"/>
    <hyperlink r:id="rId864" ref="E226"/>
    <hyperlink r:id="rId865" ref="Y226"/>
    <hyperlink r:id="rId866" ref="B227"/>
    <hyperlink r:id="rId867" ref="C227"/>
    <hyperlink r:id="rId868" ref="E227"/>
    <hyperlink r:id="rId869" ref="Y227"/>
    <hyperlink r:id="rId870" ref="B228"/>
    <hyperlink r:id="rId871" ref="C228"/>
    <hyperlink r:id="rId872" ref="E228"/>
    <hyperlink r:id="rId873" ref="Y228"/>
    <hyperlink r:id="rId874" ref="B229"/>
    <hyperlink r:id="rId875" ref="C229"/>
    <hyperlink r:id="rId876" ref="E229"/>
    <hyperlink r:id="rId877" ref="Y229"/>
    <hyperlink r:id="rId878" ref="B230"/>
    <hyperlink r:id="rId879" ref="C230"/>
    <hyperlink r:id="rId880" ref="E230"/>
    <hyperlink r:id="rId881" ref="Y230"/>
    <hyperlink r:id="rId882" ref="B231"/>
    <hyperlink r:id="rId883" ref="C231"/>
    <hyperlink r:id="rId884" ref="E231"/>
    <hyperlink r:id="rId885" ref="Y231"/>
    <hyperlink r:id="rId886" ref="B232"/>
    <hyperlink r:id="rId887" ref="C232"/>
    <hyperlink r:id="rId888" ref="E232"/>
    <hyperlink r:id="rId889" ref="Y232"/>
    <hyperlink r:id="rId890" ref="B233"/>
    <hyperlink r:id="rId891" ref="C233"/>
    <hyperlink r:id="rId892" ref="E233"/>
    <hyperlink r:id="rId893" ref="Y233"/>
    <hyperlink r:id="rId894" ref="B234"/>
    <hyperlink r:id="rId895" ref="C234"/>
    <hyperlink r:id="rId896" ref="E234"/>
    <hyperlink r:id="rId897" ref="Y234"/>
    <hyperlink r:id="rId898" ref="B236"/>
    <hyperlink r:id="rId899" ref="C236"/>
    <hyperlink r:id="rId900" ref="E236"/>
    <hyperlink r:id="rId901" ref="Y236"/>
    <hyperlink r:id="rId902" ref="B237"/>
    <hyperlink r:id="rId903" ref="C237"/>
    <hyperlink r:id="rId904" ref="E237"/>
    <hyperlink r:id="rId905" ref="Y237"/>
    <hyperlink r:id="rId906" ref="B238"/>
    <hyperlink r:id="rId907" ref="C238"/>
    <hyperlink r:id="rId908" ref="E238"/>
    <hyperlink r:id="rId909" ref="Y238"/>
    <hyperlink r:id="rId910" ref="B239"/>
    <hyperlink r:id="rId911" ref="C239"/>
    <hyperlink r:id="rId912" ref="E239"/>
    <hyperlink r:id="rId913" ref="Y239"/>
    <hyperlink r:id="rId914" ref="B240"/>
    <hyperlink r:id="rId915" ref="C240"/>
    <hyperlink r:id="rId916" ref="E240"/>
    <hyperlink r:id="rId917" ref="Y240"/>
    <hyperlink r:id="rId918" ref="B241"/>
    <hyperlink r:id="rId919" ref="C241"/>
    <hyperlink r:id="rId920" ref="E241"/>
    <hyperlink r:id="rId921" ref="Y241"/>
    <hyperlink r:id="rId922" ref="B242"/>
    <hyperlink r:id="rId923" ref="C242"/>
    <hyperlink r:id="rId924" ref="E242"/>
    <hyperlink r:id="rId925" ref="Y242"/>
    <hyperlink r:id="rId926" ref="B243"/>
    <hyperlink r:id="rId927" ref="C243"/>
    <hyperlink r:id="rId928" ref="E243"/>
    <hyperlink r:id="rId929" ref="Y243"/>
    <hyperlink r:id="rId930" ref="B244"/>
    <hyperlink r:id="rId931" ref="C244"/>
    <hyperlink r:id="rId932" ref="E244"/>
    <hyperlink r:id="rId933" ref="Y244"/>
    <hyperlink r:id="rId934" ref="B245"/>
    <hyperlink r:id="rId935" ref="C245"/>
    <hyperlink r:id="rId936" ref="E245"/>
    <hyperlink r:id="rId937" ref="Y245"/>
    <hyperlink r:id="rId938" ref="B246"/>
    <hyperlink r:id="rId939" ref="C246"/>
    <hyperlink r:id="rId940" ref="E246"/>
    <hyperlink r:id="rId941" ref="Y246"/>
    <hyperlink r:id="rId942" ref="B247"/>
    <hyperlink r:id="rId943" ref="C247"/>
    <hyperlink r:id="rId944" ref="E247"/>
    <hyperlink r:id="rId945" ref="Y247"/>
    <hyperlink r:id="rId946" ref="B248"/>
    <hyperlink r:id="rId947" ref="C248"/>
    <hyperlink r:id="rId948" ref="E248"/>
    <hyperlink r:id="rId949" ref="Y248"/>
    <hyperlink r:id="rId950" ref="B249"/>
    <hyperlink r:id="rId951" ref="C249"/>
    <hyperlink r:id="rId952" ref="E249"/>
    <hyperlink r:id="rId953" ref="Y249"/>
    <hyperlink r:id="rId954" ref="B250"/>
    <hyperlink r:id="rId955" ref="C250"/>
    <hyperlink r:id="rId956" ref="E250"/>
    <hyperlink r:id="rId957" ref="Y250"/>
    <hyperlink r:id="rId958" ref="B251"/>
    <hyperlink r:id="rId959" ref="C251"/>
    <hyperlink r:id="rId960" ref="E251"/>
    <hyperlink r:id="rId961" ref="Y251"/>
    <hyperlink r:id="rId962" ref="B252"/>
    <hyperlink r:id="rId963" ref="E252"/>
    <hyperlink r:id="rId964" ref="Y252"/>
    <hyperlink r:id="rId965" ref="B253"/>
    <hyperlink r:id="rId966" ref="C253"/>
    <hyperlink r:id="rId967" ref="E253"/>
    <hyperlink r:id="rId968" ref="Y253"/>
    <hyperlink r:id="rId969" ref="B254"/>
    <hyperlink r:id="rId970" ref="C254"/>
    <hyperlink r:id="rId971" ref="E254"/>
    <hyperlink r:id="rId972" ref="Y254"/>
    <hyperlink r:id="rId973" ref="B255"/>
    <hyperlink r:id="rId974" ref="C255"/>
    <hyperlink r:id="rId975" ref="E255"/>
    <hyperlink r:id="rId976" ref="Y255"/>
    <hyperlink r:id="rId977" ref="B256"/>
    <hyperlink r:id="rId978" ref="C256"/>
    <hyperlink r:id="rId979" ref="E256"/>
    <hyperlink r:id="rId980" ref="Y256"/>
    <hyperlink r:id="rId981" ref="B257"/>
    <hyperlink r:id="rId982" ref="C257"/>
    <hyperlink r:id="rId983" ref="E257"/>
    <hyperlink r:id="rId984" ref="Y257"/>
    <hyperlink r:id="rId985" ref="B258"/>
    <hyperlink r:id="rId986" ref="C258"/>
    <hyperlink r:id="rId987" ref="E258"/>
    <hyperlink r:id="rId988" ref="Y258"/>
    <hyperlink r:id="rId989" ref="B259"/>
    <hyperlink r:id="rId990" ref="C259"/>
    <hyperlink r:id="rId991" ref="E259"/>
    <hyperlink r:id="rId992" ref="Y259"/>
    <hyperlink r:id="rId993" ref="B260"/>
    <hyperlink r:id="rId994" ref="C260"/>
    <hyperlink r:id="rId995" ref="E260"/>
    <hyperlink r:id="rId996" ref="Y260"/>
    <hyperlink r:id="rId997" ref="B262"/>
    <hyperlink r:id="rId998" ref="C262"/>
    <hyperlink r:id="rId999" ref="E262"/>
    <hyperlink r:id="rId1000" ref="Y262"/>
    <hyperlink r:id="rId1001" ref="B263"/>
    <hyperlink r:id="rId1002" ref="C263"/>
    <hyperlink r:id="rId1003" ref="E263"/>
    <hyperlink r:id="rId1004" ref="Y263"/>
    <hyperlink r:id="rId1005" ref="B264"/>
    <hyperlink r:id="rId1006" ref="C264"/>
    <hyperlink r:id="rId1007" ref="E264"/>
    <hyperlink r:id="rId1008" ref="Y264"/>
    <hyperlink r:id="rId1009" ref="B265"/>
    <hyperlink r:id="rId1010" ref="C265"/>
    <hyperlink r:id="rId1011" ref="E265"/>
    <hyperlink r:id="rId1012" ref="Y265"/>
    <hyperlink r:id="rId1013" ref="B266"/>
    <hyperlink r:id="rId1014" ref="C266"/>
    <hyperlink r:id="rId1015" ref="E266"/>
    <hyperlink r:id="rId1016" ref="Y266"/>
    <hyperlink r:id="rId1017" ref="B267"/>
    <hyperlink r:id="rId1018" ref="C267"/>
    <hyperlink r:id="rId1019" ref="E267"/>
    <hyperlink r:id="rId1020" ref="Y267"/>
    <hyperlink r:id="rId1021" ref="B268"/>
    <hyperlink r:id="rId1022" ref="C268"/>
    <hyperlink r:id="rId1023" ref="E268"/>
    <hyperlink r:id="rId1024" ref="Y268"/>
    <hyperlink r:id="rId1025" ref="B269"/>
    <hyperlink r:id="rId1026" ref="C269"/>
    <hyperlink r:id="rId1027" ref="E269"/>
    <hyperlink r:id="rId1028" ref="Y269"/>
    <hyperlink r:id="rId1029" ref="B270"/>
    <hyperlink r:id="rId1030" ref="C270"/>
    <hyperlink r:id="rId1031" ref="E270"/>
    <hyperlink r:id="rId1032" ref="Y270"/>
    <hyperlink r:id="rId1033" ref="B271"/>
    <hyperlink r:id="rId1034" ref="C271"/>
    <hyperlink r:id="rId1035" ref="E271"/>
    <hyperlink r:id="rId1036" ref="Y271"/>
    <hyperlink r:id="rId1037" ref="B272"/>
    <hyperlink r:id="rId1038" ref="C272"/>
    <hyperlink r:id="rId1039" ref="E272"/>
    <hyperlink r:id="rId1040" ref="Y272"/>
    <hyperlink r:id="rId1041" ref="B273"/>
    <hyperlink r:id="rId1042" ref="C273"/>
    <hyperlink r:id="rId1043" ref="E273"/>
    <hyperlink r:id="rId1044" ref="Y273"/>
    <hyperlink r:id="rId1045" ref="B274"/>
    <hyperlink r:id="rId1046" ref="C274"/>
    <hyperlink r:id="rId1047" ref="E274"/>
    <hyperlink r:id="rId1048" ref="Y274"/>
    <hyperlink r:id="rId1049" ref="B275"/>
    <hyperlink r:id="rId1050" ref="C275"/>
    <hyperlink r:id="rId1051" ref="E275"/>
    <hyperlink r:id="rId1052" ref="Y275"/>
    <hyperlink r:id="rId1053" ref="B276"/>
    <hyperlink r:id="rId1054" ref="C276"/>
    <hyperlink r:id="rId1055" ref="E276"/>
    <hyperlink r:id="rId1056" ref="Y276"/>
    <hyperlink r:id="rId1057" ref="B277"/>
    <hyperlink r:id="rId1058" ref="C277"/>
    <hyperlink r:id="rId1059" ref="E277"/>
    <hyperlink r:id="rId1060" ref="Y277"/>
    <hyperlink r:id="rId1061" ref="B278"/>
    <hyperlink r:id="rId1062" ref="C278"/>
    <hyperlink r:id="rId1063" ref="E278"/>
    <hyperlink r:id="rId1064" ref="Y278"/>
    <hyperlink r:id="rId1065" ref="B279"/>
    <hyperlink r:id="rId1066" ref="C279"/>
    <hyperlink r:id="rId1067" ref="E279"/>
    <hyperlink r:id="rId1068" ref="Y279"/>
    <hyperlink r:id="rId1069" ref="B280"/>
    <hyperlink r:id="rId1070" ref="C280"/>
    <hyperlink r:id="rId1071" ref="E280"/>
    <hyperlink r:id="rId1072" ref="Y280"/>
    <hyperlink r:id="rId1073" ref="B281"/>
    <hyperlink r:id="rId1074" ref="C281"/>
    <hyperlink r:id="rId1075" ref="E281"/>
    <hyperlink r:id="rId1076" ref="Y281"/>
    <hyperlink r:id="rId1077" ref="B282"/>
    <hyperlink r:id="rId1078" ref="C282"/>
    <hyperlink r:id="rId1079" ref="E282"/>
    <hyperlink r:id="rId1080" ref="Y282"/>
    <hyperlink r:id="rId1081" ref="B283"/>
    <hyperlink r:id="rId1082" ref="C283"/>
    <hyperlink r:id="rId1083" ref="E283"/>
    <hyperlink r:id="rId1084" ref="Y283"/>
    <hyperlink r:id="rId1085" ref="B284"/>
    <hyperlink r:id="rId1086" ref="C284"/>
    <hyperlink r:id="rId1087" ref="E284"/>
    <hyperlink r:id="rId1088" ref="Y284"/>
    <hyperlink r:id="rId1089" ref="B285"/>
    <hyperlink r:id="rId1090" ref="E285"/>
    <hyperlink r:id="rId1091" ref="Y285"/>
    <hyperlink r:id="rId1092" ref="B286"/>
    <hyperlink r:id="rId1093" ref="C286"/>
    <hyperlink r:id="rId1094" ref="E286"/>
    <hyperlink r:id="rId1095" ref="Y286"/>
    <hyperlink r:id="rId1096" ref="B288"/>
    <hyperlink r:id="rId1097" ref="C288"/>
    <hyperlink r:id="rId1098" ref="E288"/>
    <hyperlink r:id="rId1099" ref="Y288"/>
    <hyperlink r:id="rId1100" ref="B289"/>
    <hyperlink r:id="rId1101" ref="C289"/>
    <hyperlink r:id="rId1102" ref="E289"/>
    <hyperlink r:id="rId1103" ref="Y289"/>
    <hyperlink r:id="rId1104" ref="B290"/>
    <hyperlink r:id="rId1105" ref="C290"/>
    <hyperlink r:id="rId1106" ref="E290"/>
    <hyperlink r:id="rId1107" ref="Y290"/>
    <hyperlink r:id="rId1108" ref="B291"/>
    <hyperlink r:id="rId1109" ref="C291"/>
    <hyperlink r:id="rId1110" ref="E291"/>
    <hyperlink r:id="rId1111" ref="Y291"/>
    <hyperlink r:id="rId1112" ref="B292"/>
    <hyperlink r:id="rId1113" ref="C292"/>
    <hyperlink r:id="rId1114" ref="E292"/>
    <hyperlink r:id="rId1115" ref="Y292"/>
    <hyperlink r:id="rId1116" ref="B293"/>
    <hyperlink r:id="rId1117" ref="C293"/>
    <hyperlink r:id="rId1118" ref="E293"/>
    <hyperlink r:id="rId1119" ref="Y293"/>
    <hyperlink r:id="rId1120" ref="B294"/>
    <hyperlink r:id="rId1121" ref="C294"/>
    <hyperlink r:id="rId1122" ref="E294"/>
    <hyperlink r:id="rId1123" ref="Y294"/>
    <hyperlink r:id="rId1124" ref="B295"/>
    <hyperlink r:id="rId1125" ref="C295"/>
    <hyperlink r:id="rId1126" ref="E295"/>
    <hyperlink r:id="rId1127" ref="Y295"/>
    <hyperlink r:id="rId1128" ref="B296"/>
    <hyperlink r:id="rId1129" ref="C296"/>
    <hyperlink r:id="rId1130" ref="E296"/>
    <hyperlink r:id="rId1131" ref="Y296"/>
    <hyperlink r:id="rId1132" ref="B297"/>
    <hyperlink r:id="rId1133" ref="C297"/>
    <hyperlink r:id="rId1134" ref="E297"/>
    <hyperlink r:id="rId1135" ref="Y297"/>
    <hyperlink r:id="rId1136" ref="B298"/>
    <hyperlink r:id="rId1137" ref="C298"/>
    <hyperlink r:id="rId1138" ref="E298"/>
    <hyperlink r:id="rId1139" ref="Y298"/>
    <hyperlink r:id="rId1140" ref="B299"/>
    <hyperlink r:id="rId1141" ref="C299"/>
    <hyperlink r:id="rId1142" ref="E299"/>
    <hyperlink r:id="rId1143" ref="Y299"/>
    <hyperlink r:id="rId1144" ref="B300"/>
    <hyperlink r:id="rId1145" ref="C300"/>
    <hyperlink r:id="rId1146" ref="E300"/>
    <hyperlink r:id="rId1147" ref="Y300"/>
    <hyperlink r:id="rId1148" ref="B301"/>
    <hyperlink r:id="rId1149" ref="C301"/>
    <hyperlink r:id="rId1150" ref="E301"/>
    <hyperlink r:id="rId1151" ref="Y301"/>
    <hyperlink r:id="rId1152" ref="B302"/>
    <hyperlink r:id="rId1153" ref="C302"/>
    <hyperlink r:id="rId1154" ref="E302"/>
    <hyperlink r:id="rId1155" ref="Y302"/>
    <hyperlink r:id="rId1156" ref="B303"/>
    <hyperlink r:id="rId1157" ref="C303"/>
    <hyperlink r:id="rId1158" ref="E303"/>
    <hyperlink r:id="rId1159" ref="Y303"/>
    <hyperlink r:id="rId1160" ref="B304"/>
    <hyperlink r:id="rId1161" ref="C304"/>
    <hyperlink r:id="rId1162" ref="E304"/>
    <hyperlink r:id="rId1163" ref="Y304"/>
    <hyperlink r:id="rId1164" ref="B305"/>
    <hyperlink r:id="rId1165" ref="C305"/>
    <hyperlink r:id="rId1166" ref="E305"/>
    <hyperlink r:id="rId1167" ref="Y305"/>
    <hyperlink r:id="rId1168" ref="B306"/>
    <hyperlink r:id="rId1169" ref="C306"/>
    <hyperlink r:id="rId1170" ref="E306"/>
    <hyperlink r:id="rId1171" ref="Y306"/>
    <hyperlink r:id="rId1172" ref="B307"/>
    <hyperlink r:id="rId1173" ref="C307"/>
    <hyperlink r:id="rId1174" ref="E307"/>
    <hyperlink r:id="rId1175" ref="Y307"/>
    <hyperlink r:id="rId1176" ref="B308"/>
    <hyperlink r:id="rId1177" ref="C308"/>
    <hyperlink r:id="rId1178" ref="E308"/>
    <hyperlink r:id="rId1179" ref="Y308"/>
    <hyperlink r:id="rId1180" ref="B309"/>
    <hyperlink r:id="rId1181" ref="C309"/>
    <hyperlink r:id="rId1182" ref="E309"/>
    <hyperlink r:id="rId1183" ref="Y309"/>
    <hyperlink r:id="rId1184" ref="B310"/>
    <hyperlink r:id="rId1185" ref="C310"/>
    <hyperlink r:id="rId1186" ref="E310"/>
    <hyperlink r:id="rId1187" ref="Y310"/>
    <hyperlink r:id="rId1188" ref="B311"/>
    <hyperlink r:id="rId1189" ref="C311"/>
    <hyperlink r:id="rId1190" ref="E311"/>
    <hyperlink r:id="rId1191" ref="Y311"/>
    <hyperlink r:id="rId1192" ref="B312"/>
    <hyperlink r:id="rId1193" ref="C312"/>
    <hyperlink r:id="rId1194" ref="E312"/>
    <hyperlink r:id="rId1195" ref="Y312"/>
    <hyperlink r:id="rId1196" ref="B314"/>
    <hyperlink r:id="rId1197" ref="C314"/>
    <hyperlink r:id="rId1198" ref="E314"/>
    <hyperlink r:id="rId1199" ref="Y314"/>
    <hyperlink r:id="rId1200" ref="B315"/>
    <hyperlink r:id="rId1201" ref="C315"/>
    <hyperlink r:id="rId1202" ref="E315"/>
    <hyperlink r:id="rId1203" ref="Y315"/>
    <hyperlink r:id="rId1204" ref="B316"/>
    <hyperlink r:id="rId1205" ref="C316"/>
    <hyperlink r:id="rId1206" ref="E316"/>
    <hyperlink r:id="rId1207" ref="Y316"/>
    <hyperlink r:id="rId1208" ref="B317"/>
    <hyperlink r:id="rId1209" ref="C317"/>
    <hyperlink r:id="rId1210" ref="E317"/>
    <hyperlink r:id="rId1211" ref="Y317"/>
    <hyperlink r:id="rId1212" ref="B318"/>
    <hyperlink r:id="rId1213" ref="C318"/>
    <hyperlink r:id="rId1214" ref="E318"/>
    <hyperlink r:id="rId1215" ref="Y318"/>
    <hyperlink r:id="rId1216" ref="B319"/>
    <hyperlink r:id="rId1217" ref="C319"/>
    <hyperlink r:id="rId1218" ref="E319"/>
    <hyperlink r:id="rId1219" ref="Y319"/>
    <hyperlink r:id="rId1220" ref="B320"/>
    <hyperlink r:id="rId1221" ref="C320"/>
    <hyperlink r:id="rId1222" ref="E320"/>
    <hyperlink r:id="rId1223" ref="Y320"/>
    <hyperlink r:id="rId1224" ref="B321"/>
    <hyperlink r:id="rId1225" ref="C321"/>
    <hyperlink r:id="rId1226" ref="E321"/>
    <hyperlink r:id="rId1227" ref="Y321"/>
    <hyperlink r:id="rId1228" ref="B322"/>
    <hyperlink r:id="rId1229" ref="C322"/>
    <hyperlink r:id="rId1230" ref="E322"/>
    <hyperlink r:id="rId1231" ref="Y322"/>
    <hyperlink r:id="rId1232" ref="B323"/>
    <hyperlink r:id="rId1233" ref="C323"/>
    <hyperlink r:id="rId1234" ref="E323"/>
    <hyperlink r:id="rId1235" ref="Y323"/>
    <hyperlink r:id="rId1236" ref="B324"/>
    <hyperlink r:id="rId1237" ref="C324"/>
    <hyperlink r:id="rId1238" ref="E324"/>
    <hyperlink r:id="rId1239" ref="Y324"/>
    <hyperlink r:id="rId1240" ref="B325"/>
    <hyperlink r:id="rId1241" ref="C325"/>
    <hyperlink r:id="rId1242" ref="E325"/>
    <hyperlink r:id="rId1243" ref="Y325"/>
    <hyperlink r:id="rId1244" ref="B326"/>
    <hyperlink r:id="rId1245" ref="C326"/>
    <hyperlink r:id="rId1246" ref="E326"/>
    <hyperlink r:id="rId1247" ref="Y326"/>
    <hyperlink r:id="rId1248" ref="B327"/>
    <hyperlink r:id="rId1249" ref="C327"/>
    <hyperlink r:id="rId1250" ref="E327"/>
    <hyperlink r:id="rId1251" ref="Y327"/>
    <hyperlink r:id="rId1252" ref="B328"/>
    <hyperlink r:id="rId1253" ref="C328"/>
    <hyperlink r:id="rId1254" ref="E328"/>
    <hyperlink r:id="rId1255" ref="Y328"/>
    <hyperlink r:id="rId1256" ref="B329"/>
    <hyperlink r:id="rId1257" ref="C329"/>
    <hyperlink r:id="rId1258" ref="E329"/>
    <hyperlink r:id="rId1259" ref="Y329"/>
    <hyperlink r:id="rId1260" ref="B330"/>
    <hyperlink r:id="rId1261" ref="C330"/>
    <hyperlink r:id="rId1262" ref="E330"/>
    <hyperlink r:id="rId1263" ref="Y330"/>
    <hyperlink r:id="rId1264" ref="B331"/>
    <hyperlink r:id="rId1265" ref="C331"/>
    <hyperlink r:id="rId1266" ref="E331"/>
    <hyperlink r:id="rId1267" ref="Y331"/>
    <hyperlink r:id="rId1268" ref="B332"/>
    <hyperlink r:id="rId1269" ref="C332"/>
    <hyperlink r:id="rId1270" ref="E332"/>
    <hyperlink r:id="rId1271" ref="Y332"/>
    <hyperlink r:id="rId1272" ref="B333"/>
    <hyperlink r:id="rId1273" ref="C333"/>
    <hyperlink r:id="rId1274" ref="E333"/>
    <hyperlink r:id="rId1275" ref="Y333"/>
    <hyperlink r:id="rId1276" ref="B334"/>
    <hyperlink r:id="rId1277" ref="C334"/>
    <hyperlink r:id="rId1278" ref="E334"/>
    <hyperlink r:id="rId1279" ref="Y334"/>
    <hyperlink r:id="rId1280" ref="B335"/>
    <hyperlink r:id="rId1281" ref="C335"/>
    <hyperlink r:id="rId1282" ref="E335"/>
    <hyperlink r:id="rId1283" ref="Y335"/>
    <hyperlink r:id="rId1284" ref="B336"/>
    <hyperlink r:id="rId1285" ref="C336"/>
    <hyperlink r:id="rId1286" ref="E336"/>
    <hyperlink r:id="rId1287" ref="Y336"/>
    <hyperlink r:id="rId1288" ref="B337"/>
    <hyperlink r:id="rId1289" ref="C337"/>
    <hyperlink r:id="rId1290" ref="E337"/>
    <hyperlink r:id="rId1291" ref="Y337"/>
    <hyperlink r:id="rId1292" ref="B338"/>
    <hyperlink r:id="rId1293" ref="C338"/>
    <hyperlink r:id="rId1294" ref="E338"/>
    <hyperlink r:id="rId1295" ref="Y338"/>
    <hyperlink r:id="rId1296" ref="B340"/>
    <hyperlink r:id="rId1297" ref="C340"/>
    <hyperlink r:id="rId1298" ref="E340"/>
    <hyperlink r:id="rId1299" ref="Y340"/>
    <hyperlink r:id="rId1300" ref="B341"/>
    <hyperlink r:id="rId1301" ref="C341"/>
    <hyperlink r:id="rId1302" ref="E341"/>
    <hyperlink r:id="rId1303" ref="Y341"/>
    <hyperlink r:id="rId1304" ref="B342"/>
    <hyperlink r:id="rId1305" ref="C342"/>
    <hyperlink r:id="rId1306" ref="E342"/>
    <hyperlink r:id="rId1307" ref="Y342"/>
    <hyperlink r:id="rId1308" ref="B343"/>
    <hyperlink r:id="rId1309" ref="C343"/>
    <hyperlink r:id="rId1310" ref="E343"/>
    <hyperlink r:id="rId1311" ref="Y343"/>
    <hyperlink r:id="rId1312" ref="B344"/>
    <hyperlink r:id="rId1313" ref="C344"/>
    <hyperlink r:id="rId1314" ref="E344"/>
    <hyperlink r:id="rId1315" ref="Y344"/>
    <hyperlink r:id="rId1316" ref="B345"/>
    <hyperlink r:id="rId1317" ref="C345"/>
    <hyperlink r:id="rId1318" ref="E345"/>
    <hyperlink r:id="rId1319" ref="Y345"/>
    <hyperlink r:id="rId1320" ref="B346"/>
    <hyperlink r:id="rId1321" ref="C346"/>
    <hyperlink r:id="rId1322" ref="E346"/>
    <hyperlink r:id="rId1323" ref="Y346"/>
    <hyperlink r:id="rId1324" ref="B347"/>
    <hyperlink r:id="rId1325" ref="C347"/>
    <hyperlink r:id="rId1326" ref="E347"/>
    <hyperlink r:id="rId1327" ref="Y347"/>
    <hyperlink r:id="rId1328" ref="B348"/>
    <hyperlink r:id="rId1329" ref="C348"/>
    <hyperlink r:id="rId1330" ref="E348"/>
    <hyperlink r:id="rId1331" ref="Y348"/>
    <hyperlink r:id="rId1332" ref="B349"/>
    <hyperlink r:id="rId1333" ref="C349"/>
    <hyperlink r:id="rId1334" ref="E349"/>
    <hyperlink r:id="rId1335" ref="Y349"/>
    <hyperlink r:id="rId1336" ref="B350"/>
    <hyperlink r:id="rId1337" ref="C350"/>
    <hyperlink r:id="rId1338" ref="E350"/>
    <hyperlink r:id="rId1339" ref="Y350"/>
    <hyperlink r:id="rId1340" ref="B351"/>
    <hyperlink r:id="rId1341" ref="E351"/>
    <hyperlink r:id="rId1342" ref="Y351"/>
    <hyperlink r:id="rId1343" ref="B352"/>
    <hyperlink r:id="rId1344" ref="C352"/>
    <hyperlink r:id="rId1345" ref="E352"/>
    <hyperlink r:id="rId1346" ref="Y352"/>
    <hyperlink r:id="rId1347" ref="B353"/>
    <hyperlink r:id="rId1348" ref="C353"/>
    <hyperlink r:id="rId1349" ref="E353"/>
    <hyperlink r:id="rId1350" ref="Y353"/>
    <hyperlink r:id="rId1351" ref="B354"/>
    <hyperlink r:id="rId1352" ref="C354"/>
    <hyperlink r:id="rId1353" ref="E354"/>
    <hyperlink r:id="rId1354" ref="Y354"/>
    <hyperlink r:id="rId1355" ref="B355"/>
    <hyperlink r:id="rId1356" ref="C355"/>
    <hyperlink r:id="rId1357" ref="E355"/>
    <hyperlink r:id="rId1358" ref="Y355"/>
    <hyperlink r:id="rId1359" ref="B356"/>
    <hyperlink r:id="rId1360" ref="C356"/>
    <hyperlink r:id="rId1361" ref="E356"/>
    <hyperlink r:id="rId1362" ref="Y356"/>
    <hyperlink r:id="rId1363" ref="B357"/>
    <hyperlink r:id="rId1364" ref="C357"/>
    <hyperlink r:id="rId1365" ref="E357"/>
    <hyperlink r:id="rId1366" ref="Y357"/>
    <hyperlink r:id="rId1367" ref="B358"/>
    <hyperlink r:id="rId1368" ref="C358"/>
    <hyperlink r:id="rId1369" ref="E358"/>
    <hyperlink r:id="rId1370" ref="Y358"/>
    <hyperlink r:id="rId1371" ref="B359"/>
    <hyperlink r:id="rId1372" ref="C359"/>
    <hyperlink r:id="rId1373" ref="E359"/>
    <hyperlink r:id="rId1374" ref="Y359"/>
    <hyperlink r:id="rId1375" ref="B360"/>
    <hyperlink r:id="rId1376" ref="C360"/>
    <hyperlink r:id="rId1377" ref="E360"/>
    <hyperlink r:id="rId1378" ref="Y360"/>
    <hyperlink r:id="rId1379" ref="B361"/>
    <hyperlink r:id="rId1380" ref="C361"/>
    <hyperlink r:id="rId1381" ref="E361"/>
    <hyperlink r:id="rId1382" ref="Y361"/>
    <hyperlink r:id="rId1383" ref="B362"/>
    <hyperlink r:id="rId1384" ref="C362"/>
    <hyperlink r:id="rId1385" ref="E362"/>
    <hyperlink r:id="rId1386" ref="Y362"/>
    <hyperlink r:id="rId1387" ref="B363"/>
    <hyperlink r:id="rId1388" ref="C363"/>
    <hyperlink r:id="rId1389" ref="E363"/>
    <hyperlink r:id="rId1390" ref="Y363"/>
    <hyperlink r:id="rId1391" ref="B364"/>
    <hyperlink r:id="rId1392" ref="C364"/>
    <hyperlink r:id="rId1393" ref="E364"/>
    <hyperlink r:id="rId1394" ref="Y364"/>
    <hyperlink r:id="rId1395" ref="B366"/>
    <hyperlink r:id="rId1396" ref="C366"/>
    <hyperlink r:id="rId1397" ref="E366"/>
    <hyperlink r:id="rId1398" ref="Y366"/>
    <hyperlink r:id="rId1399" ref="B367"/>
    <hyperlink r:id="rId1400" ref="C367"/>
    <hyperlink r:id="rId1401" ref="E367"/>
    <hyperlink r:id="rId1402" ref="Y367"/>
    <hyperlink r:id="rId1403" ref="B368"/>
    <hyperlink r:id="rId1404" ref="C368"/>
    <hyperlink r:id="rId1405" ref="E368"/>
    <hyperlink r:id="rId1406" ref="Y368"/>
    <hyperlink r:id="rId1407" ref="B369"/>
    <hyperlink r:id="rId1408" ref="C369"/>
    <hyperlink r:id="rId1409" ref="E369"/>
    <hyperlink r:id="rId1410" ref="Y369"/>
    <hyperlink r:id="rId1411" ref="B370"/>
    <hyperlink r:id="rId1412" ref="C370"/>
    <hyperlink r:id="rId1413" ref="E370"/>
    <hyperlink r:id="rId1414" ref="Y370"/>
    <hyperlink r:id="rId1415" ref="B371"/>
    <hyperlink r:id="rId1416" ref="C371"/>
    <hyperlink r:id="rId1417" ref="E371"/>
    <hyperlink r:id="rId1418" ref="Y371"/>
    <hyperlink r:id="rId1419" ref="B372"/>
    <hyperlink r:id="rId1420" ref="C372"/>
    <hyperlink r:id="rId1421" ref="E372"/>
    <hyperlink r:id="rId1422" ref="Y372"/>
    <hyperlink r:id="rId1423" ref="B373"/>
    <hyperlink r:id="rId1424" ref="C373"/>
    <hyperlink r:id="rId1425" ref="E373"/>
    <hyperlink r:id="rId1426" ref="Y373"/>
    <hyperlink r:id="rId1427" ref="B374"/>
    <hyperlink r:id="rId1428" ref="C374"/>
    <hyperlink r:id="rId1429" ref="E374"/>
    <hyperlink r:id="rId1430" ref="Y374"/>
    <hyperlink r:id="rId1431" ref="B375"/>
    <hyperlink r:id="rId1432" ref="C375"/>
    <hyperlink r:id="rId1433" ref="E375"/>
    <hyperlink r:id="rId1434" ref="Y375"/>
    <hyperlink r:id="rId1435" ref="B376"/>
    <hyperlink r:id="rId1436" ref="C376"/>
    <hyperlink r:id="rId1437" ref="E376"/>
    <hyperlink r:id="rId1438" ref="Y376"/>
    <hyperlink r:id="rId1439" ref="B377"/>
    <hyperlink r:id="rId1440" ref="C377"/>
    <hyperlink r:id="rId1441" ref="E377"/>
    <hyperlink r:id="rId1442" ref="Y377"/>
    <hyperlink r:id="rId1443" ref="B378"/>
    <hyperlink r:id="rId1444" ref="C378"/>
    <hyperlink r:id="rId1445" ref="E378"/>
    <hyperlink r:id="rId1446" ref="Y378"/>
    <hyperlink r:id="rId1447" ref="B379"/>
    <hyperlink r:id="rId1448" ref="C379"/>
    <hyperlink r:id="rId1449" ref="E379"/>
    <hyperlink r:id="rId1450" ref="Y379"/>
    <hyperlink r:id="rId1451" ref="B380"/>
    <hyperlink r:id="rId1452" ref="C380"/>
    <hyperlink r:id="rId1453" ref="E380"/>
    <hyperlink r:id="rId1454" ref="Y380"/>
    <hyperlink r:id="rId1455" ref="B381"/>
    <hyperlink r:id="rId1456" ref="C381"/>
    <hyperlink r:id="rId1457" ref="E381"/>
    <hyperlink r:id="rId1458" ref="Y381"/>
    <hyperlink r:id="rId1459" ref="B382"/>
    <hyperlink r:id="rId1460" ref="C382"/>
    <hyperlink r:id="rId1461" ref="E382"/>
    <hyperlink r:id="rId1462" ref="Y382"/>
    <hyperlink r:id="rId1463" ref="B383"/>
    <hyperlink r:id="rId1464" ref="C383"/>
    <hyperlink r:id="rId1465" ref="E383"/>
    <hyperlink r:id="rId1466" ref="Y383"/>
    <hyperlink r:id="rId1467" ref="B384"/>
    <hyperlink r:id="rId1468" ref="C384"/>
    <hyperlink r:id="rId1469" ref="E384"/>
    <hyperlink r:id="rId1470" ref="Y384"/>
    <hyperlink r:id="rId1471" ref="B385"/>
    <hyperlink r:id="rId1472" ref="C385"/>
    <hyperlink r:id="rId1473" ref="E385"/>
    <hyperlink r:id="rId1474" ref="Y385"/>
    <hyperlink r:id="rId1475" ref="B386"/>
    <hyperlink r:id="rId1476" ref="C386"/>
    <hyperlink r:id="rId1477" ref="E386"/>
    <hyperlink r:id="rId1478" ref="Y386"/>
    <hyperlink r:id="rId1479" ref="B387"/>
    <hyperlink r:id="rId1480" ref="C387"/>
    <hyperlink r:id="rId1481" ref="E387"/>
    <hyperlink r:id="rId1482" ref="Y387"/>
    <hyperlink r:id="rId1483" ref="B388"/>
    <hyperlink r:id="rId1484" ref="C388"/>
    <hyperlink r:id="rId1485" ref="E388"/>
    <hyperlink r:id="rId1486" ref="Y388"/>
    <hyperlink r:id="rId1487" ref="B389"/>
    <hyperlink r:id="rId1488" ref="C389"/>
    <hyperlink r:id="rId1489" ref="E389"/>
    <hyperlink r:id="rId1490" ref="Y389"/>
    <hyperlink r:id="rId1491" ref="B390"/>
    <hyperlink r:id="rId1492" ref="C390"/>
    <hyperlink r:id="rId1493" ref="E390"/>
    <hyperlink r:id="rId1494" ref="Y390"/>
    <hyperlink r:id="rId1495" ref="B392"/>
    <hyperlink r:id="rId1496" ref="C392"/>
    <hyperlink r:id="rId1497" ref="E392"/>
    <hyperlink r:id="rId1498" ref="Y392"/>
    <hyperlink r:id="rId1499" ref="B393"/>
    <hyperlink r:id="rId1500" ref="C393"/>
    <hyperlink r:id="rId1501" ref="E393"/>
    <hyperlink r:id="rId1502" ref="Y393"/>
    <hyperlink r:id="rId1503" ref="B394"/>
    <hyperlink r:id="rId1504" ref="C394"/>
    <hyperlink r:id="rId1505" ref="E394"/>
    <hyperlink r:id="rId1506" ref="Y394"/>
    <hyperlink r:id="rId1507" ref="B395"/>
    <hyperlink r:id="rId1508" ref="C395"/>
    <hyperlink r:id="rId1509" ref="E395"/>
    <hyperlink r:id="rId1510" ref="Y395"/>
    <hyperlink r:id="rId1511" ref="B396"/>
    <hyperlink r:id="rId1512" ref="C396"/>
    <hyperlink r:id="rId1513" ref="E396"/>
    <hyperlink r:id="rId1514" ref="Y396"/>
    <hyperlink r:id="rId1515" ref="B397"/>
    <hyperlink r:id="rId1516" ref="C397"/>
    <hyperlink r:id="rId1517" ref="E397"/>
    <hyperlink r:id="rId1518" ref="Y397"/>
    <hyperlink r:id="rId1519" ref="B398"/>
    <hyperlink r:id="rId1520" ref="C398"/>
    <hyperlink r:id="rId1521" ref="E398"/>
    <hyperlink r:id="rId1522" ref="Y398"/>
    <hyperlink r:id="rId1523" ref="B399"/>
    <hyperlink r:id="rId1524" ref="C399"/>
    <hyperlink r:id="rId1525" ref="E399"/>
    <hyperlink r:id="rId1526" ref="Y399"/>
    <hyperlink r:id="rId1527" ref="B400"/>
    <hyperlink r:id="rId1528" ref="C400"/>
    <hyperlink r:id="rId1529" ref="E400"/>
    <hyperlink r:id="rId1530" ref="Y400"/>
    <hyperlink r:id="rId1531" ref="B401"/>
    <hyperlink r:id="rId1532" ref="C401"/>
    <hyperlink r:id="rId1533" ref="E401"/>
    <hyperlink r:id="rId1534" ref="Y401"/>
    <hyperlink r:id="rId1535" ref="B402"/>
    <hyperlink r:id="rId1536" ref="C402"/>
    <hyperlink r:id="rId1537" ref="E402"/>
    <hyperlink r:id="rId1538" ref="Y402"/>
    <hyperlink r:id="rId1539" ref="B403"/>
    <hyperlink r:id="rId1540" ref="C403"/>
    <hyperlink r:id="rId1541" ref="E403"/>
    <hyperlink r:id="rId1542" ref="Y403"/>
    <hyperlink r:id="rId1543" ref="B404"/>
    <hyperlink r:id="rId1544" ref="C404"/>
    <hyperlink r:id="rId1545" ref="E404"/>
    <hyperlink r:id="rId1546" ref="Y404"/>
    <hyperlink r:id="rId1547" ref="B405"/>
    <hyperlink r:id="rId1548" ref="C405"/>
    <hyperlink r:id="rId1549" ref="E405"/>
    <hyperlink r:id="rId1550" ref="Y405"/>
    <hyperlink r:id="rId1551" ref="B406"/>
    <hyperlink r:id="rId1552" ref="C406"/>
    <hyperlink r:id="rId1553" ref="E406"/>
    <hyperlink r:id="rId1554" ref="Y406"/>
    <hyperlink r:id="rId1555" ref="B407"/>
    <hyperlink r:id="rId1556" ref="C407"/>
    <hyperlink r:id="rId1557" ref="E407"/>
    <hyperlink r:id="rId1558" ref="Y407"/>
    <hyperlink r:id="rId1559" ref="B408"/>
    <hyperlink r:id="rId1560" ref="C408"/>
    <hyperlink r:id="rId1561" ref="E408"/>
    <hyperlink r:id="rId1562" ref="Y408"/>
    <hyperlink r:id="rId1563" ref="B409"/>
    <hyperlink r:id="rId1564" ref="C409"/>
    <hyperlink r:id="rId1565" ref="E409"/>
    <hyperlink r:id="rId1566" ref="Y409"/>
    <hyperlink r:id="rId1567" ref="B410"/>
    <hyperlink r:id="rId1568" ref="C410"/>
    <hyperlink r:id="rId1569" ref="E410"/>
    <hyperlink r:id="rId1570" ref="Y410"/>
    <hyperlink r:id="rId1571" ref="B411"/>
    <hyperlink r:id="rId1572" ref="C411"/>
    <hyperlink r:id="rId1573" ref="E411"/>
    <hyperlink r:id="rId1574" ref="Y411"/>
    <hyperlink r:id="rId1575" ref="B412"/>
    <hyperlink r:id="rId1576" ref="C412"/>
    <hyperlink r:id="rId1577" ref="E412"/>
    <hyperlink r:id="rId1578" ref="Y412"/>
    <hyperlink r:id="rId1579" ref="B413"/>
    <hyperlink r:id="rId1580" ref="C413"/>
    <hyperlink r:id="rId1581" ref="E413"/>
    <hyperlink r:id="rId1582" ref="Y413"/>
    <hyperlink r:id="rId1583" ref="B414"/>
    <hyperlink r:id="rId1584" ref="C414"/>
    <hyperlink r:id="rId1585" ref="E414"/>
    <hyperlink r:id="rId1586" ref="Y414"/>
    <hyperlink r:id="rId1587" ref="B415"/>
    <hyperlink r:id="rId1588" ref="C415"/>
    <hyperlink r:id="rId1589" ref="E415"/>
    <hyperlink r:id="rId1590" ref="Y415"/>
    <hyperlink r:id="rId1591" ref="B416"/>
    <hyperlink r:id="rId1592" ref="C416"/>
    <hyperlink r:id="rId1593" ref="E416"/>
    <hyperlink r:id="rId1594" ref="Y416"/>
    <hyperlink r:id="rId1595" ref="B418"/>
    <hyperlink r:id="rId1596" ref="C418"/>
    <hyperlink r:id="rId1597" ref="E418"/>
    <hyperlink r:id="rId1598" ref="Y418"/>
    <hyperlink r:id="rId1599" ref="B419"/>
    <hyperlink r:id="rId1600" ref="C419"/>
    <hyperlink r:id="rId1601" ref="E419"/>
    <hyperlink r:id="rId1602" ref="Y419"/>
    <hyperlink r:id="rId1603" ref="B420"/>
    <hyperlink r:id="rId1604" ref="C420"/>
    <hyperlink r:id="rId1605" ref="E420"/>
    <hyperlink r:id="rId1606" ref="Y420"/>
    <hyperlink r:id="rId1607" ref="B421"/>
    <hyperlink r:id="rId1608" ref="C421"/>
    <hyperlink r:id="rId1609" ref="E421"/>
    <hyperlink r:id="rId1610" ref="Y421"/>
    <hyperlink r:id="rId1611" ref="B422"/>
    <hyperlink r:id="rId1612" ref="C422"/>
    <hyperlink r:id="rId1613" ref="E422"/>
    <hyperlink r:id="rId1614" ref="Y422"/>
    <hyperlink r:id="rId1615" ref="B423"/>
    <hyperlink r:id="rId1616" ref="C423"/>
    <hyperlink r:id="rId1617" ref="E423"/>
    <hyperlink r:id="rId1618" ref="Y423"/>
    <hyperlink r:id="rId1619" ref="B424"/>
    <hyperlink r:id="rId1620" ref="C424"/>
    <hyperlink r:id="rId1621" ref="E424"/>
    <hyperlink r:id="rId1622" ref="Y424"/>
    <hyperlink r:id="rId1623" ref="B425"/>
    <hyperlink r:id="rId1624" ref="C425"/>
    <hyperlink r:id="rId1625" ref="E425"/>
    <hyperlink r:id="rId1626" ref="Y425"/>
    <hyperlink r:id="rId1627" ref="B426"/>
    <hyperlink r:id="rId1628" ref="C426"/>
    <hyperlink r:id="rId1629" ref="E426"/>
    <hyperlink r:id="rId1630" ref="Y426"/>
    <hyperlink r:id="rId1631" ref="B427"/>
    <hyperlink r:id="rId1632" ref="C427"/>
    <hyperlink r:id="rId1633" ref="E427"/>
    <hyperlink r:id="rId1634" ref="Y427"/>
    <hyperlink r:id="rId1635" ref="B428"/>
    <hyperlink r:id="rId1636" ref="C428"/>
    <hyperlink r:id="rId1637" ref="E428"/>
    <hyperlink r:id="rId1638" ref="Y428"/>
    <hyperlink r:id="rId1639" ref="B429"/>
    <hyperlink r:id="rId1640" ref="C429"/>
    <hyperlink r:id="rId1641" ref="E429"/>
    <hyperlink r:id="rId1642" ref="Y429"/>
    <hyperlink r:id="rId1643" ref="B430"/>
    <hyperlink r:id="rId1644" ref="C430"/>
    <hyperlink r:id="rId1645" ref="E430"/>
    <hyperlink r:id="rId1646" ref="Y430"/>
    <hyperlink r:id="rId1647" ref="B431"/>
    <hyperlink r:id="rId1648" ref="C431"/>
    <hyperlink r:id="rId1649" ref="E431"/>
    <hyperlink r:id="rId1650" ref="Y431"/>
    <hyperlink r:id="rId1651" ref="B432"/>
    <hyperlink r:id="rId1652" ref="C432"/>
    <hyperlink r:id="rId1653" ref="E432"/>
    <hyperlink r:id="rId1654" ref="Y432"/>
    <hyperlink r:id="rId1655" ref="B433"/>
    <hyperlink r:id="rId1656" ref="C433"/>
    <hyperlink r:id="rId1657" ref="E433"/>
    <hyperlink r:id="rId1658" ref="Y433"/>
    <hyperlink r:id="rId1659" ref="B434"/>
    <hyperlink r:id="rId1660" ref="C434"/>
    <hyperlink r:id="rId1661" ref="E434"/>
    <hyperlink r:id="rId1662" ref="Y434"/>
    <hyperlink r:id="rId1663" ref="B435"/>
    <hyperlink r:id="rId1664" ref="C435"/>
    <hyperlink r:id="rId1665" ref="E435"/>
    <hyperlink r:id="rId1666" ref="Y435"/>
    <hyperlink r:id="rId1667" ref="B436"/>
    <hyperlink r:id="rId1668" ref="C436"/>
    <hyperlink r:id="rId1669" ref="E436"/>
    <hyperlink r:id="rId1670" ref="Y436"/>
    <hyperlink r:id="rId1671" ref="B437"/>
    <hyperlink r:id="rId1672" ref="C437"/>
    <hyperlink r:id="rId1673" ref="E437"/>
    <hyperlink r:id="rId1674" ref="Y437"/>
    <hyperlink r:id="rId1675" ref="B438"/>
    <hyperlink r:id="rId1676" ref="C438"/>
    <hyperlink r:id="rId1677" ref="E438"/>
    <hyperlink r:id="rId1678" ref="Y438"/>
    <hyperlink r:id="rId1679" ref="B439"/>
    <hyperlink r:id="rId1680" ref="C439"/>
    <hyperlink r:id="rId1681" ref="E439"/>
    <hyperlink r:id="rId1682" ref="Y439"/>
    <hyperlink r:id="rId1683" ref="B440"/>
    <hyperlink r:id="rId1684" ref="C440"/>
    <hyperlink r:id="rId1685" ref="E440"/>
    <hyperlink r:id="rId1686" ref="Y440"/>
    <hyperlink r:id="rId1687" ref="B441"/>
    <hyperlink r:id="rId1688" ref="C441"/>
    <hyperlink r:id="rId1689" ref="E441"/>
    <hyperlink r:id="rId1690" ref="Y441"/>
    <hyperlink r:id="rId1691" ref="B442"/>
    <hyperlink r:id="rId1692" ref="E442"/>
    <hyperlink r:id="rId1693" ref="Y442"/>
    <hyperlink r:id="rId1694" ref="B444"/>
    <hyperlink r:id="rId1695" ref="C444"/>
    <hyperlink r:id="rId1696" ref="E444"/>
    <hyperlink r:id="rId1697" ref="Y444"/>
    <hyperlink r:id="rId1698" ref="B445"/>
    <hyperlink r:id="rId1699" ref="C445"/>
    <hyperlink r:id="rId1700" ref="E445"/>
    <hyperlink r:id="rId1701" ref="Y445"/>
    <hyperlink r:id="rId1702" ref="B446"/>
    <hyperlink r:id="rId1703" ref="C446"/>
    <hyperlink r:id="rId1704" ref="E446"/>
    <hyperlink r:id="rId1705" ref="Y446"/>
    <hyperlink r:id="rId1706" ref="B447"/>
    <hyperlink r:id="rId1707" ref="C447"/>
    <hyperlink r:id="rId1708" ref="E447"/>
    <hyperlink r:id="rId1709" ref="Y447"/>
    <hyperlink r:id="rId1710" ref="B448"/>
    <hyperlink r:id="rId1711" ref="C448"/>
    <hyperlink r:id="rId1712" ref="E448"/>
    <hyperlink r:id="rId1713" ref="Y448"/>
    <hyperlink r:id="rId1714" ref="B449"/>
    <hyperlink r:id="rId1715" ref="C449"/>
    <hyperlink r:id="rId1716" ref="E449"/>
    <hyperlink r:id="rId1717" ref="Y449"/>
    <hyperlink r:id="rId1718" ref="B450"/>
    <hyperlink r:id="rId1719" ref="C450"/>
    <hyperlink r:id="rId1720" ref="E450"/>
    <hyperlink r:id="rId1721" ref="Y450"/>
    <hyperlink r:id="rId1722" ref="B451"/>
    <hyperlink r:id="rId1723" ref="C451"/>
    <hyperlink r:id="rId1724" ref="E451"/>
    <hyperlink r:id="rId1725" ref="Y451"/>
    <hyperlink r:id="rId1726" ref="B452"/>
    <hyperlink r:id="rId1727" ref="C452"/>
    <hyperlink r:id="rId1728" ref="E452"/>
    <hyperlink r:id="rId1729" ref="Y452"/>
    <hyperlink r:id="rId1730" ref="B453"/>
    <hyperlink r:id="rId1731" ref="C453"/>
    <hyperlink r:id="rId1732" ref="E453"/>
    <hyperlink r:id="rId1733" ref="Y453"/>
    <hyperlink r:id="rId1734" ref="B454"/>
    <hyperlink r:id="rId1735" ref="C454"/>
    <hyperlink r:id="rId1736" ref="E454"/>
    <hyperlink r:id="rId1737" ref="Y454"/>
    <hyperlink r:id="rId1738" ref="B455"/>
    <hyperlink r:id="rId1739" ref="C455"/>
    <hyperlink r:id="rId1740" ref="E455"/>
    <hyperlink r:id="rId1741" ref="Y455"/>
    <hyperlink r:id="rId1742" ref="B456"/>
    <hyperlink r:id="rId1743" ref="C456"/>
    <hyperlink r:id="rId1744" ref="E456"/>
    <hyperlink r:id="rId1745" ref="Y456"/>
    <hyperlink r:id="rId1746" ref="B457"/>
    <hyperlink r:id="rId1747" ref="C457"/>
    <hyperlink r:id="rId1748" ref="E457"/>
    <hyperlink r:id="rId1749" ref="Y457"/>
    <hyperlink r:id="rId1750" ref="B458"/>
    <hyperlink r:id="rId1751" ref="C458"/>
    <hyperlink r:id="rId1752" ref="E458"/>
    <hyperlink r:id="rId1753" ref="Y458"/>
    <hyperlink r:id="rId1754" ref="B459"/>
    <hyperlink r:id="rId1755" ref="C459"/>
    <hyperlink r:id="rId1756" ref="E459"/>
    <hyperlink r:id="rId1757" ref="Y459"/>
    <hyperlink r:id="rId1758" ref="B460"/>
    <hyperlink r:id="rId1759" ref="C460"/>
    <hyperlink r:id="rId1760" ref="E460"/>
    <hyperlink r:id="rId1761" ref="Y460"/>
    <hyperlink r:id="rId1762" ref="B461"/>
    <hyperlink r:id="rId1763" ref="C461"/>
    <hyperlink r:id="rId1764" ref="E461"/>
    <hyperlink r:id="rId1765" ref="Y461"/>
    <hyperlink r:id="rId1766" ref="B462"/>
    <hyperlink r:id="rId1767" ref="C462"/>
    <hyperlink r:id="rId1768" ref="E462"/>
    <hyperlink r:id="rId1769" ref="Y462"/>
    <hyperlink r:id="rId1770" ref="B463"/>
    <hyperlink r:id="rId1771" ref="C463"/>
    <hyperlink r:id="rId1772" ref="E463"/>
    <hyperlink r:id="rId1773" ref="Y463"/>
    <hyperlink r:id="rId1774" ref="B464"/>
    <hyperlink r:id="rId1775" ref="C464"/>
    <hyperlink r:id="rId1776" ref="E464"/>
    <hyperlink r:id="rId1777" ref="Y464"/>
    <hyperlink r:id="rId1778" ref="B465"/>
    <hyperlink r:id="rId1779" ref="C465"/>
    <hyperlink r:id="rId1780" ref="E465"/>
    <hyperlink r:id="rId1781" ref="Y465"/>
    <hyperlink r:id="rId1782" ref="B466"/>
    <hyperlink r:id="rId1783" ref="C466"/>
    <hyperlink r:id="rId1784" ref="E466"/>
    <hyperlink r:id="rId1785" ref="Y466"/>
    <hyperlink r:id="rId1786" ref="B467"/>
    <hyperlink r:id="rId1787" ref="C467"/>
    <hyperlink r:id="rId1788" ref="E467"/>
    <hyperlink r:id="rId1789" ref="Y467"/>
    <hyperlink r:id="rId1790" ref="B468"/>
    <hyperlink r:id="rId1791" ref="C468"/>
    <hyperlink r:id="rId1792" ref="E468"/>
    <hyperlink r:id="rId1793" ref="Y468"/>
    <hyperlink r:id="rId1794" ref="B470"/>
    <hyperlink r:id="rId1795" ref="C470"/>
    <hyperlink r:id="rId1796" ref="E470"/>
    <hyperlink r:id="rId1797" ref="Y470"/>
    <hyperlink r:id="rId1798" ref="B471"/>
    <hyperlink r:id="rId1799" ref="C471"/>
    <hyperlink r:id="rId1800" ref="E471"/>
    <hyperlink r:id="rId1801" ref="Y471"/>
    <hyperlink r:id="rId1802" ref="B472"/>
    <hyperlink r:id="rId1803" ref="C472"/>
    <hyperlink r:id="rId1804" ref="E472"/>
    <hyperlink r:id="rId1805" ref="Y472"/>
    <hyperlink r:id="rId1806" ref="B473"/>
    <hyperlink r:id="rId1807" ref="C473"/>
    <hyperlink r:id="rId1808" ref="E473"/>
    <hyperlink r:id="rId1809" ref="Y473"/>
    <hyperlink r:id="rId1810" ref="B474"/>
    <hyperlink r:id="rId1811" ref="C474"/>
    <hyperlink r:id="rId1812" ref="E474"/>
    <hyperlink r:id="rId1813" ref="Y474"/>
    <hyperlink r:id="rId1814" ref="B475"/>
    <hyperlink r:id="rId1815" ref="C475"/>
    <hyperlink r:id="rId1816" ref="E475"/>
    <hyperlink r:id="rId1817" ref="Y475"/>
    <hyperlink r:id="rId1818" ref="B476"/>
    <hyperlink r:id="rId1819" ref="C476"/>
    <hyperlink r:id="rId1820" ref="E476"/>
    <hyperlink r:id="rId1821" ref="Y476"/>
    <hyperlink r:id="rId1822" ref="B477"/>
    <hyperlink r:id="rId1823" ref="C477"/>
    <hyperlink r:id="rId1824" ref="E477"/>
    <hyperlink r:id="rId1825" ref="Y477"/>
    <hyperlink r:id="rId1826" ref="B478"/>
    <hyperlink r:id="rId1827" ref="C478"/>
    <hyperlink r:id="rId1828" ref="E478"/>
    <hyperlink r:id="rId1829" ref="Y478"/>
    <hyperlink r:id="rId1830" ref="B479"/>
    <hyperlink r:id="rId1831" ref="C479"/>
    <hyperlink r:id="rId1832" ref="E479"/>
    <hyperlink r:id="rId1833" ref="Y479"/>
    <hyperlink r:id="rId1834" ref="B480"/>
    <hyperlink r:id="rId1835" ref="C480"/>
    <hyperlink r:id="rId1836" ref="E480"/>
    <hyperlink r:id="rId1837" ref="Y480"/>
    <hyperlink r:id="rId1838" ref="B481"/>
    <hyperlink r:id="rId1839" ref="C481"/>
    <hyperlink r:id="rId1840" ref="E481"/>
    <hyperlink r:id="rId1841" ref="Y481"/>
    <hyperlink r:id="rId1842" ref="B482"/>
    <hyperlink r:id="rId1843" ref="C482"/>
    <hyperlink r:id="rId1844" ref="E482"/>
    <hyperlink r:id="rId1845" ref="Y482"/>
    <hyperlink r:id="rId1846" ref="B483"/>
    <hyperlink r:id="rId1847" ref="C483"/>
    <hyperlink r:id="rId1848" ref="E483"/>
    <hyperlink r:id="rId1849" ref="Y483"/>
    <hyperlink r:id="rId1850" ref="B484"/>
    <hyperlink r:id="rId1851" ref="C484"/>
    <hyperlink r:id="rId1852" ref="E484"/>
    <hyperlink r:id="rId1853" ref="Y484"/>
    <hyperlink r:id="rId1854" ref="B485"/>
    <hyperlink r:id="rId1855" ref="C485"/>
    <hyperlink r:id="rId1856" ref="E485"/>
    <hyperlink r:id="rId1857" ref="Y485"/>
    <hyperlink r:id="rId1858" ref="B486"/>
    <hyperlink r:id="rId1859" ref="C486"/>
    <hyperlink r:id="rId1860" ref="E486"/>
    <hyperlink r:id="rId1861" ref="Y486"/>
    <hyperlink r:id="rId1862" ref="B487"/>
    <hyperlink r:id="rId1863" ref="C487"/>
    <hyperlink r:id="rId1864" ref="E487"/>
    <hyperlink r:id="rId1865" ref="Y487"/>
    <hyperlink r:id="rId1866" ref="B488"/>
    <hyperlink r:id="rId1867" ref="C488"/>
    <hyperlink r:id="rId1868" ref="E488"/>
    <hyperlink r:id="rId1869" ref="Y488"/>
    <hyperlink r:id="rId1870" ref="B489"/>
    <hyperlink r:id="rId1871" ref="C489"/>
    <hyperlink r:id="rId1872" ref="E489"/>
    <hyperlink r:id="rId1873" ref="Y489"/>
    <hyperlink r:id="rId1874" ref="B490"/>
    <hyperlink r:id="rId1875" ref="C490"/>
    <hyperlink r:id="rId1876" ref="E490"/>
    <hyperlink r:id="rId1877" ref="Y490"/>
    <hyperlink r:id="rId1878" ref="B491"/>
    <hyperlink r:id="rId1879" ref="C491"/>
    <hyperlink r:id="rId1880" ref="E491"/>
    <hyperlink r:id="rId1881" ref="Y491"/>
    <hyperlink r:id="rId1882" ref="B492"/>
    <hyperlink r:id="rId1883" ref="C492"/>
    <hyperlink r:id="rId1884" ref="E492"/>
    <hyperlink r:id="rId1885" ref="Y492"/>
    <hyperlink r:id="rId1886" ref="B493"/>
    <hyperlink r:id="rId1887" ref="C493"/>
    <hyperlink r:id="rId1888" ref="E493"/>
    <hyperlink r:id="rId1889" ref="Y493"/>
    <hyperlink r:id="rId1890" ref="B494"/>
    <hyperlink r:id="rId1891" ref="C494"/>
    <hyperlink r:id="rId1892" ref="E494"/>
    <hyperlink r:id="rId1893" ref="Y494"/>
    <hyperlink r:id="rId1894" ref="B496"/>
    <hyperlink r:id="rId1895" ref="C496"/>
    <hyperlink r:id="rId1896" ref="E496"/>
    <hyperlink r:id="rId1897" ref="Y496"/>
    <hyperlink r:id="rId1898" ref="B497"/>
    <hyperlink r:id="rId1899" ref="C497"/>
    <hyperlink r:id="rId1900" ref="E497"/>
    <hyperlink r:id="rId1901" ref="Y497"/>
    <hyperlink r:id="rId1902" ref="B498"/>
    <hyperlink r:id="rId1903" ref="C498"/>
    <hyperlink r:id="rId1904" ref="E498"/>
    <hyperlink r:id="rId1905" ref="Y498"/>
    <hyperlink r:id="rId1906" ref="B499"/>
    <hyperlink r:id="rId1907" ref="C499"/>
    <hyperlink r:id="rId1908" ref="E499"/>
    <hyperlink r:id="rId1909" ref="Y499"/>
    <hyperlink r:id="rId1910" ref="B500"/>
    <hyperlink r:id="rId1911" ref="C500"/>
    <hyperlink r:id="rId1912" ref="E500"/>
    <hyperlink r:id="rId1913" ref="Y500"/>
    <hyperlink r:id="rId1914" ref="B501"/>
    <hyperlink r:id="rId1915" ref="C501"/>
    <hyperlink r:id="rId1916" ref="E501"/>
    <hyperlink r:id="rId1917" ref="Y501"/>
    <hyperlink r:id="rId1918" ref="B502"/>
    <hyperlink r:id="rId1919" ref="C502"/>
    <hyperlink r:id="rId1920" ref="E502"/>
    <hyperlink r:id="rId1921" ref="Y502"/>
    <hyperlink r:id="rId1922" ref="B503"/>
    <hyperlink r:id="rId1923" ref="C503"/>
    <hyperlink r:id="rId1924" ref="E503"/>
    <hyperlink r:id="rId1925" ref="Y503"/>
    <hyperlink r:id="rId1926" ref="B504"/>
    <hyperlink r:id="rId1927" ref="C504"/>
    <hyperlink r:id="rId1928" ref="E504"/>
    <hyperlink r:id="rId1929" ref="Y504"/>
    <hyperlink r:id="rId1930" ref="B505"/>
    <hyperlink r:id="rId1931" ref="C505"/>
    <hyperlink r:id="rId1932" ref="E505"/>
    <hyperlink r:id="rId1933" ref="Y505"/>
    <hyperlink r:id="rId1934" ref="B506"/>
    <hyperlink r:id="rId1935" ref="C506"/>
    <hyperlink r:id="rId1936" ref="E506"/>
    <hyperlink r:id="rId1937" ref="Y506"/>
    <hyperlink r:id="rId1938" ref="B507"/>
    <hyperlink r:id="rId1939" ref="C507"/>
    <hyperlink r:id="rId1940" ref="E507"/>
    <hyperlink r:id="rId1941" ref="Y507"/>
    <hyperlink r:id="rId1942" ref="B508"/>
    <hyperlink r:id="rId1943" ref="C508"/>
    <hyperlink r:id="rId1944" ref="E508"/>
    <hyperlink r:id="rId1945" ref="Y508"/>
    <hyperlink r:id="rId1946" ref="B509"/>
    <hyperlink r:id="rId1947" ref="C509"/>
    <hyperlink r:id="rId1948" ref="E509"/>
    <hyperlink r:id="rId1949" ref="Y509"/>
    <hyperlink r:id="rId1950" ref="B510"/>
    <hyperlink r:id="rId1951" ref="C510"/>
    <hyperlink r:id="rId1952" ref="E510"/>
    <hyperlink r:id="rId1953" ref="Y510"/>
    <hyperlink r:id="rId1954" ref="B511"/>
    <hyperlink r:id="rId1955" ref="C511"/>
    <hyperlink r:id="rId1956" ref="E511"/>
    <hyperlink r:id="rId1957" ref="Y511"/>
    <hyperlink r:id="rId1958" ref="B512"/>
    <hyperlink r:id="rId1959" ref="C512"/>
    <hyperlink r:id="rId1960" ref="E512"/>
    <hyperlink r:id="rId1961" ref="Y512"/>
    <hyperlink r:id="rId1962" ref="B513"/>
    <hyperlink r:id="rId1963" ref="C513"/>
    <hyperlink r:id="rId1964" ref="E513"/>
    <hyperlink r:id="rId1965" ref="Y513"/>
    <hyperlink r:id="rId1966" ref="B514"/>
    <hyperlink r:id="rId1967" ref="C514"/>
    <hyperlink r:id="rId1968" ref="E514"/>
    <hyperlink r:id="rId1969" ref="Y514"/>
    <hyperlink r:id="rId1970" ref="B515"/>
    <hyperlink r:id="rId1971" ref="C515"/>
    <hyperlink r:id="rId1972" ref="E515"/>
    <hyperlink r:id="rId1973" ref="Y515"/>
    <hyperlink r:id="rId1974" ref="B516"/>
    <hyperlink r:id="rId1975" ref="C516"/>
    <hyperlink r:id="rId1976" ref="E516"/>
    <hyperlink r:id="rId1977" ref="Y516"/>
    <hyperlink r:id="rId1978" ref="B517"/>
    <hyperlink r:id="rId1979" ref="C517"/>
    <hyperlink r:id="rId1980" ref="E517"/>
    <hyperlink r:id="rId1981" ref="Y517"/>
    <hyperlink r:id="rId1982" ref="B518"/>
    <hyperlink r:id="rId1983" ref="C518"/>
    <hyperlink r:id="rId1984" ref="E518"/>
    <hyperlink r:id="rId1985" ref="Y518"/>
    <hyperlink r:id="rId1986" ref="B519"/>
    <hyperlink r:id="rId1987" ref="C519"/>
    <hyperlink r:id="rId1988" ref="E519"/>
    <hyperlink r:id="rId1989" ref="Y519"/>
    <hyperlink r:id="rId1990" ref="B520"/>
    <hyperlink r:id="rId1991" ref="C520"/>
    <hyperlink r:id="rId1992" ref="E520"/>
    <hyperlink r:id="rId1993" ref="Y520"/>
    <hyperlink r:id="rId1994" ref="B522"/>
    <hyperlink r:id="rId1995" ref="C522"/>
    <hyperlink r:id="rId1996" ref="E522"/>
    <hyperlink r:id="rId1997" ref="Y522"/>
    <hyperlink r:id="rId1998" ref="B523"/>
    <hyperlink r:id="rId1999" ref="C523"/>
    <hyperlink r:id="rId2000" ref="E523"/>
    <hyperlink r:id="rId2001" ref="Y523"/>
    <hyperlink r:id="rId2002" ref="B524"/>
    <hyperlink r:id="rId2003" ref="C524"/>
    <hyperlink r:id="rId2004" ref="E524"/>
    <hyperlink r:id="rId2005" ref="Y524"/>
    <hyperlink r:id="rId2006" ref="B525"/>
    <hyperlink r:id="rId2007" ref="C525"/>
    <hyperlink r:id="rId2008" ref="E525"/>
    <hyperlink r:id="rId2009" ref="Y525"/>
    <hyperlink r:id="rId2010" ref="B526"/>
    <hyperlink r:id="rId2011" ref="C526"/>
    <hyperlink r:id="rId2012" ref="E526"/>
    <hyperlink r:id="rId2013" ref="Y526"/>
    <hyperlink r:id="rId2014" ref="B527"/>
    <hyperlink r:id="rId2015" ref="C527"/>
    <hyperlink r:id="rId2016" ref="E527"/>
    <hyperlink r:id="rId2017" ref="Y527"/>
    <hyperlink r:id="rId2018" ref="B528"/>
    <hyperlink r:id="rId2019" ref="C528"/>
    <hyperlink r:id="rId2020" ref="E528"/>
    <hyperlink r:id="rId2021" ref="Y528"/>
    <hyperlink r:id="rId2022" ref="B529"/>
    <hyperlink r:id="rId2023" ref="C529"/>
    <hyperlink r:id="rId2024" ref="E529"/>
    <hyperlink r:id="rId2025" ref="Y529"/>
    <hyperlink r:id="rId2026" ref="B530"/>
    <hyperlink r:id="rId2027" ref="C530"/>
    <hyperlink r:id="rId2028" ref="E530"/>
    <hyperlink r:id="rId2029" ref="Y530"/>
    <hyperlink r:id="rId2030" ref="B531"/>
    <hyperlink r:id="rId2031" ref="C531"/>
    <hyperlink r:id="rId2032" ref="E531"/>
    <hyperlink r:id="rId2033" ref="Y531"/>
    <hyperlink r:id="rId2034" ref="B532"/>
    <hyperlink r:id="rId2035" ref="C532"/>
    <hyperlink r:id="rId2036" ref="E532"/>
    <hyperlink r:id="rId2037" ref="Y532"/>
    <hyperlink r:id="rId2038" ref="B533"/>
    <hyperlink r:id="rId2039" ref="C533"/>
    <hyperlink r:id="rId2040" ref="E533"/>
    <hyperlink r:id="rId2041" ref="Y533"/>
    <hyperlink r:id="rId2042" ref="B534"/>
    <hyperlink r:id="rId2043" ref="C534"/>
    <hyperlink r:id="rId2044" ref="E534"/>
    <hyperlink r:id="rId2045" ref="Y534"/>
    <hyperlink r:id="rId2046" ref="B535"/>
    <hyperlink r:id="rId2047" ref="C535"/>
    <hyperlink r:id="rId2048" ref="E535"/>
    <hyperlink r:id="rId2049" ref="Y535"/>
    <hyperlink r:id="rId2050" ref="B536"/>
    <hyperlink r:id="rId2051" ref="C536"/>
    <hyperlink r:id="rId2052" ref="E536"/>
    <hyperlink r:id="rId2053" ref="Y536"/>
    <hyperlink r:id="rId2054" ref="B537"/>
    <hyperlink r:id="rId2055" ref="C537"/>
    <hyperlink r:id="rId2056" ref="E537"/>
    <hyperlink r:id="rId2057" ref="Y537"/>
    <hyperlink r:id="rId2058" ref="B538"/>
    <hyperlink r:id="rId2059" ref="C538"/>
    <hyperlink r:id="rId2060" ref="E538"/>
    <hyperlink r:id="rId2061" ref="Y538"/>
    <hyperlink r:id="rId2062" ref="B539"/>
    <hyperlink r:id="rId2063" ref="C539"/>
    <hyperlink r:id="rId2064" ref="E539"/>
    <hyperlink r:id="rId2065" ref="Y539"/>
    <hyperlink r:id="rId2066" ref="B540"/>
    <hyperlink r:id="rId2067" ref="C540"/>
    <hyperlink r:id="rId2068" ref="E540"/>
    <hyperlink r:id="rId2069" ref="Y540"/>
    <hyperlink r:id="rId2070" ref="B541"/>
    <hyperlink r:id="rId2071" ref="C541"/>
    <hyperlink r:id="rId2072" ref="E541"/>
    <hyperlink r:id="rId2073" ref="Y541"/>
    <hyperlink r:id="rId2074" ref="B542"/>
    <hyperlink r:id="rId2075" ref="C542"/>
    <hyperlink r:id="rId2076" ref="E542"/>
    <hyperlink r:id="rId2077" ref="Y542"/>
    <hyperlink r:id="rId2078" ref="B543"/>
    <hyperlink r:id="rId2079" ref="C543"/>
    <hyperlink r:id="rId2080" ref="E543"/>
    <hyperlink r:id="rId2081" ref="Y543"/>
    <hyperlink r:id="rId2082" ref="B544"/>
    <hyperlink r:id="rId2083" ref="C544"/>
    <hyperlink r:id="rId2084" ref="E544"/>
    <hyperlink r:id="rId2085" ref="Y544"/>
  </hyperlinks>
  <drawing r:id="rId2086"/>
</worksheet>
</file>